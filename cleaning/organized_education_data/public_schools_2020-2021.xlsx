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National Summary - Schools, Cla" sheetId="2" state="visible" r:id="rId2"/>
    <sheet xmlns:r="http://schemas.openxmlformats.org/officeDocument/2006/relationships" name="Schools, Classes &amp; Staff by Pro" sheetId="3" state="visible" r:id="rId3"/>
    <sheet xmlns:r="http://schemas.openxmlformats.org/officeDocument/2006/relationships" name="All Lycees by Province" sheetId="4" state="visible" r:id="rId4"/>
    <sheet xmlns:r="http://schemas.openxmlformats.org/officeDocument/2006/relationships" name="Colleges by Province" sheetId="5" state="visible" r:id="rId5"/>
    <sheet xmlns:r="http://schemas.openxmlformats.org/officeDocument/2006/relationships" name="Lycees (Gr 10-12 only) by Provi" sheetId="6" state="visible" r:id="rId6"/>
    <sheet xmlns:r="http://schemas.openxmlformats.org/officeDocument/2006/relationships" name="Pre-Schools by Province" sheetId="7" state="visible" r:id="rId7"/>
    <sheet xmlns:r="http://schemas.openxmlformats.org/officeDocument/2006/relationships" name="Primary Schools by Province" sheetId="8" state="visible" r:id="rId8"/>
    <sheet xmlns:r="http://schemas.openxmlformats.org/officeDocument/2006/relationships" name="Secondary Schools by Province" sheetId="9" state="visible" r:id="rId9"/>
    <sheet xmlns:r="http://schemas.openxmlformats.org/officeDocument/2006/relationships" name="Classes by Grade &amp; Education Le" sheetId="10" state="visible" r:id="rId10"/>
    <sheet xmlns:r="http://schemas.openxmlformats.org/officeDocument/2006/relationships" name="Cluster Schools &amp; Schools in Pa" sheetId="11" state="visible" r:id="rId11"/>
    <sheet xmlns:r="http://schemas.openxmlformats.org/officeDocument/2006/relationships" name="School Characteristics &amp; Princi" sheetId="12" state="visible" r:id="rId12"/>
    <sheet xmlns:r="http://schemas.openxmlformats.org/officeDocument/2006/relationships" name="Schools by Highest Grade Taught" sheetId="13" state="visible" r:id="rId13"/>
    <sheet xmlns:r="http://schemas.openxmlformats.org/officeDocument/2006/relationships" name="Enrollment &amp; Repeaters by Grade" sheetId="14" state="visible" r:id="rId14"/>
    <sheet xmlns:r="http://schemas.openxmlformats.org/officeDocument/2006/relationships" name="Enrollment by Level 2020-2021" sheetId="15" state="visible" r:id="rId15"/>
    <sheet xmlns:r="http://schemas.openxmlformats.org/officeDocument/2006/relationships" name="Enrollment by Level 2021-2022" sheetId="16" state="visible" r:id="rId16"/>
    <sheet xmlns:r="http://schemas.openxmlformats.org/officeDocument/2006/relationships" name="New Intake &amp; Enrollment by Age " sheetId="17" state="visible" r:id="rId17"/>
    <sheet xmlns:r="http://schemas.openxmlformats.org/officeDocument/2006/relationships" name="New Intake &amp; Enrollment by Ag 1" sheetId="18" state="visible" r:id="rId18"/>
    <sheet xmlns:r="http://schemas.openxmlformats.org/officeDocument/2006/relationships" name="Pre-School Enrollment by Step" sheetId="19" state="visible" r:id="rId19"/>
    <sheet xmlns:r="http://schemas.openxmlformats.org/officeDocument/2006/relationships" name="Provincial &amp; District Education" sheetId="20" state="visible" r:id="rId20"/>
    <sheet xmlns:r="http://schemas.openxmlformats.org/officeDocument/2006/relationships" name="School Staff - Special Function" sheetId="21" state="visible" r:id="rId21"/>
    <sheet xmlns:r="http://schemas.openxmlformats.org/officeDocument/2006/relationships" name="School Staff by Education Level" sheetId="22" state="visible" r:id="rId22"/>
    <sheet xmlns:r="http://schemas.openxmlformats.org/officeDocument/2006/relationships" name="Teaching Staff - Pedagogical Tr" sheetId="23" state="visible" r:id="rId23"/>
    <sheet xmlns:r="http://schemas.openxmlformats.org/officeDocument/2006/relationships" name="Classroom Conditions &amp; Office-L" sheetId="24" state="visible" r:id="rId24"/>
    <sheet xmlns:r="http://schemas.openxmlformats.org/officeDocument/2006/relationships" name="Community Participation &amp; Finan" sheetId="25" state="visible" r:id="rId25"/>
    <sheet xmlns:r="http://schemas.openxmlformats.org/officeDocument/2006/relationships" name="School Building Conditions" sheetId="26" state="visible" r:id="rId26"/>
    <sheet xmlns:r="http://schemas.openxmlformats.org/officeDocument/2006/relationships" name="School Space &amp; Sports Facilitie" sheetId="27" state="visible" r:id="rId27"/>
    <sheet xmlns:r="http://schemas.openxmlformats.org/officeDocument/2006/relationships" name="Access &amp; Enrollment Ratios for " sheetId="28" state="visible" r:id="rId28"/>
    <sheet xmlns:r="http://schemas.openxmlformats.org/officeDocument/2006/relationships" name="Access &amp; Equity Indicators - by" sheetId="29" state="visible" r:id="rId29"/>
    <sheet xmlns:r="http://schemas.openxmlformats.org/officeDocument/2006/relationships" name="Enrollment Indicators - by Prov" sheetId="30" state="visible" r:id="rId30"/>
    <sheet xmlns:r="http://schemas.openxmlformats.org/officeDocument/2006/relationships" name="Gross &amp; Net Enrollment Ratios -" sheetId="31" state="visible" r:id="rId31"/>
    <sheet xmlns:r="http://schemas.openxmlformats.org/officeDocument/2006/relationships" name="Indicators on Primary Schools -" sheetId="32" state="visible" r:id="rId32"/>
    <sheet xmlns:r="http://schemas.openxmlformats.org/officeDocument/2006/relationships" name="Indicators on Schools - Nationa" sheetId="33" state="visible" r:id="rId33"/>
    <sheet xmlns:r="http://schemas.openxmlformats.org/officeDocument/2006/relationships" name="Indicators on Schools - by Prov" sheetId="34" state="visible" r:id="rId34"/>
    <sheet xmlns:r="http://schemas.openxmlformats.org/officeDocument/2006/relationships" name="Indicators on Secondary Schools" sheetId="35" state="visible" r:id="rId35"/>
    <sheet xmlns:r="http://schemas.openxmlformats.org/officeDocument/2006/relationships" name="Primary Student &amp; Staff Indicat" sheetId="36" state="visible" r:id="rId36"/>
    <sheet xmlns:r="http://schemas.openxmlformats.org/officeDocument/2006/relationships" name="School-Going Age Population &amp; S" sheetId="37" state="visible" r:id="rId37"/>
    <sheet xmlns:r="http://schemas.openxmlformats.org/officeDocument/2006/relationships" name="Secondary Student &amp; Staff Indic" sheetId="38" state="visible" r:id="rId38"/>
    <sheet xmlns:r="http://schemas.openxmlformats.org/officeDocument/2006/relationships" name="Student &amp; Staff Indicators - Na" sheetId="39" state="visible" r:id="rId39"/>
    <sheet xmlns:r="http://schemas.openxmlformats.org/officeDocument/2006/relationships" name="Student &amp; Staff Indicators - by" sheetId="40" state="visible" r:id="rId40"/>
    <sheet xmlns:r="http://schemas.openxmlformats.org/officeDocument/2006/relationships" name="Flow Rates &amp; Graduates by Level" sheetId="41" state="visible" r:id="rId41"/>
    <sheet xmlns:r="http://schemas.openxmlformats.org/officeDocument/2006/relationships" name="Flow Rates &amp; Graduates by Lev 1" sheetId="42" state="visible" r:id="rId42"/>
    <sheet xmlns:r="http://schemas.openxmlformats.org/officeDocument/2006/relationships" name="Flow Rates &amp; Graduates by Lev 2" sheetId="43" state="visible" r:id="rId43"/>
    <sheet xmlns:r="http://schemas.openxmlformats.org/officeDocument/2006/relationships" name="Student Flow Rates (Both) 2020-" sheetId="44" state="visible" r:id="rId44"/>
    <sheet xmlns:r="http://schemas.openxmlformats.org/officeDocument/2006/relationships" name="Student Flow Rates (Female) 202" sheetId="45" state="visible" r:id="rId45"/>
    <sheet xmlns:r="http://schemas.openxmlformats.org/officeDocument/2006/relationships" name="Student Flow Rates (Male) 2020-" sheetId="46" state="visible" r:id="rId46"/>
    <sheet xmlns:r="http://schemas.openxmlformats.org/officeDocument/2006/relationships" name="Survival &amp; Completion Rates 202" sheetId="47" state="visible" r:id="rId47"/>
    <sheet xmlns:r="http://schemas.openxmlformats.org/officeDocument/2006/relationships" name="Gender Parity Index 2021-2022" sheetId="48" state="visible" r:id="rId48"/>
    <sheet xmlns:r="http://schemas.openxmlformats.org/officeDocument/2006/relationships" name="Appendix - Historical Data 1979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888888"/>
      <sz val="9"/>
    </font>
    <font>
      <name val="Arial"/>
      <sz val="10"/>
    </font>
    <font>
      <name val="Arial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66CC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" fillId="14" borderId="1" applyAlignment="1" pivotButton="0" quotePrefix="0" xfId="0">
      <alignment horizontal="lef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6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8" customWidth="1" min="3" max="3"/>
    <col width="34" customWidth="1" min="4" max="4"/>
  </cols>
  <sheetData>
    <row r="2" ht="32" customHeight="1">
      <c r="B2" s="1" t="inlineStr">
        <is>
          <t>Cambodia Education — Public Schools 2020-2021</t>
        </is>
      </c>
    </row>
    <row r="4" ht="20" customHeight="1">
      <c r="B4" s="2" t="inlineStr">
        <is>
          <t>Category</t>
        </is>
      </c>
      <c r="C4" s="2" t="inlineStr">
        <is>
          <t>Sheet Description</t>
        </is>
      </c>
      <c r="D4" s="2" t="inlineStr">
        <is>
          <t>Open Sheet →</t>
        </is>
      </c>
    </row>
    <row r="5" ht="17" customHeight="1">
      <c r="B5" s="3" t="inlineStr">
        <is>
          <t xml:space="preserve">  ▸  Overview</t>
        </is>
      </c>
      <c r="C5" s="4" t="n"/>
      <c r="D5" s="4" t="n"/>
    </row>
    <row r="6" ht="15" customHeight="1">
      <c r="B6" s="5" t="inlineStr">
        <is>
          <t>Overview</t>
        </is>
      </c>
      <c r="C6" s="6" t="inlineStr">
        <is>
          <t>National Summary - Schools, Classes &amp; Staff</t>
        </is>
      </c>
      <c r="D6" s="7">
        <f>HYPERLINK("#'National Summary - Schools, Cla'!A1","National Summary - Schools, Cla")</f>
        <v/>
      </c>
    </row>
    <row r="7" ht="15" customHeight="1">
      <c r="B7" s="8" t="inlineStr">
        <is>
          <t>Overview</t>
        </is>
      </c>
      <c r="C7" s="9" t="inlineStr">
        <is>
          <t>Schools, Classes &amp; Staff by Province</t>
        </is>
      </c>
      <c r="D7" s="10">
        <f>HYPERLINK("#'Schools, Classes &amp; Staff by Pro'!A1","Schools, Classes &amp; Staff by Pro")</f>
        <v/>
      </c>
    </row>
    <row r="8" ht="17" customHeight="1">
      <c r="B8" s="11" t="inlineStr">
        <is>
          <t xml:space="preserve">  ▸  School Types</t>
        </is>
      </c>
      <c r="C8" s="12" t="n"/>
      <c r="D8" s="12" t="n"/>
    </row>
    <row r="9" ht="15" customHeight="1">
      <c r="B9" s="8" t="inlineStr">
        <is>
          <t>School Types</t>
        </is>
      </c>
      <c r="C9" s="9" t="inlineStr">
        <is>
          <t>All Lycees by Province</t>
        </is>
      </c>
      <c r="D9" s="10">
        <f>HYPERLINK("#'All Lycees by Province'!A1","All Lycees by Province")</f>
        <v/>
      </c>
    </row>
    <row r="10" ht="15" customHeight="1">
      <c r="B10" s="5" t="inlineStr">
        <is>
          <t>School Types</t>
        </is>
      </c>
      <c r="C10" s="6" t="inlineStr">
        <is>
          <t>Colleges by Province</t>
        </is>
      </c>
      <c r="D10" s="7">
        <f>HYPERLINK("#'Colleges by Province'!A1","Colleges by Province")</f>
        <v/>
      </c>
    </row>
    <row r="11" ht="15" customHeight="1">
      <c r="B11" s="8" t="inlineStr">
        <is>
          <t>School Types</t>
        </is>
      </c>
      <c r="C11" s="9" t="inlineStr">
        <is>
          <t>Lycees (Gr 10-12 only) by Province</t>
        </is>
      </c>
      <c r="D11" s="10">
        <f>HYPERLINK("#'Lycees (Gr 10-12 only) by Provi'!A1","Lycees (Gr 10-12 only) by Provi")</f>
        <v/>
      </c>
    </row>
    <row r="12" ht="15" customHeight="1">
      <c r="B12" s="5" t="inlineStr">
        <is>
          <t>School Types</t>
        </is>
      </c>
      <c r="C12" s="6" t="inlineStr">
        <is>
          <t>Pre-Schools by Province</t>
        </is>
      </c>
      <c r="D12" s="7">
        <f>HYPERLINK("#'Pre-Schools by Province'!A1","Pre-Schools by Province")</f>
        <v/>
      </c>
    </row>
    <row r="13" ht="15" customHeight="1">
      <c r="B13" s="8" t="inlineStr">
        <is>
          <t>School Types</t>
        </is>
      </c>
      <c r="C13" s="9" t="inlineStr">
        <is>
          <t>Primary Schools by Province</t>
        </is>
      </c>
      <c r="D13" s="10">
        <f>HYPERLINK("#'Primary Schools by Province'!A1","Primary Schools by Province")</f>
        <v/>
      </c>
    </row>
    <row r="14" ht="15" customHeight="1">
      <c r="B14" s="5" t="inlineStr">
        <is>
          <t>School Types</t>
        </is>
      </c>
      <c r="C14" s="6" t="inlineStr">
        <is>
          <t>Secondary Schools by Province</t>
        </is>
      </c>
      <c r="D14" s="7">
        <f>HYPERLINK("#'Secondary Schools by Province'!A1","Secondary Schools by Province")</f>
        <v/>
      </c>
    </row>
    <row r="15" ht="17" customHeight="1">
      <c r="B15" s="13" t="inlineStr">
        <is>
          <t xml:space="preserve">  ▸  School Info</t>
        </is>
      </c>
      <c r="C15" s="14" t="n"/>
      <c r="D15" s="14" t="n"/>
    </row>
    <row r="16" ht="15" customHeight="1">
      <c r="B16" s="5" t="inlineStr">
        <is>
          <t>School Info</t>
        </is>
      </c>
      <c r="C16" s="6" t="inlineStr">
        <is>
          <t>Classes by Grade &amp; Education Level</t>
        </is>
      </c>
      <c r="D16" s="7">
        <f>HYPERLINK("#'Classes by Grade &amp; Education Le'!A1","Classes by Grade &amp; Education Le")</f>
        <v/>
      </c>
    </row>
    <row r="17" ht="15" customHeight="1">
      <c r="B17" s="8" t="inlineStr">
        <is>
          <t>School Info</t>
        </is>
      </c>
      <c r="C17" s="9" t="inlineStr">
        <is>
          <t>Cluster Schools &amp; Schools in Pagoda</t>
        </is>
      </c>
      <c r="D17" s="10">
        <f>HYPERLINK("#'Cluster Schools &amp; Schools in Pa'!A1","Cluster Schools &amp; Schools in Pa")</f>
        <v/>
      </c>
    </row>
    <row r="18" ht="15" customHeight="1">
      <c r="B18" s="5" t="inlineStr">
        <is>
          <t>School Info</t>
        </is>
      </c>
      <c r="C18" s="6" t="inlineStr">
        <is>
          <t>School Characteristics &amp; Principals</t>
        </is>
      </c>
      <c r="D18" s="7">
        <f>HYPERLINK("#'School Characteristics &amp; Princi'!A1","School Characteristics &amp; Princi")</f>
        <v/>
      </c>
    </row>
    <row r="19" ht="15" customHeight="1">
      <c r="B19" s="8" t="inlineStr">
        <is>
          <t>School Info</t>
        </is>
      </c>
      <c r="C19" s="9" t="inlineStr">
        <is>
          <t>Schools by Highest Grade Taught</t>
        </is>
      </c>
      <c r="D19" s="10">
        <f>HYPERLINK("#'Schools by Highest Grade Taught'!A1","Schools by Highest Grade Taught")</f>
        <v/>
      </c>
    </row>
    <row r="20" ht="17" customHeight="1">
      <c r="B20" s="15" t="inlineStr">
        <is>
          <t xml:space="preserve">  ▸  Enrollment</t>
        </is>
      </c>
      <c r="C20" s="16" t="n"/>
      <c r="D20" s="16" t="n"/>
    </row>
    <row r="21" ht="15" customHeight="1">
      <c r="B21" s="8" t="inlineStr">
        <is>
          <t>Enrollment</t>
        </is>
      </c>
      <c r="C21" s="9" t="inlineStr">
        <is>
          <t>Enrollment &amp; Repeaters by Grade</t>
        </is>
      </c>
      <c r="D21" s="10">
        <f>HYPERLINK("#'Enrollment &amp; Repeaters by Grade'!A1","Enrollment &amp; Repeaters by Grade")</f>
        <v/>
      </c>
    </row>
    <row r="22" ht="15" customHeight="1">
      <c r="B22" s="5" t="inlineStr">
        <is>
          <t>Enrollment</t>
        </is>
      </c>
      <c r="C22" s="6" t="inlineStr">
        <is>
          <t>Enrollment by Level 2020-2021</t>
        </is>
      </c>
      <c r="D22" s="7">
        <f>HYPERLINK("#'Enrollment by Level 2020-2021'!A1","Enrollment by Level 2020-2021")</f>
        <v/>
      </c>
    </row>
    <row r="23" ht="15" customHeight="1">
      <c r="B23" s="8" t="inlineStr">
        <is>
          <t>Enrollment</t>
        </is>
      </c>
      <c r="C23" s="9" t="inlineStr">
        <is>
          <t>Enrollment by Level 2021-2022</t>
        </is>
      </c>
      <c r="D23" s="10">
        <f>HYPERLINK("#'Enrollment by Level 2021-2022'!A1","Enrollment by Level 2021-2022")</f>
        <v/>
      </c>
    </row>
    <row r="24" ht="15" customHeight="1">
      <c r="B24" s="5" t="inlineStr">
        <is>
          <t>Enrollment</t>
        </is>
      </c>
      <c r="C24" s="6" t="inlineStr">
        <is>
          <t>New Intake &amp; Enrollment by Age (Both)</t>
        </is>
      </c>
      <c r="D24" s="7">
        <f>HYPERLINK("#'New Intake &amp; Enrollment by Age '!A1","New Intake &amp; Enrollment by Age ")</f>
        <v/>
      </c>
    </row>
    <row r="25" ht="15" customHeight="1">
      <c r="B25" s="8" t="inlineStr">
        <is>
          <t>Enrollment</t>
        </is>
      </c>
      <c r="C25" s="9" t="inlineStr">
        <is>
          <t>New Intake &amp; Enrollment by Age (Female)</t>
        </is>
      </c>
      <c r="D25" s="10">
        <f>HYPERLINK("#'New Intake &amp; Enrollment by Ag 1'!A1","New Intake &amp; Enrollment by Ag 1")</f>
        <v/>
      </c>
    </row>
    <row r="26" ht="15" customHeight="1">
      <c r="B26" s="5" t="inlineStr">
        <is>
          <t>Enrollment</t>
        </is>
      </c>
      <c r="C26" s="6" t="inlineStr">
        <is>
          <t>Pre-School Enrollment by Step</t>
        </is>
      </c>
      <c r="D26" s="7">
        <f>HYPERLINK("#'Pre-School Enrollment by Step'!A1","Pre-School Enrollment by Step")</f>
        <v/>
      </c>
    </row>
    <row r="27" ht="17" customHeight="1">
      <c r="B27" s="17" t="inlineStr">
        <is>
          <t xml:space="preserve">  ▸  Staff</t>
        </is>
      </c>
      <c r="C27" s="18" t="n"/>
      <c r="D27" s="18" t="n"/>
    </row>
    <row r="28" ht="15" customHeight="1">
      <c r="B28" s="5" t="inlineStr">
        <is>
          <t>Staff</t>
        </is>
      </c>
      <c r="C28" s="6" t="inlineStr">
        <is>
          <t>Provincial &amp; District Educational Staff</t>
        </is>
      </c>
      <c r="D28" s="7">
        <f>HYPERLINK("#'Provincial &amp; District Education'!A1","Provincial &amp; District Education")</f>
        <v/>
      </c>
    </row>
    <row r="29" ht="15" customHeight="1">
      <c r="B29" s="8" t="inlineStr">
        <is>
          <t>Staff</t>
        </is>
      </c>
      <c r="C29" s="9" t="inlineStr">
        <is>
          <t>School Staff - Special Functions</t>
        </is>
      </c>
      <c r="D29" s="10">
        <f>HYPERLINK("#'School Staff - Special Function'!A1","School Staff - Special Function")</f>
        <v/>
      </c>
    </row>
    <row r="30" ht="15" customHeight="1">
      <c r="B30" s="5" t="inlineStr">
        <is>
          <t>Staff</t>
        </is>
      </c>
      <c r="C30" s="6" t="inlineStr">
        <is>
          <t>School Staff by Education Level</t>
        </is>
      </c>
      <c r="D30" s="7">
        <f>HYPERLINK("#'School Staff by Education Level'!A1","School Staff by Education Level")</f>
        <v/>
      </c>
    </row>
    <row r="31" ht="15" customHeight="1">
      <c r="B31" s="8" t="inlineStr">
        <is>
          <t>Staff</t>
        </is>
      </c>
      <c r="C31" s="9" t="inlineStr">
        <is>
          <t>Teaching Staff - Pedagogical Training</t>
        </is>
      </c>
      <c r="D31" s="10">
        <f>HYPERLINK("#'Teaching Staff - Pedagogical Tr'!A1","Teaching Staff - Pedagogical Tr")</f>
        <v/>
      </c>
    </row>
    <row r="32" ht="17" customHeight="1">
      <c r="B32" s="19" t="inlineStr">
        <is>
          <t xml:space="preserve">  ▸  Facilities</t>
        </is>
      </c>
      <c r="C32" s="20" t="n"/>
      <c r="D32" s="20" t="n"/>
    </row>
    <row r="33" ht="15" customHeight="1">
      <c r="B33" s="8" t="inlineStr">
        <is>
          <t>Facilities</t>
        </is>
      </c>
      <c r="C33" s="9" t="inlineStr">
        <is>
          <t>Classroom Conditions &amp; Office/Library</t>
        </is>
      </c>
      <c r="D33" s="10">
        <f>HYPERLINK("#'Classroom Conditions &amp; Office-L'!A1","Classroom Conditions &amp; Office-L")</f>
        <v/>
      </c>
    </row>
    <row r="34" ht="15" customHeight="1">
      <c r="B34" s="5" t="inlineStr">
        <is>
          <t>Facilities</t>
        </is>
      </c>
      <c r="C34" s="6" t="inlineStr">
        <is>
          <t>Community Participation &amp; Financing</t>
        </is>
      </c>
      <c r="D34" s="7">
        <f>HYPERLINK("#'Community Participation &amp; Finan'!A1","Community Participation &amp; Finan")</f>
        <v/>
      </c>
    </row>
    <row r="35" ht="15" customHeight="1">
      <c r="B35" s="8" t="inlineStr">
        <is>
          <t>Facilities</t>
        </is>
      </c>
      <c r="C35" s="9" t="inlineStr">
        <is>
          <t>School Building Conditions</t>
        </is>
      </c>
      <c r="D35" s="10">
        <f>HYPERLINK("#'School Building Conditions'!A1","School Building Conditions")</f>
        <v/>
      </c>
    </row>
    <row r="36" ht="15" customHeight="1">
      <c r="B36" s="5" t="inlineStr">
        <is>
          <t>Facilities</t>
        </is>
      </c>
      <c r="C36" s="6" t="inlineStr">
        <is>
          <t>School Space &amp; Sports Facilities</t>
        </is>
      </c>
      <c r="D36" s="7">
        <f>HYPERLINK("#'School Space &amp; Sports Facilitie'!A1","School Space &amp; Sports Facilitie")</f>
        <v/>
      </c>
    </row>
    <row r="37" ht="17" customHeight="1">
      <c r="B37" s="21" t="inlineStr">
        <is>
          <t xml:space="preserve">  ▸  Indicators</t>
        </is>
      </c>
      <c r="C37" s="22" t="n"/>
      <c r="D37" s="22" t="n"/>
    </row>
    <row r="38" ht="15" customHeight="1">
      <c r="B38" s="5" t="inlineStr">
        <is>
          <t>Indicators</t>
        </is>
      </c>
      <c r="C38" s="6" t="inlineStr">
        <is>
          <t>Access &amp; Enrollment Ratios for Male - by Province</t>
        </is>
      </c>
      <c r="D38" s="7">
        <f>HYPERLINK("#'Access &amp; Enrollment Ratios for '!A1","Access &amp; Enrollment Ratios for ")</f>
        <v/>
      </c>
    </row>
    <row r="39" ht="15" customHeight="1">
      <c r="B39" s="8" t="inlineStr">
        <is>
          <t>Indicators</t>
        </is>
      </c>
      <c r="C39" s="9" t="inlineStr">
        <is>
          <t>Access &amp; Equity Indicators - by Province</t>
        </is>
      </c>
      <c r="D39" s="10">
        <f>HYPERLINK("#'Access &amp; Equity Indicators - by'!A1","Access &amp; Equity Indicators - by")</f>
        <v/>
      </c>
    </row>
    <row r="40" ht="15" customHeight="1">
      <c r="B40" s="5" t="inlineStr">
        <is>
          <t>Indicators</t>
        </is>
      </c>
      <c r="C40" s="6" t="inlineStr">
        <is>
          <t>Enrollment Indicators - by Province</t>
        </is>
      </c>
      <c r="D40" s="7">
        <f>HYPERLINK("#'Enrollment Indicators - by Prov'!A1","Enrollment Indicators - by Prov")</f>
        <v/>
      </c>
    </row>
    <row r="41" ht="15" customHeight="1">
      <c r="B41" s="8" t="inlineStr">
        <is>
          <t>Indicators</t>
        </is>
      </c>
      <c r="C41" s="9" t="inlineStr">
        <is>
          <t>Gross &amp; Net Enrollment Ratios - by Province</t>
        </is>
      </c>
      <c r="D41" s="10">
        <f>HYPERLINK("#'Gross &amp; Net Enrollment Ratios -'!A1","Gross &amp; Net Enrollment Ratios -")</f>
        <v/>
      </c>
    </row>
    <row r="42" ht="15" customHeight="1">
      <c r="B42" s="5" t="inlineStr">
        <is>
          <t>Indicators</t>
        </is>
      </c>
      <c r="C42" s="6" t="inlineStr">
        <is>
          <t>Indicators on Primary Schools - by Province</t>
        </is>
      </c>
      <c r="D42" s="7">
        <f>HYPERLINK("#'Indicators on Primary Schools -'!A1","Indicators on Primary Schools -")</f>
        <v/>
      </c>
    </row>
    <row r="43" ht="15" customHeight="1">
      <c r="B43" s="8" t="inlineStr">
        <is>
          <t>Indicators</t>
        </is>
      </c>
      <c r="C43" s="9" t="inlineStr">
        <is>
          <t>Indicators on Schools - National</t>
        </is>
      </c>
      <c r="D43" s="10">
        <f>HYPERLINK("#'Indicators on Schools - Nationa'!A1","Indicators on Schools - Nationa")</f>
        <v/>
      </c>
    </row>
    <row r="44" ht="15" customHeight="1">
      <c r="B44" s="5" t="inlineStr">
        <is>
          <t>Indicators</t>
        </is>
      </c>
      <c r="C44" s="6" t="inlineStr">
        <is>
          <t>Indicators on Schools - by Province</t>
        </is>
      </c>
      <c r="D44" s="7">
        <f>HYPERLINK("#'Indicators on Schools - by Prov'!A1","Indicators on Schools - by Prov")</f>
        <v/>
      </c>
    </row>
    <row r="45" ht="15" customHeight="1">
      <c r="B45" s="8" t="inlineStr">
        <is>
          <t>Indicators</t>
        </is>
      </c>
      <c r="C45" s="9" t="inlineStr">
        <is>
          <t>Indicators on Secondary Schools - by Province</t>
        </is>
      </c>
      <c r="D45" s="10">
        <f>HYPERLINK("#'Indicators on Secondary Schools'!A1","Indicators on Secondary Schools")</f>
        <v/>
      </c>
    </row>
    <row r="46" ht="15" customHeight="1">
      <c r="B46" s="5" t="inlineStr">
        <is>
          <t>Indicators</t>
        </is>
      </c>
      <c r="C46" s="6" t="inlineStr">
        <is>
          <t>Primary Student &amp; Staff Indicators - by Province</t>
        </is>
      </c>
      <c r="D46" s="7">
        <f>HYPERLINK("#'Primary Student &amp; Staff Indicat'!A1","Primary Student &amp; Staff Indicat")</f>
        <v/>
      </c>
    </row>
    <row r="47" ht="15" customHeight="1">
      <c r="B47" s="8" t="inlineStr">
        <is>
          <t>Indicators</t>
        </is>
      </c>
      <c r="C47" s="9" t="inlineStr">
        <is>
          <t>School-Going Age Population &amp; Sex Ratios</t>
        </is>
      </c>
      <c r="D47" s="10">
        <f>HYPERLINK("#'School-Going Age Population &amp; S'!A1","School-Going Age Population &amp; S")</f>
        <v/>
      </c>
    </row>
    <row r="48" ht="15" customHeight="1">
      <c r="B48" s="5" t="inlineStr">
        <is>
          <t>Indicators</t>
        </is>
      </c>
      <c r="C48" s="6" t="inlineStr">
        <is>
          <t>Secondary Student &amp; Staff Indicators - by Province</t>
        </is>
      </c>
      <c r="D48" s="7">
        <f>HYPERLINK("#'Secondary Student &amp; Staff Indic'!A1","Secondary Student &amp; Staff Indic")</f>
        <v/>
      </c>
    </row>
    <row r="49" ht="15" customHeight="1">
      <c r="B49" s="8" t="inlineStr">
        <is>
          <t>Indicators</t>
        </is>
      </c>
      <c r="C49" s="9" t="inlineStr">
        <is>
          <t>Student &amp; Staff Indicators - National</t>
        </is>
      </c>
      <c r="D49" s="10">
        <f>HYPERLINK("#'Student &amp; Staff Indicators - Na'!A1","Student &amp; Staff Indicators - Na")</f>
        <v/>
      </c>
    </row>
    <row r="50" ht="15" customHeight="1">
      <c r="B50" s="5" t="inlineStr">
        <is>
          <t>Indicators</t>
        </is>
      </c>
      <c r="C50" s="6" t="inlineStr">
        <is>
          <t>Student &amp; Staff Indicators - by Province</t>
        </is>
      </c>
      <c r="D50" s="7">
        <f>HYPERLINK("#'Student &amp; Staff Indicators - by'!A1","Student &amp; Staff Indicators - by")</f>
        <v/>
      </c>
    </row>
    <row r="51" ht="17" customHeight="1">
      <c r="B51" s="23" t="inlineStr">
        <is>
          <t xml:space="preserve">  ▸  Student Flow</t>
        </is>
      </c>
      <c r="C51" s="24" t="n"/>
      <c r="D51" s="24" t="n"/>
    </row>
    <row r="52" ht="15" customHeight="1">
      <c r="B52" s="5" t="inlineStr">
        <is>
          <t>Student Flow</t>
        </is>
      </c>
      <c r="C52" s="6" t="inlineStr">
        <is>
          <t>Flow Rates &amp; Graduates by Level (Both) 2020-2021</t>
        </is>
      </c>
      <c r="D52" s="7">
        <f>HYPERLINK("#'Flow Rates &amp; Graduates by Level'!A1","Flow Rates &amp; Graduates by Level")</f>
        <v/>
      </c>
    </row>
    <row r="53" ht="15" customHeight="1">
      <c r="B53" s="8" t="inlineStr">
        <is>
          <t>Student Flow</t>
        </is>
      </c>
      <c r="C53" s="9" t="inlineStr">
        <is>
          <t>Flow Rates &amp; Graduates by Level (Female) 2020-2021</t>
        </is>
      </c>
      <c r="D53" s="10">
        <f>HYPERLINK("#'Flow Rates &amp; Graduates by Lev 1'!A1","Flow Rates &amp; Graduates by Lev 1")</f>
        <v/>
      </c>
    </row>
    <row r="54" ht="15" customHeight="1">
      <c r="B54" s="5" t="inlineStr">
        <is>
          <t>Student Flow</t>
        </is>
      </c>
      <c r="C54" s="6" t="inlineStr">
        <is>
          <t>Flow Rates &amp; Graduates by Level (Male) 2020-2021</t>
        </is>
      </c>
      <c r="D54" s="7">
        <f>HYPERLINK("#'Flow Rates &amp; Graduates by Lev 2'!A1","Flow Rates &amp; Graduates by Lev 2")</f>
        <v/>
      </c>
    </row>
    <row r="55" ht="15" customHeight="1">
      <c r="B55" s="8" t="inlineStr">
        <is>
          <t>Student Flow</t>
        </is>
      </c>
      <c r="C55" s="9" t="inlineStr">
        <is>
          <t>Student Flow Rates (Both) 2020-2021</t>
        </is>
      </c>
      <c r="D55" s="10">
        <f>HYPERLINK("#'Student Flow Rates (Both) 2020-'!A1","Student Flow Rates (Both) 2020-")</f>
        <v/>
      </c>
    </row>
    <row r="56" ht="15" customHeight="1">
      <c r="B56" s="5" t="inlineStr">
        <is>
          <t>Student Flow</t>
        </is>
      </c>
      <c r="C56" s="6" t="inlineStr">
        <is>
          <t>Student Flow Rates (Female) 2020-2021</t>
        </is>
      </c>
      <c r="D56" s="7">
        <f>HYPERLINK("#'Student Flow Rates (Female) 202'!A1","Student Flow Rates (Female) 202")</f>
        <v/>
      </c>
    </row>
    <row r="57" ht="15" customHeight="1">
      <c r="B57" s="8" t="inlineStr">
        <is>
          <t>Student Flow</t>
        </is>
      </c>
      <c r="C57" s="9" t="inlineStr">
        <is>
          <t>Student Flow Rates (Male) 2020-2021</t>
        </is>
      </c>
      <c r="D57" s="10">
        <f>HYPERLINK("#'Student Flow Rates (Male) 2020-'!A1","Student Flow Rates (Male) 2020-")</f>
        <v/>
      </c>
    </row>
    <row r="58" ht="15" customHeight="1">
      <c r="B58" s="5" t="inlineStr">
        <is>
          <t>Student Flow</t>
        </is>
      </c>
      <c r="C58" s="6" t="inlineStr">
        <is>
          <t>Survival &amp; Completion Rates 2020-2021</t>
        </is>
      </c>
      <c r="D58" s="7">
        <f>HYPERLINK("#'Survival &amp; Completion Rates 202'!A1","Survival &amp; Completion Rates 202")</f>
        <v/>
      </c>
    </row>
    <row r="59" ht="17" customHeight="1">
      <c r="B59" s="25" t="inlineStr">
        <is>
          <t xml:space="preserve">  ▸  Gender &amp; Equity</t>
        </is>
      </c>
      <c r="C59" s="26" t="n"/>
      <c r="D59" s="26" t="n"/>
    </row>
    <row r="60" ht="15" customHeight="1">
      <c r="B60" s="5" t="inlineStr">
        <is>
          <t>Gender &amp; Equity</t>
        </is>
      </c>
      <c r="C60" s="6" t="inlineStr">
        <is>
          <t>Gender Parity Index 2021-2022</t>
        </is>
      </c>
      <c r="D60" s="7">
        <f>HYPERLINK("#'Gender Parity Index 2021-2022'!A1","Gender Parity Index 2021-2022")</f>
        <v/>
      </c>
    </row>
    <row r="61" ht="17" customHeight="1">
      <c r="B61" s="27" t="inlineStr">
        <is>
          <t xml:space="preserve">  ▸  Reference</t>
        </is>
      </c>
      <c r="C61" s="28" t="n"/>
      <c r="D61" s="28" t="n"/>
    </row>
    <row r="62" ht="15" customHeight="1">
      <c r="B62" s="5" t="inlineStr">
        <is>
          <t>Reference</t>
        </is>
      </c>
      <c r="C62" s="6" t="inlineStr">
        <is>
          <t>Appendix - Historical Data 1979 to 2021</t>
        </is>
      </c>
      <c r="D62" s="7">
        <f>HYPERLINK("#'Appendix - Historical Data 1979'!A1","Appendix - Historical Data 1979")</f>
        <v/>
      </c>
    </row>
  </sheetData>
  <mergeCells count="11">
    <mergeCell ref="B59:D59"/>
    <mergeCell ref="B5:D5"/>
    <mergeCell ref="B37:D37"/>
    <mergeCell ref="B61:D61"/>
    <mergeCell ref="B8:D8"/>
    <mergeCell ref="B32:D32"/>
    <mergeCell ref="B27:D27"/>
    <mergeCell ref="B15:D15"/>
    <mergeCell ref="B51:D51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9" customWidth="1" min="1" max="1"/>
    <col width="8.42578125" customWidth="1" min="2" max="2"/>
    <col width="7.5703125" customWidth="1" min="3" max="3"/>
    <col width="8.42578125" customWidth="1" min="4" max="4"/>
    <col width="7.5703125" customWidth="1" min="5" max="5"/>
    <col width="8.85546875" customWidth="1" min="6" max="6"/>
    <col width="7.42578125" customWidth="1" min="8" max="8"/>
    <col width="6.42578125" customWidth="1" min="9" max="9"/>
    <col width="7.140625" customWidth="1" min="11" max="11"/>
    <col width="7.28515625" customWidth="1" min="12" max="12"/>
    <col width="7.140625" customWidth="1" min="13" max="13"/>
    <col width="7.42578125" customWidth="1" min="14" max="14"/>
    <col width="7.140625" customWidth="1" min="15" max="15"/>
  </cols>
  <sheetData>
    <row r="1">
      <c r="A1" t="inlineStr">
        <is>
          <t>Kingdom of Cambodia</t>
        </is>
      </c>
    </row>
    <row r="2">
      <c r="A2" t="inlineStr">
        <is>
          <t>Table 1: Schools, Classes, Students and Staff</t>
        </is>
      </c>
    </row>
    <row r="3">
      <c r="A3" t="inlineStr">
        <is>
          <t>Particulars</t>
        </is>
      </c>
      <c r="B3" t="inlineStr">
        <is>
          <t>Number of</t>
        </is>
      </c>
      <c r="C3" t="inlineStr">
        <is>
          <t>Disadv.</t>
        </is>
      </c>
      <c r="D3" t="inlineStr">
        <is>
          <t>Number of</t>
        </is>
      </c>
      <c r="E3" t="inlineStr">
        <is>
          <t>Classes</t>
        </is>
      </c>
      <c r="F3" t="inlineStr">
        <is>
          <t>Enrollment</t>
        </is>
      </c>
      <c r="H3" t="inlineStr">
        <is>
          <t>Repeaters</t>
        </is>
      </c>
      <c r="J3" t="inlineStr">
        <is>
          <t>Teaching Staff</t>
        </is>
      </c>
      <c r="L3" t="inlineStr">
        <is>
          <t>Non-Teaching Staff</t>
        </is>
      </c>
      <c r="N3" t="inlineStr">
        <is>
          <t>Total Staff</t>
        </is>
      </c>
    </row>
    <row r="4">
      <c r="B4" t="inlineStr">
        <is>
          <t>Schools</t>
        </is>
      </c>
      <c r="C4" t="inlineStr">
        <is>
          <t>Schools</t>
        </is>
      </c>
      <c r="D4" t="inlineStr">
        <is>
          <t>Classes</t>
        </is>
      </c>
      <c r="E4" t="inlineStr">
        <is>
          <t>in Pagoda</t>
        </is>
      </c>
      <c r="F4" t="inlineStr">
        <is>
          <t>Total</t>
        </is>
      </c>
      <c r="G4" t="inlineStr">
        <is>
          <t>Girl</t>
        </is>
      </c>
      <c r="H4" t="inlineStr">
        <is>
          <t>Total</t>
        </is>
      </c>
      <c r="I4" t="inlineStr">
        <is>
          <t>Girl</t>
        </is>
      </c>
      <c r="J4" t="inlineStr">
        <is>
          <t>Total</t>
        </is>
      </c>
      <c r="K4" t="inlineStr">
        <is>
          <t>Female</t>
        </is>
      </c>
      <c r="L4" t="inlineStr">
        <is>
          <t>Total</t>
        </is>
      </c>
      <c r="M4" t="inlineStr">
        <is>
          <t>Female</t>
        </is>
      </c>
      <c r="N4" t="inlineStr">
        <is>
          <t>Total</t>
        </is>
      </c>
      <c r="O4" t="inlineStr">
        <is>
          <t>Female</t>
        </is>
      </c>
    </row>
    <row r="5">
      <c r="A5" t="inlineStr">
        <is>
          <t>Whole Kingdom</t>
        </is>
      </c>
      <c r="B5" t="n">
        <v>13681</v>
      </c>
      <c r="C5" t="n">
        <v>0</v>
      </c>
      <c r="D5" t="n">
        <v>95909</v>
      </c>
      <c r="E5" t="n">
        <v>1393</v>
      </c>
      <c r="F5" t="n">
        <v>3277076</v>
      </c>
      <c r="G5" t="n">
        <v>1652532</v>
      </c>
      <c r="H5" t="n">
        <v>175718</v>
      </c>
      <c r="I5" t="n">
        <v>65660</v>
      </c>
      <c r="J5" t="n">
        <v>94718</v>
      </c>
      <c r="K5" t="n">
        <v>50545</v>
      </c>
      <c r="L5" t="n">
        <v>20831</v>
      </c>
      <c r="M5" t="n">
        <v>6287</v>
      </c>
      <c r="N5" t="n">
        <v>115549</v>
      </c>
      <c r="O5" t="n">
        <v>56832</v>
      </c>
    </row>
    <row r="6">
      <c r="A6" t="inlineStr">
        <is>
          <t>By Area of Location:
-    Urban Area</t>
        </is>
      </c>
      <c r="B6" t="n">
        <v>1464</v>
      </c>
      <c r="C6" t="n">
        <v>0</v>
      </c>
      <c r="D6" t="n">
        <v>16171</v>
      </c>
      <c r="E6" t="n">
        <v>230</v>
      </c>
      <c r="F6" t="n">
        <v>631100</v>
      </c>
      <c r="G6" t="n">
        <v>313657</v>
      </c>
      <c r="H6" t="n">
        <v>30248</v>
      </c>
      <c r="I6" t="n">
        <v>11701</v>
      </c>
      <c r="J6" t="n">
        <v>22625</v>
      </c>
      <c r="K6" t="n">
        <v>13158</v>
      </c>
      <c r="L6" t="n">
        <v>3777</v>
      </c>
      <c r="M6" t="n">
        <v>1515</v>
      </c>
      <c r="N6" t="n">
        <v>26402</v>
      </c>
      <c r="O6" t="n">
        <v>14673</v>
      </c>
    </row>
    <row r="7">
      <c r="A7" t="inlineStr">
        <is>
          <t>-    Rural Area</t>
        </is>
      </c>
      <c r="B7" t="n">
        <v>12217</v>
      </c>
      <c r="C7" t="n">
        <v>0</v>
      </c>
      <c r="D7" t="n">
        <v>79738</v>
      </c>
      <c r="E7" t="n">
        <v>1163</v>
      </c>
      <c r="F7" t="n">
        <v>2645976</v>
      </c>
      <c r="G7" t="n">
        <v>1338875</v>
      </c>
      <c r="H7" t="n">
        <v>145470</v>
      </c>
      <c r="I7" t="n">
        <v>53959</v>
      </c>
      <c r="J7" t="n">
        <v>72093</v>
      </c>
      <c r="K7" t="n">
        <v>37387</v>
      </c>
      <c r="L7" t="n">
        <v>17054</v>
      </c>
      <c r="M7" t="n">
        <v>4772</v>
      </c>
      <c r="N7" t="n">
        <v>89147</v>
      </c>
      <c r="O7" t="n">
        <v>42159</v>
      </c>
    </row>
    <row r="8">
      <c r="A8" t="inlineStr">
        <is>
          <t>By Type of School &amp; Edn. Level :
-    Pre-School</t>
        </is>
      </c>
      <c r="B8" t="n">
        <v>4563</v>
      </c>
      <c r="C8" t="n">
        <v>0</v>
      </c>
      <c r="D8" t="n">
        <v>8482</v>
      </c>
      <c r="E8" t="n">
        <v>229</v>
      </c>
      <c r="F8" t="n">
        <v>217787</v>
      </c>
      <c r="G8" t="n">
        <v>109005</v>
      </c>
      <c r="H8" t="n">
        <v>0</v>
      </c>
      <c r="I8" t="n">
        <v>0</v>
      </c>
      <c r="J8" t="n">
        <v>5621</v>
      </c>
      <c r="K8" t="n">
        <v>5337</v>
      </c>
      <c r="L8" t="n">
        <v>313</v>
      </c>
      <c r="M8" t="n">
        <v>264</v>
      </c>
      <c r="N8" t="n">
        <v>5934</v>
      </c>
      <c r="O8" t="n">
        <v>5601</v>
      </c>
    </row>
    <row r="9">
      <c r="A9" t="inlineStr">
        <is>
          <t>-    Primary School</t>
        </is>
      </c>
      <c r="B9" t="n">
        <v>7306</v>
      </c>
      <c r="C9" t="n">
        <v>0</v>
      </c>
      <c r="D9" t="n">
        <v>63263</v>
      </c>
      <c r="E9" t="n">
        <v>905</v>
      </c>
      <c r="F9" t="n">
        <v>2036566</v>
      </c>
      <c r="G9" t="n">
        <v>998416</v>
      </c>
      <c r="H9" t="n">
        <v>164200</v>
      </c>
      <c r="I9" t="n">
        <v>61095</v>
      </c>
      <c r="J9" t="n">
        <v>45148</v>
      </c>
      <c r="K9" t="n">
        <v>26590</v>
      </c>
      <c r="L9" t="n">
        <v>12892</v>
      </c>
      <c r="M9" t="n">
        <v>3983</v>
      </c>
      <c r="N9" t="n">
        <v>58040</v>
      </c>
      <c r="O9" t="n">
        <v>30573</v>
      </c>
    </row>
    <row r="10">
      <c r="A10" t="inlineStr">
        <is>
          <t>-    College (Grade 7-9)</t>
        </is>
      </c>
      <c r="B10" t="n">
        <v>1253</v>
      </c>
      <c r="C10" t="n">
        <v>0</v>
      </c>
      <c r="D10" t="n">
        <v>7938</v>
      </c>
      <c r="E10" t="n">
        <v>144</v>
      </c>
      <c r="F10" t="n">
        <v>341922</v>
      </c>
      <c r="G10" t="n">
        <v>181120</v>
      </c>
      <c r="H10" t="n">
        <v>3082</v>
      </c>
      <c r="I10" t="n">
        <v>1053</v>
      </c>
      <c r="J10" t="n">
        <v>14704</v>
      </c>
      <c r="K10" t="n">
        <v>6665</v>
      </c>
      <c r="L10" t="n">
        <v>2998</v>
      </c>
      <c r="M10" t="n">
        <v>712</v>
      </c>
      <c r="N10" t="n">
        <v>17702</v>
      </c>
      <c r="O10" t="n">
        <v>7377</v>
      </c>
    </row>
    <row r="11">
      <c r="A11" t="inlineStr">
        <is>
          <t>-    Lycee (Grade 10-12)</t>
        </is>
      </c>
      <c r="B11" t="n">
        <v>35</v>
      </c>
      <c r="C11" t="n">
        <v>0</v>
      </c>
      <c r="D11" t="n">
        <v>572</v>
      </c>
      <c r="E11" t="n">
        <v>0</v>
      </c>
      <c r="F11" t="n">
        <v>24517</v>
      </c>
      <c r="G11" t="n">
        <v>13294</v>
      </c>
      <c r="H11" t="n">
        <v>234</v>
      </c>
      <c r="I11" t="n">
        <v>99</v>
      </c>
      <c r="J11" t="n">
        <v>1058</v>
      </c>
      <c r="K11" t="n">
        <v>350</v>
      </c>
      <c r="L11" t="n">
        <v>145</v>
      </c>
      <c r="M11" t="n">
        <v>35</v>
      </c>
      <c r="N11" t="n">
        <v>1203</v>
      </c>
      <c r="O11" t="n">
        <v>385</v>
      </c>
    </row>
    <row r="12">
      <c r="A12" t="inlineStr">
        <is>
          <t>-    Lycee (Grade 7-12)</t>
        </is>
      </c>
      <c r="B12" t="n">
        <v>524</v>
      </c>
      <c r="C12" t="n">
        <v>0</v>
      </c>
      <c r="D12" t="n">
        <v>15654</v>
      </c>
      <c r="E12" t="n">
        <v>115</v>
      </c>
      <c r="F12" t="n">
        <v>656284</v>
      </c>
      <c r="G12" t="n">
        <v>350697</v>
      </c>
      <c r="H12" t="n">
        <v>8202</v>
      </c>
      <c r="I12" t="n">
        <v>3413</v>
      </c>
      <c r="J12" t="n">
        <v>28187</v>
      </c>
      <c r="K12" t="n">
        <v>11603</v>
      </c>
      <c r="L12" t="n">
        <v>4483</v>
      </c>
      <c r="M12" t="n">
        <v>1293</v>
      </c>
      <c r="N12" t="n">
        <v>32670</v>
      </c>
      <c r="O12" t="n">
        <v>12896</v>
      </c>
    </row>
    <row r="13">
      <c r="A13" t="inlineStr">
        <is>
          <t>-    Lower Secondary Level  (Grade 7-9)</t>
        </is>
      </c>
      <c r="B13" t="n">
        <v>1777</v>
      </c>
      <c r="C13" t="n">
        <v>0</v>
      </c>
      <c r="D13" t="n">
        <v>15307</v>
      </c>
      <c r="E13" t="n">
        <v>144</v>
      </c>
      <c r="F13" t="n">
        <v>662106</v>
      </c>
      <c r="G13" t="n">
        <v>348637</v>
      </c>
      <c r="H13" t="n">
        <v>7724</v>
      </c>
      <c r="I13" t="n">
        <v>2817</v>
      </c>
      <c r="J13" t="n">
        <v>28236</v>
      </c>
      <c r="K13" t="n">
        <v>12920</v>
      </c>
      <c r="L13" t="n">
        <v>5150</v>
      </c>
      <c r="M13" t="n">
        <v>1332</v>
      </c>
      <c r="N13" t="n">
        <v>33386</v>
      </c>
      <c r="O13" t="n">
        <v>14252</v>
      </c>
    </row>
    <row r="14">
      <c r="A14" t="inlineStr">
        <is>
          <t>-    Upper Secondary Level  (Grade 10-12)</t>
        </is>
      </c>
      <c r="B14" t="n">
        <v>559</v>
      </c>
      <c r="C14" t="n">
        <v>0</v>
      </c>
      <c r="D14" t="n">
        <v>8857</v>
      </c>
      <c r="E14" t="n">
        <v>115</v>
      </c>
      <c r="F14" t="n">
        <v>360617</v>
      </c>
      <c r="G14" t="n">
        <v>196474</v>
      </c>
      <c r="H14" t="n">
        <v>3794</v>
      </c>
      <c r="I14" t="n">
        <v>1748</v>
      </c>
      <c r="J14" t="n">
        <v>15713</v>
      </c>
      <c r="K14" t="n">
        <v>5698</v>
      </c>
      <c r="L14" t="n">
        <v>2476</v>
      </c>
      <c r="M14" t="n">
        <v>708</v>
      </c>
      <c r="N14" t="n">
        <v>18189</v>
      </c>
      <c r="O14" t="n">
        <v>6406</v>
      </c>
    </row>
    <row r="15">
      <c r="A15" t="inlineStr">
        <is>
          <t>Characteristics of Primary Schools:
-    Cluster - core school</t>
        </is>
      </c>
      <c r="B15" t="n">
        <v>1342</v>
      </c>
      <c r="C15" t="n">
        <v>0</v>
      </c>
      <c r="D15" t="n">
        <v>17223</v>
      </c>
      <c r="E15" t="n">
        <v>202</v>
      </c>
      <c r="F15" t="n">
        <v>653654</v>
      </c>
      <c r="G15" t="n">
        <v>322306</v>
      </c>
      <c r="H15" t="n">
        <v>49612</v>
      </c>
      <c r="I15" t="n">
        <v>18238</v>
      </c>
      <c r="J15" t="n">
        <v>14100</v>
      </c>
      <c r="K15" t="n">
        <v>9257</v>
      </c>
      <c r="L15" t="n">
        <v>4171</v>
      </c>
      <c r="M15" t="n">
        <v>1402</v>
      </c>
      <c r="N15" t="n">
        <v>18271</v>
      </c>
      <c r="O15" t="n">
        <v>10659</v>
      </c>
    </row>
    <row r="16">
      <c r="A16" t="inlineStr">
        <is>
          <t>-    Cluster - satellite school</t>
        </is>
      </c>
      <c r="B16" t="n">
        <v>5964</v>
      </c>
      <c r="C16" t="n">
        <v>0</v>
      </c>
      <c r="D16" t="n">
        <v>46040</v>
      </c>
      <c r="E16" t="n">
        <v>703</v>
      </c>
      <c r="F16" t="n">
        <v>1382912</v>
      </c>
      <c r="G16" t="n">
        <v>676110</v>
      </c>
      <c r="H16" t="n">
        <v>114588</v>
      </c>
      <c r="I16" t="n">
        <v>42857</v>
      </c>
      <c r="J16" t="n">
        <v>31048</v>
      </c>
      <c r="K16" t="n">
        <v>17333</v>
      </c>
      <c r="L16" t="n">
        <v>8721</v>
      </c>
      <c r="M16" t="n">
        <v>2581</v>
      </c>
      <c r="N16" t="n">
        <v>39769</v>
      </c>
      <c r="O16" t="n">
        <v>19914</v>
      </c>
    </row>
    <row r="17">
      <c r="A17" t="inlineStr">
        <is>
          <t>-    School not in cluster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-    Annex school</t>
        </is>
      </c>
      <c r="B18" t="n">
        <v>705</v>
      </c>
      <c r="C18" t="n">
        <v>0</v>
      </c>
      <c r="D18" t="n">
        <v>5084</v>
      </c>
      <c r="E18" t="n">
        <v>180</v>
      </c>
      <c r="F18" t="n">
        <v>147868</v>
      </c>
      <c r="G18" t="n">
        <v>71093</v>
      </c>
      <c r="H18" t="n">
        <v>12201</v>
      </c>
      <c r="I18" t="n">
        <v>4592</v>
      </c>
      <c r="J18" t="n">
        <v>3441</v>
      </c>
      <c r="K18" t="n">
        <v>1879</v>
      </c>
      <c r="L18" t="n">
        <v>887</v>
      </c>
      <c r="M18" t="n">
        <v>296</v>
      </c>
      <c r="N18" t="n">
        <v>4328</v>
      </c>
      <c r="O18" t="n">
        <v>2175</v>
      </c>
    </row>
    <row r="19">
      <c r="A19" t="inlineStr">
        <is>
          <t>-    School in Pagoda</t>
        </is>
      </c>
      <c r="B19" t="n">
        <v>972</v>
      </c>
      <c r="C19" t="n">
        <v>0</v>
      </c>
      <c r="D19" t="n">
        <v>8406</v>
      </c>
      <c r="E19" t="n">
        <v>0</v>
      </c>
      <c r="F19" t="n">
        <v>283816</v>
      </c>
      <c r="G19" t="n">
        <v>136751</v>
      </c>
      <c r="H19" t="n">
        <v>21708</v>
      </c>
      <c r="I19" t="n">
        <v>7651</v>
      </c>
      <c r="J19" t="n">
        <v>6333</v>
      </c>
      <c r="K19" t="n">
        <v>3608</v>
      </c>
      <c r="L19" t="n">
        <v>2029</v>
      </c>
      <c r="M19" t="n">
        <v>607</v>
      </c>
      <c r="N19" t="n">
        <v>8362</v>
      </c>
      <c r="O19" t="n">
        <v>4215</v>
      </c>
    </row>
    <row r="20">
      <c r="A20" t="inlineStr">
        <is>
          <t>Disadvantaged school (All Level)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</sheetData>
  <mergeCells count="8">
    <mergeCell ref="F3:G3"/>
    <mergeCell ref="L3:M3"/>
    <mergeCell ref="J3:K3"/>
    <mergeCell ref="N3:O3"/>
    <mergeCell ref="A2:O2"/>
    <mergeCell ref="A3:A4"/>
    <mergeCell ref="A1:O1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42578125" customWidth="1" min="2" max="2"/>
    <col width="7.5703125" customWidth="1" min="3" max="3"/>
    <col width="9" customWidth="1" min="4" max="4"/>
    <col width="8.85546875" customWidth="1" min="5" max="5"/>
    <col width="10.140625" customWidth="1" min="6" max="6"/>
    <col width="8.7109375" customWidth="1" min="8" max="8"/>
    <col width="7.7109375" customWidth="1" min="9" max="9"/>
    <col width="7.140625" customWidth="1" min="13" max="13"/>
    <col width="8.7109375" customWidth="1" min="14" max="14"/>
    <col width="7.7109375" customWidth="1" min="15" max="15"/>
  </cols>
  <sheetData>
    <row r="1">
      <c r="A1" t="inlineStr">
        <is>
          <t>Table 2: Schools,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Disadv.</t>
        </is>
      </c>
      <c r="D2" t="inlineStr">
        <is>
          <t>Number of</t>
        </is>
      </c>
      <c r="E2" t="inlineStr">
        <is>
          <t>Classes</t>
        </is>
      </c>
      <c r="F2" t="inlineStr">
        <is>
          <t>Enrollment</t>
        </is>
      </c>
      <c r="H2" t="inlineStr">
        <is>
          <t>Repeaters</t>
        </is>
      </c>
      <c r="J2" t="inlineStr">
        <is>
          <t>Teaching Staff</t>
        </is>
      </c>
      <c r="L2" t="inlineStr">
        <is>
          <t>Non-Teaching Staff</t>
        </is>
      </c>
      <c r="N2" t="inlineStr">
        <is>
          <t>Total Staff</t>
        </is>
      </c>
    </row>
    <row r="3">
      <c r="B3" t="inlineStr">
        <is>
          <t>Schools</t>
        </is>
      </c>
      <c r="C3" t="inlineStr">
        <is>
          <t>Schools</t>
        </is>
      </c>
      <c r="D3" t="inlineStr">
        <is>
          <t>Classes</t>
        </is>
      </c>
      <c r="E3" t="inlineStr">
        <is>
          <t>in Pagoda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Female</t>
        </is>
      </c>
      <c r="L3" t="inlineStr">
        <is>
          <t>Total</t>
        </is>
      </c>
      <c r="M3" t="inlineStr">
        <is>
          <t>Female</t>
        </is>
      </c>
      <c r="N3" t="inlineStr">
        <is>
          <t>Total</t>
        </is>
      </c>
      <c r="O3" t="inlineStr">
        <is>
          <t>Female</t>
        </is>
      </c>
    </row>
    <row r="4">
      <c r="A4" t="inlineStr">
        <is>
          <t>Banteay Meanchey</t>
        </is>
      </c>
      <c r="B4" t="n">
        <v>822</v>
      </c>
      <c r="C4" t="n">
        <v>0</v>
      </c>
      <c r="D4" t="n">
        <v>4882</v>
      </c>
      <c r="E4" t="n">
        <v>23</v>
      </c>
      <c r="F4" t="n">
        <v>164159</v>
      </c>
      <c r="G4" t="n">
        <v>82496</v>
      </c>
      <c r="H4" t="n">
        <v>5391</v>
      </c>
      <c r="I4" t="n">
        <v>1961</v>
      </c>
      <c r="J4" t="n">
        <v>4766</v>
      </c>
      <c r="K4" t="n">
        <v>2503</v>
      </c>
      <c r="L4" t="n">
        <v>938</v>
      </c>
      <c r="M4" t="n">
        <v>243</v>
      </c>
      <c r="N4" t="n">
        <v>5704</v>
      </c>
      <c r="O4" t="n">
        <v>2746</v>
      </c>
    </row>
    <row r="5">
      <c r="A5" t="inlineStr">
        <is>
          <t>Battambang</t>
        </is>
      </c>
      <c r="B5" t="n">
        <v>1170</v>
      </c>
      <c r="C5" t="n">
        <v>0</v>
      </c>
      <c r="D5" t="n">
        <v>7827</v>
      </c>
      <c r="E5" t="n">
        <v>63</v>
      </c>
      <c r="F5" t="n">
        <v>257116</v>
      </c>
      <c r="G5" t="n">
        <v>128312</v>
      </c>
      <c r="H5" t="n">
        <v>13223</v>
      </c>
      <c r="I5" t="n">
        <v>5076</v>
      </c>
      <c r="J5" t="n">
        <v>7099</v>
      </c>
      <c r="K5" t="n">
        <v>4290</v>
      </c>
      <c r="L5" t="n">
        <v>1758</v>
      </c>
      <c r="M5" t="n">
        <v>670</v>
      </c>
      <c r="N5" t="n">
        <v>8857</v>
      </c>
      <c r="O5" t="n">
        <v>4960</v>
      </c>
    </row>
    <row r="6">
      <c r="A6" t="inlineStr">
        <is>
          <t>Kampong Cham</t>
        </is>
      </c>
      <c r="B6" t="n">
        <v>820</v>
      </c>
      <c r="C6" t="n">
        <v>0</v>
      </c>
      <c r="D6" t="n">
        <v>6116</v>
      </c>
      <c r="E6" t="n">
        <v>146</v>
      </c>
      <c r="F6" t="n">
        <v>223361</v>
      </c>
      <c r="G6" t="n">
        <v>118213</v>
      </c>
      <c r="H6" t="n">
        <v>14549</v>
      </c>
      <c r="I6" t="n">
        <v>5407</v>
      </c>
      <c r="J6" t="n">
        <v>5840</v>
      </c>
      <c r="K6" t="n">
        <v>3411</v>
      </c>
      <c r="L6" t="n">
        <v>1779</v>
      </c>
      <c r="M6" t="n">
        <v>722</v>
      </c>
      <c r="N6" t="n">
        <v>7619</v>
      </c>
      <c r="O6" t="n">
        <v>4133</v>
      </c>
    </row>
    <row r="7">
      <c r="A7" t="inlineStr">
        <is>
          <t>Kampong Chhnang</t>
        </is>
      </c>
      <c r="B7" t="n">
        <v>472</v>
      </c>
      <c r="C7" t="n">
        <v>0</v>
      </c>
      <c r="D7" t="n">
        <v>3307</v>
      </c>
      <c r="E7" t="n">
        <v>23</v>
      </c>
      <c r="F7" t="n">
        <v>118383</v>
      </c>
      <c r="G7" t="n">
        <v>61090</v>
      </c>
      <c r="H7" t="n">
        <v>6480</v>
      </c>
      <c r="I7" t="n">
        <v>2210</v>
      </c>
      <c r="J7" t="n">
        <v>3586</v>
      </c>
      <c r="K7" t="n">
        <v>1776</v>
      </c>
      <c r="L7" t="n">
        <v>740</v>
      </c>
      <c r="M7" t="n">
        <v>213</v>
      </c>
      <c r="N7" t="n">
        <v>4326</v>
      </c>
      <c r="O7" t="n">
        <v>1989</v>
      </c>
    </row>
    <row r="8">
      <c r="A8" t="inlineStr">
        <is>
          <t>Kampong Speu</t>
        </is>
      </c>
      <c r="B8" t="n">
        <v>631</v>
      </c>
      <c r="C8" t="n">
        <v>0</v>
      </c>
      <c r="D8" t="n">
        <v>4182</v>
      </c>
      <c r="E8" t="n">
        <v>37</v>
      </c>
      <c r="F8" t="n">
        <v>165484</v>
      </c>
      <c r="G8" t="n">
        <v>81809</v>
      </c>
      <c r="H8" t="n">
        <v>6624</v>
      </c>
      <c r="I8" t="n">
        <v>2620</v>
      </c>
      <c r="J8" t="n">
        <v>4308</v>
      </c>
      <c r="K8" t="n">
        <v>1970</v>
      </c>
      <c r="L8" t="n">
        <v>871</v>
      </c>
      <c r="M8" t="n">
        <v>177</v>
      </c>
      <c r="N8" t="n">
        <v>5179</v>
      </c>
      <c r="O8" t="n">
        <v>2147</v>
      </c>
    </row>
    <row r="9">
      <c r="A9" t="inlineStr">
        <is>
          <t>Kampong Thom</t>
        </is>
      </c>
      <c r="B9" t="n">
        <v>800</v>
      </c>
      <c r="C9" t="n">
        <v>0</v>
      </c>
      <c r="D9" t="n">
        <v>4920</v>
      </c>
      <c r="E9" t="n">
        <v>69</v>
      </c>
      <c r="F9" t="n">
        <v>158695</v>
      </c>
      <c r="G9" t="n">
        <v>84240</v>
      </c>
      <c r="H9" t="n">
        <v>8224</v>
      </c>
      <c r="I9" t="n">
        <v>3068</v>
      </c>
      <c r="J9" t="n">
        <v>4463</v>
      </c>
      <c r="K9" t="n">
        <v>2526</v>
      </c>
      <c r="L9" t="n">
        <v>828</v>
      </c>
      <c r="M9" t="n">
        <v>218</v>
      </c>
      <c r="N9" t="n">
        <v>5291</v>
      </c>
      <c r="O9" t="n">
        <v>2744</v>
      </c>
    </row>
    <row r="10">
      <c r="A10" t="inlineStr">
        <is>
          <t>Kampot</t>
        </is>
      </c>
      <c r="B10" t="n">
        <v>612</v>
      </c>
      <c r="C10" t="n">
        <v>0</v>
      </c>
      <c r="D10" t="n">
        <v>4710</v>
      </c>
      <c r="E10" t="n">
        <v>79</v>
      </c>
      <c r="F10" t="n">
        <v>125456</v>
      </c>
      <c r="G10" t="n">
        <v>61766</v>
      </c>
      <c r="H10" t="n">
        <v>4613</v>
      </c>
      <c r="I10" t="n">
        <v>1626</v>
      </c>
      <c r="J10" t="n">
        <v>4740</v>
      </c>
      <c r="K10" t="n">
        <v>2374</v>
      </c>
      <c r="L10" t="n">
        <v>998</v>
      </c>
      <c r="M10" t="n">
        <v>226</v>
      </c>
      <c r="N10" t="n">
        <v>5738</v>
      </c>
      <c r="O10" t="n">
        <v>2600</v>
      </c>
    </row>
    <row r="11">
      <c r="A11" t="inlineStr">
        <is>
          <t>Kandal</t>
        </is>
      </c>
      <c r="B11" t="n">
        <v>761</v>
      </c>
      <c r="C11" t="n">
        <v>0</v>
      </c>
      <c r="D11" t="n">
        <v>6810</v>
      </c>
      <c r="E11" t="n">
        <v>175</v>
      </c>
      <c r="F11" t="n">
        <v>263786</v>
      </c>
      <c r="G11" t="n">
        <v>130356</v>
      </c>
      <c r="H11" t="n">
        <v>19661</v>
      </c>
      <c r="I11" t="n">
        <v>7286</v>
      </c>
      <c r="J11" t="n">
        <v>7299</v>
      </c>
      <c r="K11" t="n">
        <v>4114</v>
      </c>
      <c r="L11" t="n">
        <v>1516</v>
      </c>
      <c r="M11" t="n">
        <v>402</v>
      </c>
      <c r="N11" t="n">
        <v>8815</v>
      </c>
      <c r="O11" t="n">
        <v>4516</v>
      </c>
    </row>
    <row r="12">
      <c r="A12" t="inlineStr">
        <is>
          <t>Kep</t>
        </is>
      </c>
      <c r="B12" t="n">
        <v>50</v>
      </c>
      <c r="C12" t="n">
        <v>0</v>
      </c>
      <c r="D12" t="n">
        <v>300</v>
      </c>
      <c r="E12" t="n">
        <v>9</v>
      </c>
      <c r="F12" t="n">
        <v>9014</v>
      </c>
      <c r="G12" t="n">
        <v>4477</v>
      </c>
      <c r="H12" t="n">
        <v>350</v>
      </c>
      <c r="I12" t="n">
        <v>111</v>
      </c>
      <c r="J12" t="n">
        <v>476</v>
      </c>
      <c r="K12" t="n">
        <v>258</v>
      </c>
      <c r="L12" t="n">
        <v>97</v>
      </c>
      <c r="M12" t="n">
        <v>19</v>
      </c>
      <c r="N12" t="n">
        <v>573</v>
      </c>
      <c r="O12" t="n">
        <v>277</v>
      </c>
    </row>
    <row r="13">
      <c r="A13" t="inlineStr">
        <is>
          <t>Koh Kong</t>
        </is>
      </c>
      <c r="B13" t="n">
        <v>223</v>
      </c>
      <c r="C13" t="n">
        <v>0</v>
      </c>
      <c r="D13" t="n">
        <v>1204</v>
      </c>
      <c r="E13" t="n">
        <v>2</v>
      </c>
      <c r="F13" t="n">
        <v>28113</v>
      </c>
      <c r="G13" t="n">
        <v>13868</v>
      </c>
      <c r="H13" t="n">
        <v>995</v>
      </c>
      <c r="I13" t="n">
        <v>376</v>
      </c>
      <c r="J13" t="n">
        <v>1199</v>
      </c>
      <c r="K13" t="n">
        <v>578</v>
      </c>
      <c r="L13" t="n">
        <v>186</v>
      </c>
      <c r="M13" t="n">
        <v>53</v>
      </c>
      <c r="N13" t="n">
        <v>1385</v>
      </c>
      <c r="O13" t="n">
        <v>631</v>
      </c>
    </row>
    <row r="14">
      <c r="A14" t="inlineStr">
        <is>
          <t>Kratie</t>
        </is>
      </c>
      <c r="B14" t="n">
        <v>446</v>
      </c>
      <c r="C14" t="n">
        <v>0</v>
      </c>
      <c r="D14" t="n">
        <v>2993</v>
      </c>
      <c r="E14" t="n">
        <v>71</v>
      </c>
      <c r="F14" t="n">
        <v>89547</v>
      </c>
      <c r="G14" t="n">
        <v>47017</v>
      </c>
      <c r="H14" t="n">
        <v>6580</v>
      </c>
      <c r="I14" t="n">
        <v>2591</v>
      </c>
      <c r="J14" t="n">
        <v>2696</v>
      </c>
      <c r="K14" t="n">
        <v>1706</v>
      </c>
      <c r="L14" t="n">
        <v>404</v>
      </c>
      <c r="M14" t="n">
        <v>144</v>
      </c>
      <c r="N14" t="n">
        <v>3100</v>
      </c>
      <c r="O14" t="n">
        <v>1850</v>
      </c>
    </row>
    <row r="15">
      <c r="A15" t="inlineStr">
        <is>
          <t>Mondul Kiri</t>
        </is>
      </c>
      <c r="B15" t="n">
        <v>132</v>
      </c>
      <c r="C15" t="n">
        <v>0</v>
      </c>
      <c r="D15" t="n">
        <v>862</v>
      </c>
      <c r="E15" t="n">
        <v>2</v>
      </c>
      <c r="F15" t="n">
        <v>22045</v>
      </c>
      <c r="G15" t="n">
        <v>11465</v>
      </c>
      <c r="H15" t="n">
        <v>1161</v>
      </c>
      <c r="I15" t="n">
        <v>439</v>
      </c>
      <c r="J15" t="n">
        <v>937</v>
      </c>
      <c r="K15" t="n">
        <v>484</v>
      </c>
      <c r="L15" t="n">
        <v>68</v>
      </c>
      <c r="M15" t="n">
        <v>12</v>
      </c>
      <c r="N15" t="n">
        <v>1005</v>
      </c>
      <c r="O15" t="n">
        <v>496</v>
      </c>
    </row>
    <row r="16">
      <c r="A16" t="inlineStr">
        <is>
          <t>Otdar Meanchey</t>
        </is>
      </c>
      <c r="B16" t="n">
        <v>366</v>
      </c>
      <c r="C16" t="n">
        <v>0</v>
      </c>
      <c r="D16" t="n">
        <v>2090</v>
      </c>
      <c r="E16" t="n">
        <v>1</v>
      </c>
      <c r="F16" t="n">
        <v>57618</v>
      </c>
      <c r="G16" t="n">
        <v>28479</v>
      </c>
      <c r="H16" t="n">
        <v>3547</v>
      </c>
      <c r="I16" t="n">
        <v>1318</v>
      </c>
      <c r="J16" t="n">
        <v>1641</v>
      </c>
      <c r="K16" t="n">
        <v>767</v>
      </c>
      <c r="L16" t="n">
        <v>349</v>
      </c>
      <c r="M16" t="n">
        <v>87</v>
      </c>
      <c r="N16" t="n">
        <v>1990</v>
      </c>
      <c r="O16" t="n">
        <v>854</v>
      </c>
    </row>
    <row r="17">
      <c r="A17" t="inlineStr">
        <is>
          <t>Pailin</t>
        </is>
      </c>
      <c r="B17" t="n">
        <v>82</v>
      </c>
      <c r="C17" t="n">
        <v>0</v>
      </c>
      <c r="D17" t="n">
        <v>540</v>
      </c>
      <c r="E17" t="n">
        <v>0</v>
      </c>
      <c r="F17" t="n">
        <v>16283</v>
      </c>
      <c r="G17" t="n">
        <v>8278</v>
      </c>
      <c r="H17" t="n">
        <v>947</v>
      </c>
      <c r="I17" t="n">
        <v>375</v>
      </c>
      <c r="J17" t="n">
        <v>669</v>
      </c>
      <c r="K17" t="n">
        <v>355</v>
      </c>
      <c r="L17" t="n">
        <v>95</v>
      </c>
      <c r="M17" t="n">
        <v>30</v>
      </c>
      <c r="N17" t="n">
        <v>764</v>
      </c>
      <c r="O17" t="n">
        <v>385</v>
      </c>
    </row>
    <row r="18">
      <c r="A18" t="inlineStr">
        <is>
          <t>Phnom Penh</t>
        </is>
      </c>
      <c r="B18" t="n">
        <v>380</v>
      </c>
      <c r="C18" t="n">
        <v>0</v>
      </c>
      <c r="D18" t="n">
        <v>5707</v>
      </c>
      <c r="E18" t="n">
        <v>115</v>
      </c>
      <c r="F18" t="n">
        <v>245356</v>
      </c>
      <c r="G18" t="n">
        <v>119102</v>
      </c>
      <c r="H18" t="n">
        <v>9470</v>
      </c>
      <c r="I18" t="n">
        <v>3699</v>
      </c>
      <c r="J18" t="n">
        <v>9242</v>
      </c>
      <c r="K18" t="n">
        <v>5332</v>
      </c>
      <c r="L18" t="n">
        <v>1170</v>
      </c>
      <c r="M18" t="n">
        <v>453</v>
      </c>
      <c r="N18" t="n">
        <v>10412</v>
      </c>
      <c r="O18" t="n">
        <v>5785</v>
      </c>
    </row>
    <row r="19">
      <c r="A19" t="inlineStr">
        <is>
          <t>Preah Sihanouk</t>
        </is>
      </c>
      <c r="B19" t="n">
        <v>159</v>
      </c>
      <c r="C19" t="n">
        <v>0</v>
      </c>
      <c r="D19" t="n">
        <v>1252</v>
      </c>
      <c r="E19" t="n">
        <v>0</v>
      </c>
      <c r="F19" t="n">
        <v>44262</v>
      </c>
      <c r="G19" t="n">
        <v>21758</v>
      </c>
      <c r="H19" t="n">
        <v>2592</v>
      </c>
      <c r="I19" t="n">
        <v>998</v>
      </c>
      <c r="J19" t="n">
        <v>1658</v>
      </c>
      <c r="K19" t="n">
        <v>856</v>
      </c>
      <c r="L19" t="n">
        <v>272</v>
      </c>
      <c r="M19" t="n">
        <v>81</v>
      </c>
      <c r="N19" t="n">
        <v>1930</v>
      </c>
      <c r="O19" t="n">
        <v>937</v>
      </c>
    </row>
    <row r="20">
      <c r="A20" t="inlineStr">
        <is>
          <t>Preah Vihear</t>
        </is>
      </c>
      <c r="B20" t="n">
        <v>411</v>
      </c>
      <c r="C20" t="n">
        <v>0</v>
      </c>
      <c r="D20" t="n">
        <v>2228</v>
      </c>
      <c r="E20" t="n">
        <v>5</v>
      </c>
      <c r="F20" t="n">
        <v>58449</v>
      </c>
      <c r="G20" t="n">
        <v>29838</v>
      </c>
      <c r="H20" t="n">
        <v>4311</v>
      </c>
      <c r="I20" t="n">
        <v>1737</v>
      </c>
      <c r="J20" t="n">
        <v>2178</v>
      </c>
      <c r="K20" t="n">
        <v>1139</v>
      </c>
      <c r="L20" t="n">
        <v>350</v>
      </c>
      <c r="M20" t="n">
        <v>109</v>
      </c>
      <c r="N20" t="n">
        <v>2528</v>
      </c>
      <c r="O20" t="n">
        <v>1248</v>
      </c>
    </row>
    <row r="21">
      <c r="A21" t="inlineStr">
        <is>
          <t>Prey Veng</t>
        </is>
      </c>
      <c r="B21" t="n">
        <v>1071</v>
      </c>
      <c r="C21" t="n">
        <v>0</v>
      </c>
      <c r="D21" t="n">
        <v>6884</v>
      </c>
      <c r="E21" t="n">
        <v>163</v>
      </c>
      <c r="F21" t="n">
        <v>241931</v>
      </c>
      <c r="G21" t="n">
        <v>118122</v>
      </c>
      <c r="H21" t="n">
        <v>12332</v>
      </c>
      <c r="I21" t="n">
        <v>4439</v>
      </c>
      <c r="J21" t="n">
        <v>5860</v>
      </c>
      <c r="K21" t="n">
        <v>2826</v>
      </c>
      <c r="L21" t="n">
        <v>1926</v>
      </c>
      <c r="M21" t="n">
        <v>504</v>
      </c>
      <c r="N21" t="n">
        <v>7786</v>
      </c>
      <c r="O21" t="n">
        <v>3330</v>
      </c>
    </row>
    <row r="22">
      <c r="A22" t="inlineStr">
        <is>
          <t>Pursat</t>
        </is>
      </c>
      <c r="B22" t="n">
        <v>551</v>
      </c>
      <c r="C22" t="n">
        <v>0</v>
      </c>
      <c r="D22" t="n">
        <v>3355</v>
      </c>
      <c r="E22" t="n">
        <v>50</v>
      </c>
      <c r="F22" t="n">
        <v>111387</v>
      </c>
      <c r="G22" t="n">
        <v>58990</v>
      </c>
      <c r="H22" t="n">
        <v>6787</v>
      </c>
      <c r="I22" t="n">
        <v>2646</v>
      </c>
      <c r="J22" t="n">
        <v>3140</v>
      </c>
      <c r="K22" t="n">
        <v>1585</v>
      </c>
      <c r="L22" t="n">
        <v>735</v>
      </c>
      <c r="M22" t="n">
        <v>205</v>
      </c>
      <c r="N22" t="n">
        <v>3875</v>
      </c>
      <c r="O22" t="n">
        <v>1790</v>
      </c>
    </row>
    <row r="23">
      <c r="A23" t="inlineStr">
        <is>
          <t>Ratanak Kiri</t>
        </is>
      </c>
      <c r="B23" t="n">
        <v>328</v>
      </c>
      <c r="C23" t="n">
        <v>0</v>
      </c>
      <c r="D23" t="n">
        <v>1967</v>
      </c>
      <c r="E23" t="n">
        <v>14</v>
      </c>
      <c r="F23" t="n">
        <v>56346</v>
      </c>
      <c r="G23" t="n">
        <v>28110</v>
      </c>
      <c r="H23" t="n">
        <v>2294</v>
      </c>
      <c r="I23" t="n">
        <v>934</v>
      </c>
      <c r="J23" t="n">
        <v>1430</v>
      </c>
      <c r="K23" t="n">
        <v>699</v>
      </c>
      <c r="L23" t="n">
        <v>142</v>
      </c>
      <c r="M23" t="n">
        <v>43</v>
      </c>
      <c r="N23" t="n">
        <v>1572</v>
      </c>
      <c r="O23" t="n">
        <v>742</v>
      </c>
    </row>
    <row r="24">
      <c r="A24" t="inlineStr">
        <is>
          <t>Siemreap</t>
        </is>
      </c>
      <c r="B24" t="n">
        <v>1109</v>
      </c>
      <c r="C24" t="n">
        <v>0</v>
      </c>
      <c r="D24" t="n">
        <v>7625</v>
      </c>
      <c r="E24" t="n">
        <v>91</v>
      </c>
      <c r="F24" t="n">
        <v>278744</v>
      </c>
      <c r="G24" t="n">
        <v>143448</v>
      </c>
      <c r="H24" t="n">
        <v>17570</v>
      </c>
      <c r="I24" t="n">
        <v>6287</v>
      </c>
      <c r="J24" t="n">
        <v>5943</v>
      </c>
      <c r="K24" t="n">
        <v>3759</v>
      </c>
      <c r="L24" t="n">
        <v>1758</v>
      </c>
      <c r="M24" t="n">
        <v>734</v>
      </c>
      <c r="N24" t="n">
        <v>7701</v>
      </c>
      <c r="O24" t="n">
        <v>4493</v>
      </c>
    </row>
    <row r="25">
      <c r="A25" t="inlineStr">
        <is>
          <t>Stung Treng</t>
        </is>
      </c>
      <c r="B25" t="n">
        <v>259</v>
      </c>
      <c r="C25" t="n">
        <v>0</v>
      </c>
      <c r="D25" t="n">
        <v>1782</v>
      </c>
      <c r="E25" t="n">
        <v>2</v>
      </c>
      <c r="F25" t="n">
        <v>38032</v>
      </c>
      <c r="G25" t="n">
        <v>19508</v>
      </c>
      <c r="H25" t="n">
        <v>3576</v>
      </c>
      <c r="I25" t="n">
        <v>1532</v>
      </c>
      <c r="J25" t="n">
        <v>1411</v>
      </c>
      <c r="K25" t="n">
        <v>787</v>
      </c>
      <c r="L25" t="n">
        <v>194</v>
      </c>
      <c r="M25" t="n">
        <v>57</v>
      </c>
      <c r="N25" t="n">
        <v>1605</v>
      </c>
      <c r="O25" t="n">
        <v>844</v>
      </c>
    </row>
    <row r="26">
      <c r="A26" t="inlineStr">
        <is>
          <t>Svay Rieng</t>
        </is>
      </c>
      <c r="B26" t="n">
        <v>511</v>
      </c>
      <c r="C26" t="n">
        <v>0</v>
      </c>
      <c r="D26" t="n">
        <v>3568</v>
      </c>
      <c r="E26" t="n">
        <v>48</v>
      </c>
      <c r="F26" t="n">
        <v>121308</v>
      </c>
      <c r="G26" t="n">
        <v>59173</v>
      </c>
      <c r="H26" t="n">
        <v>4560</v>
      </c>
      <c r="I26" t="n">
        <v>1574</v>
      </c>
      <c r="J26" t="n">
        <v>3747</v>
      </c>
      <c r="K26" t="n">
        <v>1499</v>
      </c>
      <c r="L26" t="n">
        <v>971</v>
      </c>
      <c r="M26" t="n">
        <v>221</v>
      </c>
      <c r="N26" t="n">
        <v>4718</v>
      </c>
      <c r="O26" t="n">
        <v>1720</v>
      </c>
    </row>
    <row r="27">
      <c r="A27" t="inlineStr">
        <is>
          <t>Takeo</t>
        </is>
      </c>
      <c r="B27" t="n">
        <v>802</v>
      </c>
      <c r="C27" t="n">
        <v>0</v>
      </c>
      <c r="D27" t="n">
        <v>5907</v>
      </c>
      <c r="E27" t="n">
        <v>154</v>
      </c>
      <c r="F27" t="n">
        <v>200404</v>
      </c>
      <c r="G27" t="n">
        <v>98718</v>
      </c>
      <c r="H27" t="n">
        <v>9808</v>
      </c>
      <c r="I27" t="n">
        <v>3522</v>
      </c>
      <c r="J27" t="n">
        <v>6486</v>
      </c>
      <c r="K27" t="n">
        <v>2754</v>
      </c>
      <c r="L27" t="n">
        <v>1771</v>
      </c>
      <c r="M27" t="n">
        <v>393</v>
      </c>
      <c r="N27" t="n">
        <v>8257</v>
      </c>
      <c r="O27" t="n">
        <v>3147</v>
      </c>
    </row>
    <row r="28">
      <c r="A28" t="inlineStr">
        <is>
          <t>Tbaung Khmum</t>
        </is>
      </c>
      <c r="B28" t="n">
        <v>723</v>
      </c>
      <c r="C28" t="n">
        <v>0</v>
      </c>
      <c r="D28" t="n">
        <v>4891</v>
      </c>
      <c r="E28" t="n">
        <v>51</v>
      </c>
      <c r="F28" t="n">
        <v>170498</v>
      </c>
      <c r="G28" t="n">
        <v>85439</v>
      </c>
      <c r="H28" t="n">
        <v>10073</v>
      </c>
      <c r="I28" t="n">
        <v>3828</v>
      </c>
      <c r="J28" t="n">
        <v>3904</v>
      </c>
      <c r="K28" t="n">
        <v>2197</v>
      </c>
      <c r="L28" t="n">
        <v>915</v>
      </c>
      <c r="M28" t="n">
        <v>271</v>
      </c>
      <c r="N28" t="n">
        <v>4819</v>
      </c>
      <c r="O28" t="n">
        <v>2468</v>
      </c>
    </row>
    <row r="29">
      <c r="A29" t="inlineStr">
        <is>
          <t>Whole Kingdom</t>
        </is>
      </c>
      <c r="B29" t="n">
        <v>13681</v>
      </c>
      <c r="C29" t="n">
        <v>0</v>
      </c>
      <c r="D29" t="n">
        <v>95909</v>
      </c>
      <c r="E29" t="n">
        <v>1393</v>
      </c>
      <c r="F29" t="n">
        <v>3277076</v>
      </c>
      <c r="G29" t="n">
        <v>1652532</v>
      </c>
      <c r="H29" t="n">
        <v>175718</v>
      </c>
      <c r="I29" t="n">
        <v>65660</v>
      </c>
      <c r="J29" t="n">
        <v>94718</v>
      </c>
      <c r="K29" t="n">
        <v>50545</v>
      </c>
      <c r="L29" t="n">
        <v>20831</v>
      </c>
      <c r="M29" t="n">
        <v>6287</v>
      </c>
      <c r="N29" t="n">
        <v>115549</v>
      </c>
      <c r="O29" t="n">
        <v>56832</v>
      </c>
    </row>
    <row r="30">
      <c r="A30" t="inlineStr">
        <is>
          <t>-  Urban Area</t>
        </is>
      </c>
      <c r="B30" t="n">
        <v>1464</v>
      </c>
      <c r="C30" t="n">
        <v>0</v>
      </c>
      <c r="D30" t="n">
        <v>16171</v>
      </c>
      <c r="E30" t="n">
        <v>230</v>
      </c>
      <c r="F30" t="n">
        <v>631100</v>
      </c>
      <c r="G30" t="n">
        <v>313657</v>
      </c>
      <c r="H30" t="n">
        <v>30248</v>
      </c>
      <c r="I30" t="n">
        <v>11701</v>
      </c>
      <c r="J30" t="n">
        <v>22625</v>
      </c>
      <c r="K30" t="n">
        <v>13158</v>
      </c>
      <c r="L30" t="n">
        <v>3777</v>
      </c>
      <c r="M30" t="n">
        <v>1515</v>
      </c>
      <c r="N30" t="n">
        <v>26402</v>
      </c>
      <c r="O30" t="n">
        <v>14673</v>
      </c>
    </row>
    <row r="31">
      <c r="A31" t="inlineStr">
        <is>
          <t>-  Rural Area</t>
        </is>
      </c>
      <c r="B31" t="n">
        <v>12217</v>
      </c>
      <c r="C31" t="n">
        <v>0</v>
      </c>
      <c r="D31" t="n">
        <v>79738</v>
      </c>
      <c r="E31" t="n">
        <v>1163</v>
      </c>
      <c r="F31" t="n">
        <v>2645976</v>
      </c>
      <c r="G31" t="n">
        <v>1338875</v>
      </c>
      <c r="H31" t="n">
        <v>145470</v>
      </c>
      <c r="I31" t="n">
        <v>53959</v>
      </c>
      <c r="J31" t="n">
        <v>72093</v>
      </c>
      <c r="K31" t="n">
        <v>37387</v>
      </c>
      <c r="L31" t="n">
        <v>17054</v>
      </c>
      <c r="M31" t="n">
        <v>4772</v>
      </c>
      <c r="N31" t="n">
        <v>89147</v>
      </c>
      <c r="O31" t="n">
        <v>42159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7109375" customWidth="1" min="2" max="2"/>
    <col width="7.5703125" customWidth="1" min="3" max="3"/>
    <col width="8.42578125" customWidth="1" min="4" max="4"/>
    <col width="9" customWidth="1" min="5" max="5"/>
    <col width="7.5703125" customWidth="1" min="6" max="6"/>
    <col width="8.7109375" customWidth="1" min="7" max="7"/>
    <col width="6.7109375" customWidth="1" min="9" max="9"/>
    <col width="7.7109375" customWidth="1" min="11" max="11"/>
    <col width="6.7109375" customWidth="1" min="13" max="13"/>
    <col width="7.140625" customWidth="1" min="14" max="14"/>
    <col width="7.7109375" customWidth="1" min="15" max="15"/>
  </cols>
  <sheetData>
    <row r="1">
      <c r="A1" t="inlineStr">
        <is>
          <t>Table 6: All Lycees,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Disadv.</t>
        </is>
      </c>
      <c r="D2" t="inlineStr">
        <is>
          <t>Number of</t>
        </is>
      </c>
      <c r="E2" t="inlineStr">
        <is>
          <t>Number of</t>
        </is>
      </c>
      <c r="F2" t="inlineStr">
        <is>
          <t>Classes</t>
        </is>
      </c>
      <c r="G2" t="inlineStr">
        <is>
          <t>Enrollment</t>
        </is>
      </c>
      <c r="I2" t="inlineStr">
        <is>
          <t>Repeaters</t>
        </is>
      </c>
      <c r="K2" t="inlineStr">
        <is>
          <t>Teaching Staff</t>
        </is>
      </c>
      <c r="M2" t="inlineStr">
        <is>
          <t>Non-Teaching Staff</t>
        </is>
      </c>
      <c r="O2" t="inlineStr">
        <is>
          <t>Total  Staff</t>
        </is>
      </c>
    </row>
    <row r="3">
      <c r="B3" t="inlineStr">
        <is>
          <t>School</t>
        </is>
      </c>
      <c r="C3" t="inlineStr">
        <is>
          <t>Schools</t>
        </is>
      </c>
      <c r="D3" t="inlineStr">
        <is>
          <t>Classes</t>
        </is>
      </c>
      <c r="E3" t="inlineStr">
        <is>
          <t>Classrooms</t>
        </is>
      </c>
      <c r="F3" t="inlineStr">
        <is>
          <t>in Pagoda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Female</t>
        </is>
      </c>
      <c r="M3" t="inlineStr">
        <is>
          <t>Total</t>
        </is>
      </c>
      <c r="N3" t="inlineStr">
        <is>
          <t>Female</t>
        </is>
      </c>
      <c r="O3" t="inlineStr">
        <is>
          <t>Total</t>
        </is>
      </c>
      <c r="P3" t="inlineStr">
        <is>
          <t>Female</t>
        </is>
      </c>
    </row>
    <row r="4">
      <c r="A4" t="inlineStr">
        <is>
          <t>Banteay Meanchey</t>
        </is>
      </c>
      <c r="B4" t="n">
        <v>30</v>
      </c>
      <c r="C4" t="n">
        <v>0</v>
      </c>
      <c r="D4" t="n">
        <v>692</v>
      </c>
      <c r="E4" t="n">
        <v>687</v>
      </c>
      <c r="F4" t="n">
        <v>0</v>
      </c>
      <c r="G4" t="n">
        <v>31897</v>
      </c>
      <c r="H4" t="n">
        <v>17592</v>
      </c>
      <c r="I4" t="n">
        <v>252</v>
      </c>
      <c r="J4" t="n">
        <v>104</v>
      </c>
      <c r="K4" t="n">
        <v>1330</v>
      </c>
      <c r="L4" t="n">
        <v>535</v>
      </c>
      <c r="M4" t="n">
        <v>197</v>
      </c>
      <c r="N4" t="n">
        <v>55</v>
      </c>
      <c r="O4" t="n">
        <v>1527</v>
      </c>
      <c r="P4" t="n">
        <v>590</v>
      </c>
    </row>
    <row r="5">
      <c r="A5" t="inlineStr">
        <is>
          <t>Battambang</t>
        </is>
      </c>
      <c r="B5" t="n">
        <v>29</v>
      </c>
      <c r="C5" t="n">
        <v>0</v>
      </c>
      <c r="D5" t="n">
        <v>877</v>
      </c>
      <c r="E5" t="n">
        <v>817</v>
      </c>
      <c r="F5" t="n">
        <v>0</v>
      </c>
      <c r="G5" t="n">
        <v>41587</v>
      </c>
      <c r="H5" t="n">
        <v>22710</v>
      </c>
      <c r="I5" t="n">
        <v>565</v>
      </c>
      <c r="J5" t="n">
        <v>282</v>
      </c>
      <c r="K5" t="n">
        <v>1456</v>
      </c>
      <c r="L5" t="n">
        <v>668</v>
      </c>
      <c r="M5" t="n">
        <v>232</v>
      </c>
      <c r="N5" t="n">
        <v>76</v>
      </c>
      <c r="O5" t="n">
        <v>1688</v>
      </c>
      <c r="P5" t="n">
        <v>744</v>
      </c>
    </row>
    <row r="6">
      <c r="A6" t="inlineStr">
        <is>
          <t>Kampong Cham</t>
        </is>
      </c>
      <c r="B6" t="n">
        <v>43</v>
      </c>
      <c r="C6" t="n">
        <v>0</v>
      </c>
      <c r="D6" t="n">
        <v>1095</v>
      </c>
      <c r="E6" t="n">
        <v>1026</v>
      </c>
      <c r="F6" t="n">
        <v>10</v>
      </c>
      <c r="G6" t="n">
        <v>48289</v>
      </c>
      <c r="H6" t="n">
        <v>26749</v>
      </c>
      <c r="I6" t="n">
        <v>705</v>
      </c>
      <c r="J6" t="n">
        <v>359</v>
      </c>
      <c r="K6" t="n">
        <v>2078</v>
      </c>
      <c r="L6" t="n">
        <v>952</v>
      </c>
      <c r="M6" t="n">
        <v>463</v>
      </c>
      <c r="N6" t="n">
        <v>202</v>
      </c>
      <c r="O6" t="n">
        <v>2541</v>
      </c>
      <c r="P6" t="n">
        <v>1154</v>
      </c>
    </row>
    <row r="7">
      <c r="A7" t="inlineStr">
        <is>
          <t>Kampong Chhnang</t>
        </is>
      </c>
      <c r="B7" t="n">
        <v>16</v>
      </c>
      <c r="C7" t="n">
        <v>0</v>
      </c>
      <c r="D7" t="n">
        <v>492</v>
      </c>
      <c r="E7" t="n">
        <v>480</v>
      </c>
      <c r="F7" t="n">
        <v>0</v>
      </c>
      <c r="G7" t="n">
        <v>22200</v>
      </c>
      <c r="H7" t="n">
        <v>12346</v>
      </c>
      <c r="I7" t="n">
        <v>187</v>
      </c>
      <c r="J7" t="n">
        <v>91</v>
      </c>
      <c r="K7" t="n">
        <v>1060</v>
      </c>
      <c r="L7" t="n">
        <v>411</v>
      </c>
      <c r="M7" t="n">
        <v>186</v>
      </c>
      <c r="N7" t="n">
        <v>51</v>
      </c>
      <c r="O7" t="n">
        <v>1246</v>
      </c>
      <c r="P7" t="n">
        <v>462</v>
      </c>
    </row>
    <row r="8">
      <c r="A8" t="inlineStr">
        <is>
          <t>Kampong Speu</t>
        </is>
      </c>
      <c r="B8" t="n">
        <v>25</v>
      </c>
      <c r="C8" t="n">
        <v>0</v>
      </c>
      <c r="D8" t="n">
        <v>576</v>
      </c>
      <c r="E8" t="n">
        <v>523</v>
      </c>
      <c r="F8" t="n">
        <v>2</v>
      </c>
      <c r="G8" t="n">
        <v>29701</v>
      </c>
      <c r="H8" t="n">
        <v>15670</v>
      </c>
      <c r="I8" t="n">
        <v>291</v>
      </c>
      <c r="J8" t="n">
        <v>97</v>
      </c>
      <c r="K8" t="n">
        <v>1084</v>
      </c>
      <c r="L8" t="n">
        <v>399</v>
      </c>
      <c r="M8" t="n">
        <v>185</v>
      </c>
      <c r="N8" t="n">
        <v>29</v>
      </c>
      <c r="O8" t="n">
        <v>1269</v>
      </c>
      <c r="P8" t="n">
        <v>428</v>
      </c>
    </row>
    <row r="9">
      <c r="A9" t="inlineStr">
        <is>
          <t>Kampong Thom</t>
        </is>
      </c>
      <c r="B9" t="n">
        <v>25</v>
      </c>
      <c r="C9" t="n">
        <v>0</v>
      </c>
      <c r="D9" t="n">
        <v>695</v>
      </c>
      <c r="E9" t="n">
        <v>660</v>
      </c>
      <c r="F9" t="n">
        <v>0</v>
      </c>
      <c r="G9" t="n">
        <v>30546</v>
      </c>
      <c r="H9" t="n">
        <v>16866</v>
      </c>
      <c r="I9" t="n">
        <v>217</v>
      </c>
      <c r="J9" t="n">
        <v>65</v>
      </c>
      <c r="K9" t="n">
        <v>1100</v>
      </c>
      <c r="L9" t="n">
        <v>502</v>
      </c>
      <c r="M9" t="n">
        <v>201</v>
      </c>
      <c r="N9" t="n">
        <v>47</v>
      </c>
      <c r="O9" t="n">
        <v>1301</v>
      </c>
      <c r="P9" t="n">
        <v>549</v>
      </c>
    </row>
    <row r="10">
      <c r="A10" t="inlineStr">
        <is>
          <t>Kampot</t>
        </is>
      </c>
      <c r="B10" t="n">
        <v>24</v>
      </c>
      <c r="C10" t="n">
        <v>0</v>
      </c>
      <c r="D10" t="n">
        <v>1603</v>
      </c>
      <c r="E10" t="n">
        <v>594</v>
      </c>
      <c r="F10" t="n">
        <v>0</v>
      </c>
      <c r="G10" t="n">
        <v>25504</v>
      </c>
      <c r="H10" t="n">
        <v>13387</v>
      </c>
      <c r="I10" t="n">
        <v>387</v>
      </c>
      <c r="J10" t="n">
        <v>164</v>
      </c>
      <c r="K10" t="n">
        <v>1258</v>
      </c>
      <c r="L10" t="n">
        <v>499</v>
      </c>
      <c r="M10" t="n">
        <v>231</v>
      </c>
      <c r="N10" t="n">
        <v>63</v>
      </c>
      <c r="O10" t="n">
        <v>1489</v>
      </c>
      <c r="P10" t="n">
        <v>562</v>
      </c>
    </row>
    <row r="11">
      <c r="A11" t="inlineStr">
        <is>
          <t>Kandal</t>
        </is>
      </c>
      <c r="B11" t="n">
        <v>40</v>
      </c>
      <c r="C11" t="n">
        <v>0</v>
      </c>
      <c r="D11" t="n">
        <v>1211</v>
      </c>
      <c r="E11" t="n">
        <v>1071</v>
      </c>
      <c r="F11" t="n">
        <v>22</v>
      </c>
      <c r="G11" t="n">
        <v>54191</v>
      </c>
      <c r="H11" t="n">
        <v>29152</v>
      </c>
      <c r="I11" t="n">
        <v>569</v>
      </c>
      <c r="J11" t="n">
        <v>206</v>
      </c>
      <c r="K11" t="n">
        <v>2759</v>
      </c>
      <c r="L11" t="n">
        <v>1221</v>
      </c>
      <c r="M11" t="n">
        <v>383</v>
      </c>
      <c r="N11" t="n">
        <v>91</v>
      </c>
      <c r="O11" t="n">
        <v>3142</v>
      </c>
      <c r="P11" t="n">
        <v>1312</v>
      </c>
    </row>
    <row r="12">
      <c r="A12" t="inlineStr">
        <is>
          <t>Kep</t>
        </is>
      </c>
      <c r="B12" t="n">
        <v>2</v>
      </c>
      <c r="C12" t="n">
        <v>0</v>
      </c>
      <c r="D12" t="n">
        <v>48</v>
      </c>
      <c r="E12" t="n">
        <v>48</v>
      </c>
      <c r="F12" t="n">
        <v>0</v>
      </c>
      <c r="G12" t="n">
        <v>1743</v>
      </c>
      <c r="H12" t="n">
        <v>920</v>
      </c>
      <c r="I12" t="n">
        <v>29</v>
      </c>
      <c r="J12" t="n">
        <v>9</v>
      </c>
      <c r="K12" t="n">
        <v>141</v>
      </c>
      <c r="L12" t="n">
        <v>64</v>
      </c>
      <c r="M12" t="n">
        <v>16</v>
      </c>
      <c r="N12" t="n">
        <v>7</v>
      </c>
      <c r="O12" t="n">
        <v>157</v>
      </c>
      <c r="P12" t="n">
        <v>71</v>
      </c>
    </row>
    <row r="13">
      <c r="A13" t="inlineStr">
        <is>
          <t>Koh Kong</t>
        </is>
      </c>
      <c r="B13" t="n">
        <v>12</v>
      </c>
      <c r="C13" t="n">
        <v>0</v>
      </c>
      <c r="D13" t="n">
        <v>183</v>
      </c>
      <c r="E13" t="n">
        <v>153</v>
      </c>
      <c r="F13" t="n">
        <v>0</v>
      </c>
      <c r="G13" t="n">
        <v>6598</v>
      </c>
      <c r="H13" t="n">
        <v>3394</v>
      </c>
      <c r="I13" t="n">
        <v>75</v>
      </c>
      <c r="J13" t="n">
        <v>27</v>
      </c>
      <c r="K13" t="n">
        <v>313</v>
      </c>
      <c r="L13" t="n">
        <v>116</v>
      </c>
      <c r="M13" t="n">
        <v>42</v>
      </c>
      <c r="N13" t="n">
        <v>13</v>
      </c>
      <c r="O13" t="n">
        <v>355</v>
      </c>
      <c r="P13" t="n">
        <v>129</v>
      </c>
    </row>
    <row r="14">
      <c r="A14" t="inlineStr">
        <is>
          <t>Kratie</t>
        </is>
      </c>
      <c r="B14" t="n">
        <v>13</v>
      </c>
      <c r="C14" t="n">
        <v>0</v>
      </c>
      <c r="D14" t="n">
        <v>256</v>
      </c>
      <c r="E14" t="n">
        <v>251</v>
      </c>
      <c r="F14" t="n">
        <v>0</v>
      </c>
      <c r="G14" t="n">
        <v>11281</v>
      </c>
      <c r="H14" t="n">
        <v>6160</v>
      </c>
      <c r="I14" t="n">
        <v>101</v>
      </c>
      <c r="J14" t="n">
        <v>34</v>
      </c>
      <c r="K14" t="n">
        <v>523</v>
      </c>
      <c r="L14" t="n">
        <v>255</v>
      </c>
      <c r="M14" t="n">
        <v>70</v>
      </c>
      <c r="N14" t="n">
        <v>19</v>
      </c>
      <c r="O14" t="n">
        <v>593</v>
      </c>
      <c r="P14" t="n">
        <v>274</v>
      </c>
    </row>
    <row r="15">
      <c r="A15" t="inlineStr">
        <is>
          <t>Mondul Kiri</t>
        </is>
      </c>
      <c r="B15" t="n">
        <v>6</v>
      </c>
      <c r="C15" t="n">
        <v>0</v>
      </c>
      <c r="D15" t="n">
        <v>98</v>
      </c>
      <c r="E15" t="n">
        <v>90</v>
      </c>
      <c r="F15" t="n">
        <v>0</v>
      </c>
      <c r="G15" t="n">
        <v>4315</v>
      </c>
      <c r="H15" t="n">
        <v>2269</v>
      </c>
      <c r="I15" t="n">
        <v>75</v>
      </c>
      <c r="J15" t="n">
        <v>26</v>
      </c>
      <c r="K15" t="n">
        <v>185</v>
      </c>
      <c r="L15" t="n">
        <v>74</v>
      </c>
      <c r="M15" t="n">
        <v>22</v>
      </c>
      <c r="N15" t="n">
        <v>3</v>
      </c>
      <c r="O15" t="n">
        <v>207</v>
      </c>
      <c r="P15" t="n">
        <v>77</v>
      </c>
    </row>
    <row r="16">
      <c r="A16" t="inlineStr">
        <is>
          <t>Otdar Meanchey</t>
        </is>
      </c>
      <c r="B16" t="n">
        <v>9</v>
      </c>
      <c r="C16" t="n">
        <v>0</v>
      </c>
      <c r="D16" t="n">
        <v>215</v>
      </c>
      <c r="E16" t="n">
        <v>208</v>
      </c>
      <c r="F16" t="n">
        <v>0</v>
      </c>
      <c r="G16" t="n">
        <v>9331</v>
      </c>
      <c r="H16" t="n">
        <v>4939</v>
      </c>
      <c r="I16" t="n">
        <v>237</v>
      </c>
      <c r="J16" t="n">
        <v>90</v>
      </c>
      <c r="K16" t="n">
        <v>311</v>
      </c>
      <c r="L16" t="n">
        <v>109</v>
      </c>
      <c r="M16" t="n">
        <v>46</v>
      </c>
      <c r="N16" t="n">
        <v>14</v>
      </c>
      <c r="O16" t="n">
        <v>357</v>
      </c>
      <c r="P16" t="n">
        <v>123</v>
      </c>
    </row>
    <row r="17">
      <c r="A17" t="inlineStr">
        <is>
          <t>Pailin</t>
        </is>
      </c>
      <c r="B17" t="n">
        <v>2</v>
      </c>
      <c r="C17" t="n">
        <v>0</v>
      </c>
      <c r="D17" t="n">
        <v>74</v>
      </c>
      <c r="E17" t="n">
        <v>74</v>
      </c>
      <c r="F17" t="n">
        <v>0</v>
      </c>
      <c r="G17" t="n">
        <v>3307</v>
      </c>
      <c r="H17" t="n">
        <v>1838</v>
      </c>
      <c r="I17" t="n">
        <v>98</v>
      </c>
      <c r="J17" t="n">
        <v>37</v>
      </c>
      <c r="K17" t="n">
        <v>165</v>
      </c>
      <c r="L17" t="n">
        <v>70</v>
      </c>
      <c r="M17" t="n">
        <v>20</v>
      </c>
      <c r="N17" t="n">
        <v>5</v>
      </c>
      <c r="O17" t="n">
        <v>185</v>
      </c>
      <c r="P17" t="n">
        <v>75</v>
      </c>
    </row>
    <row r="18">
      <c r="A18" t="inlineStr">
        <is>
          <t>Phnom Penh</t>
        </is>
      </c>
      <c r="B18" t="n">
        <v>41</v>
      </c>
      <c r="C18" t="n">
        <v>0</v>
      </c>
      <c r="D18" t="n">
        <v>1817</v>
      </c>
      <c r="E18" t="n">
        <v>1303</v>
      </c>
      <c r="F18" t="n">
        <v>12</v>
      </c>
      <c r="G18" t="n">
        <v>86732</v>
      </c>
      <c r="H18" t="n">
        <v>43543</v>
      </c>
      <c r="I18" t="n">
        <v>1367</v>
      </c>
      <c r="J18" t="n">
        <v>573</v>
      </c>
      <c r="K18" t="n">
        <v>4916</v>
      </c>
      <c r="L18" t="n">
        <v>2199</v>
      </c>
      <c r="M18" t="n">
        <v>482</v>
      </c>
      <c r="N18" t="n">
        <v>158</v>
      </c>
      <c r="O18" t="n">
        <v>5398</v>
      </c>
      <c r="P18" t="n">
        <v>2357</v>
      </c>
    </row>
    <row r="19">
      <c r="A19" t="inlineStr">
        <is>
          <t>Preah Sihanouk</t>
        </is>
      </c>
      <c r="B19" t="n">
        <v>9</v>
      </c>
      <c r="C19" t="n">
        <v>0</v>
      </c>
      <c r="D19" t="n">
        <v>223</v>
      </c>
      <c r="E19" t="n">
        <v>221</v>
      </c>
      <c r="F19" t="n">
        <v>0</v>
      </c>
      <c r="G19" t="n">
        <v>9600</v>
      </c>
      <c r="H19" t="n">
        <v>4949</v>
      </c>
      <c r="I19" t="n">
        <v>131</v>
      </c>
      <c r="J19" t="n">
        <v>44</v>
      </c>
      <c r="K19" t="n">
        <v>460</v>
      </c>
      <c r="L19" t="n">
        <v>159</v>
      </c>
      <c r="M19" t="n">
        <v>52</v>
      </c>
      <c r="N19" t="n">
        <v>9</v>
      </c>
      <c r="O19" t="n">
        <v>512</v>
      </c>
      <c r="P19" t="n">
        <v>168</v>
      </c>
    </row>
    <row r="20">
      <c r="A20" t="inlineStr">
        <is>
          <t>Preah Vihear</t>
        </is>
      </c>
      <c r="B20" t="n">
        <v>18</v>
      </c>
      <c r="C20" t="n">
        <v>0</v>
      </c>
      <c r="D20" t="n">
        <v>227</v>
      </c>
      <c r="E20" t="n">
        <v>227</v>
      </c>
      <c r="F20" t="n">
        <v>0</v>
      </c>
      <c r="G20" t="n">
        <v>8704</v>
      </c>
      <c r="H20" t="n">
        <v>4744</v>
      </c>
      <c r="I20" t="n">
        <v>45</v>
      </c>
      <c r="J20" t="n">
        <v>18</v>
      </c>
      <c r="K20" t="n">
        <v>394</v>
      </c>
      <c r="L20" t="n">
        <v>169</v>
      </c>
      <c r="M20" t="n">
        <v>39</v>
      </c>
      <c r="N20" t="n">
        <v>12</v>
      </c>
      <c r="O20" t="n">
        <v>433</v>
      </c>
      <c r="P20" t="n">
        <v>181</v>
      </c>
    </row>
    <row r="21">
      <c r="A21" t="inlineStr">
        <is>
          <t>Prey Veng</t>
        </is>
      </c>
      <c r="B21" t="n">
        <v>32</v>
      </c>
      <c r="C21" t="n">
        <v>0</v>
      </c>
      <c r="D21" t="n">
        <v>1066</v>
      </c>
      <c r="E21" t="n">
        <v>979</v>
      </c>
      <c r="F21" t="n">
        <v>37</v>
      </c>
      <c r="G21" t="n">
        <v>47497</v>
      </c>
      <c r="H21" t="n">
        <v>25335</v>
      </c>
      <c r="I21" t="n">
        <v>315</v>
      </c>
      <c r="J21" t="n">
        <v>141</v>
      </c>
      <c r="K21" t="n">
        <v>1730</v>
      </c>
      <c r="L21" t="n">
        <v>625</v>
      </c>
      <c r="M21" t="n">
        <v>329</v>
      </c>
      <c r="N21" t="n">
        <v>77</v>
      </c>
      <c r="O21" t="n">
        <v>2059</v>
      </c>
      <c r="P21" t="n">
        <v>702</v>
      </c>
    </row>
    <row r="22">
      <c r="A22" t="inlineStr">
        <is>
          <t>Pursat</t>
        </is>
      </c>
      <c r="B22" t="n">
        <v>16</v>
      </c>
      <c r="C22" t="n">
        <v>0</v>
      </c>
      <c r="D22" t="n">
        <v>379</v>
      </c>
      <c r="E22" t="n">
        <v>368</v>
      </c>
      <c r="F22" t="n">
        <v>0</v>
      </c>
      <c r="G22" t="n">
        <v>17099</v>
      </c>
      <c r="H22" t="n">
        <v>9352</v>
      </c>
      <c r="I22" t="n">
        <v>123</v>
      </c>
      <c r="J22" t="n">
        <v>53</v>
      </c>
      <c r="K22" t="n">
        <v>769</v>
      </c>
      <c r="L22" t="n">
        <v>283</v>
      </c>
      <c r="M22" t="n">
        <v>126</v>
      </c>
      <c r="N22" t="n">
        <v>25</v>
      </c>
      <c r="O22" t="n">
        <v>895</v>
      </c>
      <c r="P22" t="n">
        <v>308</v>
      </c>
    </row>
    <row r="23">
      <c r="A23" t="inlineStr">
        <is>
          <t>Ratanak Kiri</t>
        </is>
      </c>
      <c r="B23" t="n">
        <v>12</v>
      </c>
      <c r="C23" t="n">
        <v>0</v>
      </c>
      <c r="D23" t="n">
        <v>198</v>
      </c>
      <c r="E23" t="n">
        <v>184</v>
      </c>
      <c r="F23" t="n">
        <v>0</v>
      </c>
      <c r="G23" t="n">
        <v>9304</v>
      </c>
      <c r="H23" t="n">
        <v>4722</v>
      </c>
      <c r="I23" t="n">
        <v>79</v>
      </c>
      <c r="J23" t="n">
        <v>30</v>
      </c>
      <c r="K23" t="n">
        <v>342</v>
      </c>
      <c r="L23" t="n">
        <v>137</v>
      </c>
      <c r="M23" t="n">
        <v>27</v>
      </c>
      <c r="N23" t="n">
        <v>12</v>
      </c>
      <c r="O23" t="n">
        <v>369</v>
      </c>
      <c r="P23" t="n">
        <v>149</v>
      </c>
    </row>
    <row r="24">
      <c r="A24" t="inlineStr">
        <is>
          <t>Siemreap</t>
        </is>
      </c>
      <c r="B24" t="n">
        <v>44</v>
      </c>
      <c r="C24" t="n">
        <v>0</v>
      </c>
      <c r="D24" t="n">
        <v>1156</v>
      </c>
      <c r="E24" t="n">
        <v>1046</v>
      </c>
      <c r="F24" t="n">
        <v>0</v>
      </c>
      <c r="G24" t="n">
        <v>60122</v>
      </c>
      <c r="H24" t="n">
        <v>33550</v>
      </c>
      <c r="I24" t="n">
        <v>1139</v>
      </c>
      <c r="J24" t="n">
        <v>436</v>
      </c>
      <c r="K24" t="n">
        <v>1727</v>
      </c>
      <c r="L24" t="n">
        <v>766</v>
      </c>
      <c r="M24" t="n">
        <v>303</v>
      </c>
      <c r="N24" t="n">
        <v>107</v>
      </c>
      <c r="O24" t="n">
        <v>2030</v>
      </c>
      <c r="P24" t="n">
        <v>873</v>
      </c>
    </row>
    <row r="25">
      <c r="A25" t="inlineStr">
        <is>
          <t>Stung Treng</t>
        </is>
      </c>
      <c r="B25" t="n">
        <v>9</v>
      </c>
      <c r="C25" t="n">
        <v>0</v>
      </c>
      <c r="D25" t="n">
        <v>114</v>
      </c>
      <c r="E25" t="n">
        <v>111</v>
      </c>
      <c r="F25" t="n">
        <v>0</v>
      </c>
      <c r="G25" t="n">
        <v>4632</v>
      </c>
      <c r="H25" t="n">
        <v>2472</v>
      </c>
      <c r="I25" t="n">
        <v>24</v>
      </c>
      <c r="J25" t="n">
        <v>9</v>
      </c>
      <c r="K25" t="n">
        <v>238</v>
      </c>
      <c r="L25" t="n">
        <v>89</v>
      </c>
      <c r="M25" t="n">
        <v>33</v>
      </c>
      <c r="N25" t="n">
        <v>15</v>
      </c>
      <c r="O25" t="n">
        <v>271</v>
      </c>
      <c r="P25" t="n">
        <v>104</v>
      </c>
    </row>
    <row r="26">
      <c r="A26" t="inlineStr">
        <is>
          <t>Svay Rieng</t>
        </is>
      </c>
      <c r="B26" t="n">
        <v>21</v>
      </c>
      <c r="C26" t="n">
        <v>0</v>
      </c>
      <c r="D26" t="n">
        <v>684</v>
      </c>
      <c r="E26" t="n">
        <v>667</v>
      </c>
      <c r="F26" t="n">
        <v>30</v>
      </c>
      <c r="G26" t="n">
        <v>26114</v>
      </c>
      <c r="H26" t="n">
        <v>13403</v>
      </c>
      <c r="I26" t="n">
        <v>168</v>
      </c>
      <c r="J26" t="n">
        <v>53</v>
      </c>
      <c r="K26" t="n">
        <v>1300</v>
      </c>
      <c r="L26" t="n">
        <v>416</v>
      </c>
      <c r="M26" t="n">
        <v>227</v>
      </c>
      <c r="N26" t="n">
        <v>69</v>
      </c>
      <c r="O26" t="n">
        <v>1527</v>
      </c>
      <c r="P26" t="n">
        <v>485</v>
      </c>
    </row>
    <row r="27">
      <c r="A27" t="inlineStr">
        <is>
          <t>Takeo</t>
        </is>
      </c>
      <c r="B27" t="n">
        <v>53</v>
      </c>
      <c r="C27" t="n">
        <v>0</v>
      </c>
      <c r="D27" t="n">
        <v>1479</v>
      </c>
      <c r="E27" t="n">
        <v>1429</v>
      </c>
      <c r="F27" t="n">
        <v>2</v>
      </c>
      <c r="G27" t="n">
        <v>57052</v>
      </c>
      <c r="H27" t="n">
        <v>29629</v>
      </c>
      <c r="I27" t="n">
        <v>730</v>
      </c>
      <c r="J27" t="n">
        <v>342</v>
      </c>
      <c r="K27" t="n">
        <v>2502</v>
      </c>
      <c r="L27" t="n">
        <v>791</v>
      </c>
      <c r="M27" t="n">
        <v>529</v>
      </c>
      <c r="N27" t="n">
        <v>122</v>
      </c>
      <c r="O27" t="n">
        <v>3031</v>
      </c>
      <c r="P27" t="n">
        <v>913</v>
      </c>
    </row>
    <row r="28">
      <c r="A28" t="inlineStr">
        <is>
          <t>Tbaung Khmum</t>
        </is>
      </c>
      <c r="B28" t="n">
        <v>28</v>
      </c>
      <c r="C28" t="n">
        <v>0</v>
      </c>
      <c r="D28" t="n">
        <v>768</v>
      </c>
      <c r="E28" t="n">
        <v>700</v>
      </c>
      <c r="F28" t="n">
        <v>0</v>
      </c>
      <c r="G28" t="n">
        <v>33455</v>
      </c>
      <c r="H28" t="n">
        <v>18300</v>
      </c>
      <c r="I28" t="n">
        <v>527</v>
      </c>
      <c r="J28" t="n">
        <v>222</v>
      </c>
      <c r="K28" t="n">
        <v>1104</v>
      </c>
      <c r="L28" t="n">
        <v>444</v>
      </c>
      <c r="M28" t="n">
        <v>187</v>
      </c>
      <c r="N28" t="n">
        <v>47</v>
      </c>
      <c r="O28" t="n">
        <v>1291</v>
      </c>
      <c r="P28" t="n">
        <v>491</v>
      </c>
    </row>
    <row r="29">
      <c r="A29" t="inlineStr">
        <is>
          <t>Whole Kingdom</t>
        </is>
      </c>
      <c r="B29" t="n">
        <v>559</v>
      </c>
      <c r="C29" t="n">
        <v>0</v>
      </c>
      <c r="D29" t="n">
        <v>16226</v>
      </c>
      <c r="E29" t="n">
        <v>13917</v>
      </c>
      <c r="F29" t="n">
        <v>115</v>
      </c>
      <c r="G29" t="n">
        <v>680801</v>
      </c>
      <c r="H29" t="n">
        <v>363991</v>
      </c>
      <c r="I29" t="n">
        <v>8436</v>
      </c>
      <c r="J29" t="n">
        <v>3512</v>
      </c>
      <c r="K29" t="n">
        <v>29245</v>
      </c>
      <c r="L29" t="n">
        <v>11953</v>
      </c>
      <c r="M29" t="n">
        <v>4628</v>
      </c>
      <c r="N29" t="n">
        <v>1328</v>
      </c>
      <c r="O29" t="n">
        <v>33873</v>
      </c>
      <c r="P29" t="n">
        <v>13281</v>
      </c>
    </row>
    <row r="30">
      <c r="A30" t="inlineStr">
        <is>
          <t>-  Urban Area</t>
        </is>
      </c>
      <c r="B30" t="n">
        <v>116</v>
      </c>
      <c r="C30" t="n">
        <v>0</v>
      </c>
      <c r="D30" t="n">
        <v>4391</v>
      </c>
      <c r="E30" t="n">
        <v>3723</v>
      </c>
      <c r="F30" t="n">
        <v>12</v>
      </c>
      <c r="G30" t="n">
        <v>201854</v>
      </c>
      <c r="H30" t="n">
        <v>104509</v>
      </c>
      <c r="I30" t="n">
        <v>3124</v>
      </c>
      <c r="J30" t="n">
        <v>1251</v>
      </c>
      <c r="K30" t="n">
        <v>10119</v>
      </c>
      <c r="L30" t="n">
        <v>4470</v>
      </c>
      <c r="M30" t="n">
        <v>1277</v>
      </c>
      <c r="N30" t="n">
        <v>448</v>
      </c>
      <c r="O30" t="n">
        <v>11396</v>
      </c>
      <c r="P30" t="n">
        <v>4918</v>
      </c>
    </row>
    <row r="31">
      <c r="A31" t="inlineStr">
        <is>
          <t>-  Rural Area</t>
        </is>
      </c>
      <c r="B31" t="n">
        <v>443</v>
      </c>
      <c r="C31" t="n">
        <v>0</v>
      </c>
      <c r="D31" t="n">
        <v>11835</v>
      </c>
      <c r="E31" t="n">
        <v>10194</v>
      </c>
      <c r="F31" t="n">
        <v>103</v>
      </c>
      <c r="G31" t="n">
        <v>478947</v>
      </c>
      <c r="H31" t="n">
        <v>259482</v>
      </c>
      <c r="I31" t="n">
        <v>5312</v>
      </c>
      <c r="J31" t="n">
        <v>2261</v>
      </c>
      <c r="K31" t="n">
        <v>19126</v>
      </c>
      <c r="L31" t="n">
        <v>7483</v>
      </c>
      <c r="M31" t="n">
        <v>3351</v>
      </c>
      <c r="N31" t="n">
        <v>880</v>
      </c>
      <c r="O31" t="n">
        <v>22477</v>
      </c>
      <c r="P31" t="n">
        <v>8363</v>
      </c>
    </row>
  </sheetData>
  <mergeCells count="7">
    <mergeCell ref="O2:P2"/>
    <mergeCell ref="M2:N2"/>
    <mergeCell ref="G2:H2"/>
    <mergeCell ref="K2:L2"/>
    <mergeCell ref="I2:J2"/>
    <mergeCell ref="A2:A3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42578125" customWidth="1" min="2" max="2"/>
    <col width="7.5703125" customWidth="1" min="3" max="3"/>
    <col width="8.42578125" customWidth="1" min="4" max="4"/>
    <col width="9" customWidth="1" min="5" max="5"/>
    <col width="7.5703125" customWidth="1" min="6" max="6"/>
    <col width="8.7109375" customWidth="1" min="7" max="7"/>
    <col width="6.7109375" customWidth="1" min="9" max="9"/>
    <col width="7.7109375" customWidth="1" min="11" max="11"/>
    <col width="7.140625" customWidth="1" min="12" max="12"/>
    <col width="6.7109375" customWidth="1" min="13" max="13"/>
    <col width="7.140625" customWidth="1" min="14" max="14"/>
    <col width="7.7109375" customWidth="1" min="15" max="15"/>
    <col width="7.140625" customWidth="1" min="16" max="16"/>
  </cols>
  <sheetData>
    <row r="1">
      <c r="A1" t="inlineStr">
        <is>
          <t>Table 5: Colleges,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Disadv.</t>
        </is>
      </c>
      <c r="D2" t="inlineStr">
        <is>
          <t>Number of</t>
        </is>
      </c>
      <c r="E2" t="inlineStr">
        <is>
          <t>Number of</t>
        </is>
      </c>
      <c r="F2" t="inlineStr">
        <is>
          <t>Classes</t>
        </is>
      </c>
      <c r="G2" t="inlineStr">
        <is>
          <t>Enrollment</t>
        </is>
      </c>
      <c r="I2" t="inlineStr">
        <is>
          <t>Repeaters</t>
        </is>
      </c>
      <c r="K2" t="inlineStr">
        <is>
          <t>Teaching Staff</t>
        </is>
      </c>
      <c r="M2" t="inlineStr">
        <is>
          <t>Non-Teaching Staff</t>
        </is>
      </c>
      <c r="O2" t="inlineStr">
        <is>
          <t>Total  Staff</t>
        </is>
      </c>
    </row>
    <row r="3">
      <c r="B3" t="inlineStr">
        <is>
          <t>Schools</t>
        </is>
      </c>
      <c r="C3" t="inlineStr">
        <is>
          <t>Schools</t>
        </is>
      </c>
      <c r="D3" t="inlineStr">
        <is>
          <t>Classes</t>
        </is>
      </c>
      <c r="E3" t="inlineStr">
        <is>
          <t>Classrooms</t>
        </is>
      </c>
      <c r="F3" t="inlineStr">
        <is>
          <t>in Pagoda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Female</t>
        </is>
      </c>
      <c r="M3" t="inlineStr">
        <is>
          <t>Total</t>
        </is>
      </c>
      <c r="N3" t="inlineStr">
        <is>
          <t>Female</t>
        </is>
      </c>
      <c r="O3" t="inlineStr">
        <is>
          <t>Total</t>
        </is>
      </c>
      <c r="P3" t="inlineStr">
        <is>
          <t>Female</t>
        </is>
      </c>
    </row>
    <row r="4">
      <c r="A4" t="inlineStr">
        <is>
          <t>Banteay Meanchey</t>
        </is>
      </c>
      <c r="B4" t="n">
        <v>54</v>
      </c>
      <c r="C4" t="n">
        <v>0</v>
      </c>
      <c r="D4" t="n">
        <v>338</v>
      </c>
      <c r="E4" t="n">
        <v>323</v>
      </c>
      <c r="F4" t="n">
        <v>-1</v>
      </c>
      <c r="G4" t="n">
        <v>15577</v>
      </c>
      <c r="H4" t="n">
        <v>8256</v>
      </c>
      <c r="I4" t="n">
        <v>109</v>
      </c>
      <c r="J4" t="n">
        <v>38</v>
      </c>
      <c r="K4" t="n">
        <v>530</v>
      </c>
      <c r="L4" t="n">
        <v>231</v>
      </c>
      <c r="M4" t="n">
        <v>135</v>
      </c>
      <c r="N4" t="n">
        <v>43</v>
      </c>
      <c r="O4" t="n">
        <v>665</v>
      </c>
      <c r="P4" t="n">
        <v>274</v>
      </c>
    </row>
    <row r="5">
      <c r="A5" t="inlineStr">
        <is>
          <t>Battambang</t>
        </is>
      </c>
      <c r="B5" t="n">
        <v>98</v>
      </c>
      <c r="C5" t="n">
        <v>0</v>
      </c>
      <c r="D5" t="n">
        <v>695</v>
      </c>
      <c r="E5" t="n">
        <v>663</v>
      </c>
      <c r="F5" t="n">
        <v>4</v>
      </c>
      <c r="G5" t="n">
        <v>33417</v>
      </c>
      <c r="H5" t="n">
        <v>17840</v>
      </c>
      <c r="I5" t="n">
        <v>306</v>
      </c>
      <c r="J5" t="n">
        <v>108</v>
      </c>
      <c r="K5" t="n">
        <v>1314</v>
      </c>
      <c r="L5" t="n">
        <v>636</v>
      </c>
      <c r="M5" t="n">
        <v>282</v>
      </c>
      <c r="N5" t="n">
        <v>96</v>
      </c>
      <c r="O5" t="n">
        <v>1596</v>
      </c>
      <c r="P5" t="n">
        <v>732</v>
      </c>
    </row>
    <row r="6">
      <c r="A6" t="inlineStr">
        <is>
          <t>Kampong Cham</t>
        </is>
      </c>
      <c r="B6" t="n">
        <v>81</v>
      </c>
      <c r="C6" t="n">
        <v>0</v>
      </c>
      <c r="D6" t="n">
        <v>482</v>
      </c>
      <c r="E6" t="n">
        <v>433</v>
      </c>
      <c r="F6" t="n">
        <v>9</v>
      </c>
      <c r="G6" t="n">
        <v>20896</v>
      </c>
      <c r="H6" t="n">
        <v>11303</v>
      </c>
      <c r="I6" t="n">
        <v>138</v>
      </c>
      <c r="J6" t="n">
        <v>38</v>
      </c>
      <c r="K6" t="n">
        <v>882</v>
      </c>
      <c r="L6" t="n">
        <v>464</v>
      </c>
      <c r="M6" t="n">
        <v>213</v>
      </c>
      <c r="N6" t="n">
        <v>59</v>
      </c>
      <c r="O6" t="n">
        <v>1095</v>
      </c>
      <c r="P6" t="n">
        <v>523</v>
      </c>
    </row>
    <row r="7">
      <c r="A7" t="inlineStr">
        <is>
          <t>Kampong Chhnang</t>
        </is>
      </c>
      <c r="B7" t="n">
        <v>62</v>
      </c>
      <c r="C7" t="n">
        <v>0</v>
      </c>
      <c r="D7" t="n">
        <v>335</v>
      </c>
      <c r="E7" t="n">
        <v>311</v>
      </c>
      <c r="F7" t="n">
        <v>3</v>
      </c>
      <c r="G7" t="n">
        <v>15873</v>
      </c>
      <c r="H7" t="n">
        <v>8594</v>
      </c>
      <c r="I7" t="n">
        <v>131</v>
      </c>
      <c r="J7" t="n">
        <v>53</v>
      </c>
      <c r="K7" t="n">
        <v>575</v>
      </c>
      <c r="L7" t="n">
        <v>275</v>
      </c>
      <c r="M7" t="n">
        <v>105</v>
      </c>
      <c r="N7" t="n">
        <v>28</v>
      </c>
      <c r="O7" t="n">
        <v>680</v>
      </c>
      <c r="P7" t="n">
        <v>303</v>
      </c>
    </row>
    <row r="8">
      <c r="A8" t="inlineStr">
        <is>
          <t>Kampong Speu</t>
        </is>
      </c>
      <c r="B8" t="n">
        <v>72</v>
      </c>
      <c r="C8" t="n">
        <v>0</v>
      </c>
      <c r="D8" t="n">
        <v>428</v>
      </c>
      <c r="E8" t="n">
        <v>380</v>
      </c>
      <c r="F8" t="n">
        <v>9</v>
      </c>
      <c r="G8" t="n">
        <v>20012</v>
      </c>
      <c r="H8" t="n">
        <v>10335</v>
      </c>
      <c r="I8" t="n">
        <v>73</v>
      </c>
      <c r="J8" t="n">
        <v>18</v>
      </c>
      <c r="K8" t="n">
        <v>865</v>
      </c>
      <c r="L8" t="n">
        <v>318</v>
      </c>
      <c r="M8" t="n">
        <v>123</v>
      </c>
      <c r="N8" t="n">
        <v>18</v>
      </c>
      <c r="O8" t="n">
        <v>988</v>
      </c>
      <c r="P8" t="n">
        <v>336</v>
      </c>
    </row>
    <row r="9">
      <c r="A9" t="inlineStr">
        <is>
          <t>Kampong Thom</t>
        </is>
      </c>
      <c r="B9" t="n">
        <v>67</v>
      </c>
      <c r="C9" t="n">
        <v>0</v>
      </c>
      <c r="D9" t="n">
        <v>432</v>
      </c>
      <c r="E9" t="n">
        <v>399</v>
      </c>
      <c r="F9" t="n">
        <v>8</v>
      </c>
      <c r="G9" t="n">
        <v>16924</v>
      </c>
      <c r="H9" t="n">
        <v>9140</v>
      </c>
      <c r="I9" t="n">
        <v>147</v>
      </c>
      <c r="J9" t="n">
        <v>50</v>
      </c>
      <c r="K9" t="n">
        <v>664</v>
      </c>
      <c r="L9" t="n">
        <v>328</v>
      </c>
      <c r="M9" t="n">
        <v>142</v>
      </c>
      <c r="N9" t="n">
        <v>24</v>
      </c>
      <c r="O9" t="n">
        <v>806</v>
      </c>
      <c r="P9" t="n">
        <v>352</v>
      </c>
    </row>
    <row r="10">
      <c r="A10" t="inlineStr">
        <is>
          <t>Kampot</t>
        </is>
      </c>
      <c r="B10" t="n">
        <v>76</v>
      </c>
      <c r="C10" t="n">
        <v>0</v>
      </c>
      <c r="D10" t="n">
        <v>450</v>
      </c>
      <c r="E10" t="n">
        <v>422</v>
      </c>
      <c r="F10" t="n">
        <v>12</v>
      </c>
      <c r="G10" t="n">
        <v>17394</v>
      </c>
      <c r="H10" t="n">
        <v>9129</v>
      </c>
      <c r="I10" t="n">
        <v>206</v>
      </c>
      <c r="J10" t="n">
        <v>54</v>
      </c>
      <c r="K10" t="n">
        <v>984</v>
      </c>
      <c r="L10" t="n">
        <v>431</v>
      </c>
      <c r="M10" t="n">
        <v>236</v>
      </c>
      <c r="N10" t="n">
        <v>54</v>
      </c>
      <c r="O10" t="n">
        <v>1220</v>
      </c>
      <c r="P10" t="n">
        <v>485</v>
      </c>
    </row>
    <row r="11">
      <c r="A11" t="inlineStr">
        <is>
          <t>Kandal</t>
        </is>
      </c>
      <c r="B11" t="n">
        <v>100</v>
      </c>
      <c r="C11" t="n">
        <v>0</v>
      </c>
      <c r="D11" t="n">
        <v>759</v>
      </c>
      <c r="E11" t="n">
        <v>728</v>
      </c>
      <c r="F11" t="n">
        <v>38</v>
      </c>
      <c r="G11" t="n">
        <v>32073</v>
      </c>
      <c r="H11" t="n">
        <v>16626</v>
      </c>
      <c r="I11" t="n">
        <v>282</v>
      </c>
      <c r="J11" t="n">
        <v>103</v>
      </c>
      <c r="K11" t="n">
        <v>1608</v>
      </c>
      <c r="L11" t="n">
        <v>830</v>
      </c>
      <c r="M11" t="n">
        <v>296</v>
      </c>
      <c r="N11" t="n">
        <v>65</v>
      </c>
      <c r="O11" t="n">
        <v>1904</v>
      </c>
      <c r="P11" t="n">
        <v>895</v>
      </c>
    </row>
    <row r="12">
      <c r="A12" t="inlineStr">
        <is>
          <t>Kep</t>
        </is>
      </c>
      <c r="B12" t="n">
        <v>4</v>
      </c>
      <c r="C12" t="n">
        <v>0</v>
      </c>
      <c r="D12" t="n">
        <v>30</v>
      </c>
      <c r="E12" t="n">
        <v>30</v>
      </c>
      <c r="F12" t="n">
        <v>0</v>
      </c>
      <c r="G12" t="n">
        <v>973</v>
      </c>
      <c r="H12" t="n">
        <v>519</v>
      </c>
      <c r="I12" t="n">
        <v>16</v>
      </c>
      <c r="J12" t="n">
        <v>3</v>
      </c>
      <c r="K12" t="n">
        <v>98</v>
      </c>
      <c r="L12" t="n">
        <v>40</v>
      </c>
      <c r="M12" t="n">
        <v>19</v>
      </c>
      <c r="N12" t="n">
        <v>2</v>
      </c>
      <c r="O12" t="n">
        <v>117</v>
      </c>
      <c r="P12" t="n">
        <v>42</v>
      </c>
    </row>
    <row r="13">
      <c r="A13" t="inlineStr">
        <is>
          <t>Koh Kong</t>
        </is>
      </c>
      <c r="B13" t="n">
        <v>19</v>
      </c>
      <c r="C13" t="n">
        <v>0</v>
      </c>
      <c r="D13" t="n">
        <v>76</v>
      </c>
      <c r="E13" t="n">
        <v>72</v>
      </c>
      <c r="F13" t="n">
        <v>0</v>
      </c>
      <c r="G13" t="n">
        <v>2240</v>
      </c>
      <c r="H13" t="n">
        <v>1161</v>
      </c>
      <c r="I13" t="n">
        <v>33</v>
      </c>
      <c r="J13" t="n">
        <v>8</v>
      </c>
      <c r="K13" t="n">
        <v>152</v>
      </c>
      <c r="L13" t="n">
        <v>51</v>
      </c>
      <c r="M13" t="n">
        <v>26</v>
      </c>
      <c r="N13" t="n">
        <v>7</v>
      </c>
      <c r="O13" t="n">
        <v>178</v>
      </c>
      <c r="P13" t="n">
        <v>58</v>
      </c>
    </row>
    <row r="14">
      <c r="A14" t="inlineStr">
        <is>
          <t>Kratie</t>
        </is>
      </c>
      <c r="B14" t="n">
        <v>42</v>
      </c>
      <c r="C14" t="n">
        <v>0</v>
      </c>
      <c r="D14" t="n">
        <v>221</v>
      </c>
      <c r="E14" t="n">
        <v>214</v>
      </c>
      <c r="F14" t="n">
        <v>3</v>
      </c>
      <c r="G14" t="n">
        <v>9755</v>
      </c>
      <c r="H14" t="n">
        <v>5333</v>
      </c>
      <c r="I14" t="n">
        <v>102</v>
      </c>
      <c r="J14" t="n">
        <v>25</v>
      </c>
      <c r="K14" t="n">
        <v>475</v>
      </c>
      <c r="L14" t="n">
        <v>253</v>
      </c>
      <c r="M14" t="n">
        <v>65</v>
      </c>
      <c r="N14" t="n">
        <v>20</v>
      </c>
      <c r="O14" t="n">
        <v>540</v>
      </c>
      <c r="P14" t="n">
        <v>273</v>
      </c>
    </row>
    <row r="15">
      <c r="A15" t="inlineStr">
        <is>
          <t>Mondul Kiri</t>
        </is>
      </c>
      <c r="B15" t="n">
        <v>8</v>
      </c>
      <c r="C15" t="n">
        <v>0</v>
      </c>
      <c r="D15" t="n">
        <v>37</v>
      </c>
      <c r="E15" t="n">
        <v>34</v>
      </c>
      <c r="F15" t="n">
        <v>0</v>
      </c>
      <c r="G15" t="n">
        <v>1323</v>
      </c>
      <c r="H15" t="n">
        <v>733</v>
      </c>
      <c r="I15" t="n">
        <v>25</v>
      </c>
      <c r="J15" t="n">
        <v>4</v>
      </c>
      <c r="K15" t="n">
        <v>79</v>
      </c>
      <c r="L15" t="n">
        <v>34</v>
      </c>
      <c r="M15" t="n">
        <v>1</v>
      </c>
      <c r="N15" t="n">
        <v>0</v>
      </c>
      <c r="O15" t="n">
        <v>80</v>
      </c>
      <c r="P15" t="n">
        <v>34</v>
      </c>
    </row>
    <row r="16">
      <c r="A16" t="inlineStr">
        <is>
          <t>Otdar Meanchey</t>
        </is>
      </c>
      <c r="B16" t="n">
        <v>30</v>
      </c>
      <c r="C16" t="n">
        <v>0</v>
      </c>
      <c r="D16" t="n">
        <v>150</v>
      </c>
      <c r="E16" t="n">
        <v>140</v>
      </c>
      <c r="F16" t="n">
        <v>0</v>
      </c>
      <c r="G16" t="n">
        <v>6759</v>
      </c>
      <c r="H16" t="n">
        <v>3644</v>
      </c>
      <c r="I16" t="n">
        <v>68</v>
      </c>
      <c r="J16" t="n">
        <v>24</v>
      </c>
      <c r="K16" t="n">
        <v>235</v>
      </c>
      <c r="L16" t="n">
        <v>87</v>
      </c>
      <c r="M16" t="n">
        <v>30</v>
      </c>
      <c r="N16" t="n">
        <v>1</v>
      </c>
      <c r="O16" t="n">
        <v>265</v>
      </c>
      <c r="P16" t="n">
        <v>88</v>
      </c>
    </row>
    <row r="17">
      <c r="A17" t="inlineStr">
        <is>
          <t>Pailin</t>
        </is>
      </c>
      <c r="B17" t="n">
        <v>7</v>
      </c>
      <c r="C17" t="n">
        <v>0</v>
      </c>
      <c r="D17" t="n">
        <v>58</v>
      </c>
      <c r="E17" t="n">
        <v>53</v>
      </c>
      <c r="F17" t="n">
        <v>0</v>
      </c>
      <c r="G17" t="n">
        <v>2115</v>
      </c>
      <c r="H17" t="n">
        <v>1116</v>
      </c>
      <c r="I17" t="n">
        <v>17</v>
      </c>
      <c r="J17" t="n">
        <v>6</v>
      </c>
      <c r="K17" t="n">
        <v>169</v>
      </c>
      <c r="L17" t="n">
        <v>78</v>
      </c>
      <c r="M17" t="n">
        <v>25</v>
      </c>
      <c r="N17" t="n">
        <v>3</v>
      </c>
      <c r="O17" t="n">
        <v>194</v>
      </c>
      <c r="P17" t="n">
        <v>81</v>
      </c>
    </row>
    <row r="18">
      <c r="A18" t="inlineStr">
        <is>
          <t>Phnom Penh</t>
        </is>
      </c>
      <c r="B18" t="n">
        <v>27</v>
      </c>
      <c r="C18" t="n">
        <v>0</v>
      </c>
      <c r="D18" t="n">
        <v>302</v>
      </c>
      <c r="E18" t="n">
        <v>234</v>
      </c>
      <c r="F18" t="n">
        <v>0</v>
      </c>
      <c r="G18" t="n">
        <v>13326</v>
      </c>
      <c r="H18" t="n">
        <v>6551</v>
      </c>
      <c r="I18" t="n">
        <v>409</v>
      </c>
      <c r="J18" t="n">
        <v>172</v>
      </c>
      <c r="K18" t="n">
        <v>827</v>
      </c>
      <c r="L18" t="n">
        <v>434</v>
      </c>
      <c r="M18" t="n">
        <v>116</v>
      </c>
      <c r="N18" t="n">
        <v>32</v>
      </c>
      <c r="O18" t="n">
        <v>943</v>
      </c>
      <c r="P18" t="n">
        <v>466</v>
      </c>
    </row>
    <row r="19">
      <c r="A19" t="inlineStr">
        <is>
          <t>Preah Sihanouk</t>
        </is>
      </c>
      <c r="B19" t="n">
        <v>18</v>
      </c>
      <c r="C19" t="n">
        <v>0</v>
      </c>
      <c r="D19" t="n">
        <v>120</v>
      </c>
      <c r="E19" t="n">
        <v>116</v>
      </c>
      <c r="F19" t="n">
        <v>0</v>
      </c>
      <c r="G19" t="n">
        <v>4439</v>
      </c>
      <c r="H19" t="n">
        <v>2296</v>
      </c>
      <c r="I19" t="n">
        <v>42</v>
      </c>
      <c r="J19" t="n">
        <v>15</v>
      </c>
      <c r="K19" t="n">
        <v>281</v>
      </c>
      <c r="L19" t="n">
        <v>122</v>
      </c>
      <c r="M19" t="n">
        <v>48</v>
      </c>
      <c r="N19" t="n">
        <v>12</v>
      </c>
      <c r="O19" t="n">
        <v>329</v>
      </c>
      <c r="P19" t="n">
        <v>134</v>
      </c>
    </row>
    <row r="20">
      <c r="A20" t="inlineStr">
        <is>
          <t>Preah Vihear</t>
        </is>
      </c>
      <c r="B20" t="n">
        <v>48</v>
      </c>
      <c r="C20" t="n">
        <v>0</v>
      </c>
      <c r="D20" t="n">
        <v>219</v>
      </c>
      <c r="E20" t="n">
        <v>219</v>
      </c>
      <c r="F20" t="n">
        <v>0</v>
      </c>
      <c r="G20" t="n">
        <v>7671</v>
      </c>
      <c r="H20" t="n">
        <v>4260</v>
      </c>
      <c r="I20" t="n">
        <v>33</v>
      </c>
      <c r="J20" t="n">
        <v>15</v>
      </c>
      <c r="K20" t="n">
        <v>415</v>
      </c>
      <c r="L20" t="n">
        <v>168</v>
      </c>
      <c r="M20" t="n">
        <v>36</v>
      </c>
      <c r="N20" t="n">
        <v>13</v>
      </c>
      <c r="O20" t="n">
        <v>451</v>
      </c>
      <c r="P20" t="n">
        <v>181</v>
      </c>
    </row>
    <row r="21">
      <c r="A21" t="inlineStr">
        <is>
          <t>Prey Veng</t>
        </is>
      </c>
      <c r="B21" t="n">
        <v>93</v>
      </c>
      <c r="C21" t="n">
        <v>0</v>
      </c>
      <c r="D21" t="n">
        <v>631</v>
      </c>
      <c r="E21" t="n">
        <v>610</v>
      </c>
      <c r="F21" t="n">
        <v>17</v>
      </c>
      <c r="G21" t="n">
        <v>29040</v>
      </c>
      <c r="H21" t="n">
        <v>15139</v>
      </c>
      <c r="I21" t="n">
        <v>118</v>
      </c>
      <c r="J21" t="n">
        <v>44</v>
      </c>
      <c r="K21" t="n">
        <v>885</v>
      </c>
      <c r="L21" t="n">
        <v>346</v>
      </c>
      <c r="M21" t="n">
        <v>283</v>
      </c>
      <c r="N21" t="n">
        <v>57</v>
      </c>
      <c r="O21" t="n">
        <v>1168</v>
      </c>
      <c r="P21" t="n">
        <v>403</v>
      </c>
    </row>
    <row r="22">
      <c r="A22" t="inlineStr">
        <is>
          <t>Pursat</t>
        </is>
      </c>
      <c r="B22" t="n">
        <v>44</v>
      </c>
      <c r="C22" t="n">
        <v>0</v>
      </c>
      <c r="D22" t="n">
        <v>332</v>
      </c>
      <c r="E22" t="n">
        <v>301</v>
      </c>
      <c r="F22" t="n">
        <v>0</v>
      </c>
      <c r="G22" t="n">
        <v>14261</v>
      </c>
      <c r="H22" t="n">
        <v>7632</v>
      </c>
      <c r="I22" t="n">
        <v>51</v>
      </c>
      <c r="J22" t="n">
        <v>22</v>
      </c>
      <c r="K22" t="n">
        <v>689</v>
      </c>
      <c r="L22" t="n">
        <v>282</v>
      </c>
      <c r="M22" t="n">
        <v>124</v>
      </c>
      <c r="N22" t="n">
        <v>28</v>
      </c>
      <c r="O22" t="n">
        <v>813</v>
      </c>
      <c r="P22" t="n">
        <v>310</v>
      </c>
    </row>
    <row r="23">
      <c r="A23" t="inlineStr">
        <is>
          <t>Ratanak Kiri</t>
        </is>
      </c>
      <c r="B23" t="n">
        <v>22</v>
      </c>
      <c r="C23" t="n">
        <v>0</v>
      </c>
      <c r="D23" t="n">
        <v>101</v>
      </c>
      <c r="E23" t="n">
        <v>89</v>
      </c>
      <c r="F23" t="n">
        <v>0</v>
      </c>
      <c r="G23" t="n">
        <v>4766</v>
      </c>
      <c r="H23" t="n">
        <v>2500</v>
      </c>
      <c r="I23" t="n">
        <v>21</v>
      </c>
      <c r="J23" t="n">
        <v>5</v>
      </c>
      <c r="K23" t="n">
        <v>146</v>
      </c>
      <c r="L23" t="n">
        <v>65</v>
      </c>
      <c r="M23" t="n">
        <v>21</v>
      </c>
      <c r="N23" t="n">
        <v>6</v>
      </c>
      <c r="O23" t="n">
        <v>167</v>
      </c>
      <c r="P23" t="n">
        <v>71</v>
      </c>
    </row>
    <row r="24">
      <c r="A24" t="inlineStr">
        <is>
          <t>Siemreap</t>
        </is>
      </c>
      <c r="B24" t="n">
        <v>80</v>
      </c>
      <c r="C24" t="n">
        <v>0</v>
      </c>
      <c r="D24" t="n">
        <v>545</v>
      </c>
      <c r="E24" t="n">
        <v>482</v>
      </c>
      <c r="F24" t="n">
        <v>22</v>
      </c>
      <c r="G24" t="n">
        <v>25111</v>
      </c>
      <c r="H24" t="n">
        <v>13937</v>
      </c>
      <c r="I24" t="n">
        <v>437</v>
      </c>
      <c r="J24" t="n">
        <v>145</v>
      </c>
      <c r="K24" t="n">
        <v>732</v>
      </c>
      <c r="L24" t="n">
        <v>402</v>
      </c>
      <c r="M24" t="n">
        <v>175</v>
      </c>
      <c r="N24" t="n">
        <v>60</v>
      </c>
      <c r="O24" t="n">
        <v>907</v>
      </c>
      <c r="P24" t="n">
        <v>462</v>
      </c>
    </row>
    <row r="25">
      <c r="A25" t="inlineStr">
        <is>
          <t>Stung Treng</t>
        </is>
      </c>
      <c r="B25" t="n">
        <v>30</v>
      </c>
      <c r="C25" t="n">
        <v>0</v>
      </c>
      <c r="D25" t="n">
        <v>121</v>
      </c>
      <c r="E25" t="n">
        <v>114</v>
      </c>
      <c r="F25" t="n">
        <v>0</v>
      </c>
      <c r="G25" t="n">
        <v>4131</v>
      </c>
      <c r="H25" t="n">
        <v>2243</v>
      </c>
      <c r="I25" t="n">
        <v>29</v>
      </c>
      <c r="J25" t="n">
        <v>8</v>
      </c>
      <c r="K25" t="n">
        <v>285</v>
      </c>
      <c r="L25" t="n">
        <v>119</v>
      </c>
      <c r="M25" t="n">
        <v>34</v>
      </c>
      <c r="N25" t="n">
        <v>7</v>
      </c>
      <c r="O25" t="n">
        <v>319</v>
      </c>
      <c r="P25" t="n">
        <v>126</v>
      </c>
    </row>
    <row r="26">
      <c r="A26" t="inlineStr">
        <is>
          <t>Svay Rieng</t>
        </is>
      </c>
      <c r="B26" t="n">
        <v>53</v>
      </c>
      <c r="C26" t="n">
        <v>0</v>
      </c>
      <c r="D26" t="n">
        <v>312</v>
      </c>
      <c r="E26" t="n">
        <v>300</v>
      </c>
      <c r="F26" t="n">
        <v>5</v>
      </c>
      <c r="G26" t="n">
        <v>12878</v>
      </c>
      <c r="H26" t="n">
        <v>6488</v>
      </c>
      <c r="I26" t="n">
        <v>20</v>
      </c>
      <c r="J26" t="n">
        <v>4</v>
      </c>
      <c r="K26" t="n">
        <v>587</v>
      </c>
      <c r="L26" t="n">
        <v>165</v>
      </c>
      <c r="M26" t="n">
        <v>143</v>
      </c>
      <c r="N26" t="n">
        <v>14</v>
      </c>
      <c r="O26" t="n">
        <v>730</v>
      </c>
      <c r="P26" t="n">
        <v>179</v>
      </c>
    </row>
    <row r="27">
      <c r="A27" t="inlineStr">
        <is>
          <t>Takeo</t>
        </is>
      </c>
      <c r="B27" t="n">
        <v>66</v>
      </c>
      <c r="C27" t="n">
        <v>0</v>
      </c>
      <c r="D27" t="n">
        <v>449</v>
      </c>
      <c r="E27" t="n">
        <v>436</v>
      </c>
      <c r="F27" t="n">
        <v>15</v>
      </c>
      <c r="G27" t="n">
        <v>17026</v>
      </c>
      <c r="H27" t="n">
        <v>8747</v>
      </c>
      <c r="I27" t="n">
        <v>187</v>
      </c>
      <c r="J27" t="n">
        <v>70</v>
      </c>
      <c r="K27" t="n">
        <v>782</v>
      </c>
      <c r="L27" t="n">
        <v>292</v>
      </c>
      <c r="M27" t="n">
        <v>233</v>
      </c>
      <c r="N27" t="n">
        <v>45</v>
      </c>
      <c r="O27" t="n">
        <v>1015</v>
      </c>
      <c r="P27" t="n">
        <v>337</v>
      </c>
    </row>
    <row r="28">
      <c r="A28" t="inlineStr">
        <is>
          <t>Tbaung Khmum</t>
        </is>
      </c>
      <c r="B28" t="n">
        <v>52</v>
      </c>
      <c r="C28" t="n">
        <v>0</v>
      </c>
      <c r="D28" t="n">
        <v>315</v>
      </c>
      <c r="E28" t="n">
        <v>293</v>
      </c>
      <c r="F28" t="n">
        <v>0</v>
      </c>
      <c r="G28" t="n">
        <v>13942</v>
      </c>
      <c r="H28" t="n">
        <v>7598</v>
      </c>
      <c r="I28" t="n">
        <v>82</v>
      </c>
      <c r="J28" t="n">
        <v>21</v>
      </c>
      <c r="K28" t="n">
        <v>445</v>
      </c>
      <c r="L28" t="n">
        <v>214</v>
      </c>
      <c r="M28" t="n">
        <v>87</v>
      </c>
      <c r="N28" t="n">
        <v>18</v>
      </c>
      <c r="O28" t="n">
        <v>532</v>
      </c>
      <c r="P28" t="n">
        <v>232</v>
      </c>
    </row>
    <row r="29">
      <c r="A29" t="inlineStr">
        <is>
          <t>Whole Kingdom</t>
        </is>
      </c>
      <c r="B29" t="n">
        <v>1253</v>
      </c>
      <c r="C29" t="n">
        <v>0</v>
      </c>
      <c r="D29" t="n">
        <v>7938</v>
      </c>
      <c r="E29" t="n">
        <v>7396</v>
      </c>
      <c r="F29" t="n">
        <v>144</v>
      </c>
      <c r="G29" t="n">
        <v>341922</v>
      </c>
      <c r="H29" t="n">
        <v>181120</v>
      </c>
      <c r="I29" t="n">
        <v>3082</v>
      </c>
      <c r="J29" t="n">
        <v>1053</v>
      </c>
      <c r="K29" t="n">
        <v>14704</v>
      </c>
      <c r="L29" t="n">
        <v>6665</v>
      </c>
      <c r="M29" t="n">
        <v>2998</v>
      </c>
      <c r="N29" t="n">
        <v>712</v>
      </c>
      <c r="O29" t="n">
        <v>17702</v>
      </c>
      <c r="P29" t="n">
        <v>7377</v>
      </c>
    </row>
    <row r="30">
      <c r="A30" t="inlineStr">
        <is>
          <t>-  Urban Area</t>
        </is>
      </c>
      <c r="B30" t="n">
        <v>128</v>
      </c>
      <c r="C30" t="n">
        <v>0</v>
      </c>
      <c r="D30" t="n">
        <v>1090</v>
      </c>
      <c r="E30" t="n">
        <v>968</v>
      </c>
      <c r="F30" t="n">
        <v>45</v>
      </c>
      <c r="G30" t="n">
        <v>44587</v>
      </c>
      <c r="H30" t="n">
        <v>22844</v>
      </c>
      <c r="I30" t="n">
        <v>821</v>
      </c>
      <c r="J30" t="n">
        <v>342</v>
      </c>
      <c r="K30" t="n">
        <v>2635</v>
      </c>
      <c r="L30" t="n">
        <v>1382</v>
      </c>
      <c r="M30" t="n">
        <v>483</v>
      </c>
      <c r="N30" t="n">
        <v>166</v>
      </c>
      <c r="O30" t="n">
        <v>3118</v>
      </c>
      <c r="P30" t="n">
        <v>1548</v>
      </c>
    </row>
    <row r="31">
      <c r="A31" t="inlineStr">
        <is>
          <t>-  Rural Area</t>
        </is>
      </c>
      <c r="B31" t="n">
        <v>1125</v>
      </c>
      <c r="C31" t="n">
        <v>0</v>
      </c>
      <c r="D31" t="n">
        <v>6848</v>
      </c>
      <c r="E31" t="n">
        <v>6428</v>
      </c>
      <c r="F31" t="n">
        <v>99</v>
      </c>
      <c r="G31" t="n">
        <v>297335</v>
      </c>
      <c r="H31" t="n">
        <v>158276</v>
      </c>
      <c r="I31" t="n">
        <v>2261</v>
      </c>
      <c r="J31" t="n">
        <v>711</v>
      </c>
      <c r="K31" t="n">
        <v>12069</v>
      </c>
      <c r="L31" t="n">
        <v>5283</v>
      </c>
      <c r="M31" t="n">
        <v>2515</v>
      </c>
      <c r="N31" t="n">
        <v>546</v>
      </c>
      <c r="O31" t="n">
        <v>14584</v>
      </c>
      <c r="P31" t="n">
        <v>5829</v>
      </c>
    </row>
  </sheetData>
  <mergeCells count="7">
    <mergeCell ref="O2:P2"/>
    <mergeCell ref="M2:N2"/>
    <mergeCell ref="G2:H2"/>
    <mergeCell ref="K2:L2"/>
    <mergeCell ref="I2:J2"/>
    <mergeCell ref="A2:A3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2.85546875" customWidth="1" min="1" max="1"/>
    <col width="14.85546875" customWidth="1" min="2" max="2"/>
    <col width="7.5703125" customWidth="1" min="3" max="3"/>
    <col width="8.42578125" customWidth="1" min="4" max="4"/>
    <col width="9" customWidth="1" min="5" max="5"/>
    <col width="8.85546875" customWidth="1" min="6" max="6"/>
    <col width="7.7109375" customWidth="1" min="7" max="7"/>
    <col width="6" customWidth="1" min="9" max="9"/>
    <col width="5" customWidth="1" min="10" max="10"/>
    <col width="6.7109375" customWidth="1" min="11" max="11"/>
    <col width="7.140625" customWidth="1" min="12" max="12"/>
    <col width="6" customWidth="1" min="13" max="13"/>
    <col width="7.140625" customWidth="1" min="14" max="14"/>
    <col width="6.7109375" customWidth="1" min="15" max="15"/>
    <col width="7.140625" customWidth="1" min="16" max="16"/>
  </cols>
  <sheetData>
    <row r="1">
      <c r="A1" t="inlineStr">
        <is>
          <t>Table 7: Lycees with grade 10-12 only, Classes, Students and Staff by Province</t>
        </is>
      </c>
    </row>
    <row r="2">
      <c r="A2" t="inlineStr">
        <is>
          <t>Province</t>
        </is>
      </c>
      <c r="B2" t="inlineStr">
        <is>
          <t>Number of School</t>
        </is>
      </c>
      <c r="C2" t="inlineStr">
        <is>
          <t>Disadv.</t>
        </is>
      </c>
      <c r="D2" t="inlineStr">
        <is>
          <t>Number of</t>
        </is>
      </c>
      <c r="E2" t="inlineStr">
        <is>
          <t>Number of</t>
        </is>
      </c>
      <c r="F2" t="inlineStr">
        <is>
          <t>Classes</t>
        </is>
      </c>
      <c r="G2" t="inlineStr">
        <is>
          <t>Enrollment</t>
        </is>
      </c>
      <c r="I2" t="inlineStr">
        <is>
          <t>Repeaters</t>
        </is>
      </c>
      <c r="K2" t="inlineStr">
        <is>
          <t>Teaching Staff</t>
        </is>
      </c>
      <c r="M2" t="inlineStr">
        <is>
          <t>Non-Teaching Staff</t>
        </is>
      </c>
      <c r="O2" t="inlineStr">
        <is>
          <t>Total  Staff</t>
        </is>
      </c>
    </row>
    <row r="3">
      <c r="B3" t="inlineStr">
        <is>
          <t>G.10-12</t>
        </is>
      </c>
      <c r="C3" t="inlineStr">
        <is>
          <t>Schools</t>
        </is>
      </c>
      <c r="D3" t="inlineStr">
        <is>
          <t>Classes</t>
        </is>
      </c>
      <c r="E3" t="inlineStr">
        <is>
          <t>Classrooms</t>
        </is>
      </c>
      <c r="F3" t="inlineStr">
        <is>
          <t>in Pagoda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Female</t>
        </is>
      </c>
      <c r="M3" t="inlineStr">
        <is>
          <t>Total</t>
        </is>
      </c>
      <c r="N3" t="inlineStr">
        <is>
          <t>Female</t>
        </is>
      </c>
      <c r="O3" t="inlineStr">
        <is>
          <t>Total</t>
        </is>
      </c>
      <c r="P3" t="inlineStr">
        <is>
          <t>Female</t>
        </is>
      </c>
    </row>
    <row r="4">
      <c r="A4" t="inlineStr">
        <is>
          <t>Battambang</t>
        </is>
      </c>
      <c r="B4" t="n">
        <v>3</v>
      </c>
      <c r="C4" t="n">
        <v>0</v>
      </c>
      <c r="D4" t="n">
        <v>83</v>
      </c>
      <c r="E4" t="n">
        <v>67</v>
      </c>
      <c r="F4" t="n">
        <v>0</v>
      </c>
      <c r="G4" t="n">
        <v>3856</v>
      </c>
      <c r="H4" t="n">
        <v>2118</v>
      </c>
      <c r="I4" t="n">
        <v>56</v>
      </c>
      <c r="J4" t="n">
        <v>19</v>
      </c>
      <c r="K4" t="n">
        <v>107</v>
      </c>
      <c r="L4" t="n">
        <v>37</v>
      </c>
      <c r="M4" t="n">
        <v>16</v>
      </c>
      <c r="N4" t="n">
        <v>3</v>
      </c>
      <c r="O4" t="n">
        <v>123</v>
      </c>
      <c r="P4" t="n">
        <v>40</v>
      </c>
    </row>
    <row r="5">
      <c r="A5" t="inlineStr">
        <is>
          <t>Kampong Speu</t>
        </is>
      </c>
      <c r="B5" t="n">
        <v>2</v>
      </c>
      <c r="C5" t="n">
        <v>0</v>
      </c>
      <c r="D5" t="n">
        <v>48</v>
      </c>
      <c r="E5" t="n">
        <v>41</v>
      </c>
      <c r="F5" t="n">
        <v>0</v>
      </c>
      <c r="G5" t="n">
        <v>2746</v>
      </c>
      <c r="H5" t="n">
        <v>1475</v>
      </c>
      <c r="I5" t="n">
        <v>4</v>
      </c>
      <c r="J5" t="n">
        <v>1</v>
      </c>
      <c r="K5" t="n">
        <v>97</v>
      </c>
      <c r="L5" t="n">
        <v>33</v>
      </c>
      <c r="M5" t="n">
        <v>14</v>
      </c>
      <c r="N5" t="n">
        <v>4</v>
      </c>
      <c r="O5" t="n">
        <v>111</v>
      </c>
      <c r="P5" t="n">
        <v>37</v>
      </c>
    </row>
    <row r="6">
      <c r="A6" t="inlineStr">
        <is>
          <t>Kampong Thom</t>
        </is>
      </c>
      <c r="B6" t="n">
        <v>1</v>
      </c>
      <c r="C6" t="n">
        <v>0</v>
      </c>
      <c r="D6" t="n">
        <v>15</v>
      </c>
      <c r="E6" t="n">
        <v>15</v>
      </c>
      <c r="F6" t="n">
        <v>0</v>
      </c>
      <c r="G6" t="n">
        <v>522</v>
      </c>
      <c r="H6" t="n">
        <v>355</v>
      </c>
      <c r="I6" t="n">
        <v>0</v>
      </c>
      <c r="J6" t="n">
        <v>0</v>
      </c>
      <c r="K6" t="n">
        <v>21</v>
      </c>
      <c r="L6" t="n">
        <v>9</v>
      </c>
      <c r="M6" t="n">
        <v>11</v>
      </c>
      <c r="N6" t="n">
        <v>4</v>
      </c>
      <c r="O6" t="n">
        <v>32</v>
      </c>
      <c r="P6" t="n">
        <v>13</v>
      </c>
    </row>
    <row r="7">
      <c r="A7" t="inlineStr">
        <is>
          <t>Kampot</t>
        </is>
      </c>
      <c r="B7" t="n">
        <v>2</v>
      </c>
      <c r="C7" t="n">
        <v>0</v>
      </c>
      <c r="D7" t="n">
        <v>26</v>
      </c>
      <c r="E7" t="n">
        <v>26</v>
      </c>
      <c r="F7" t="n">
        <v>0</v>
      </c>
      <c r="G7" t="n">
        <v>1026</v>
      </c>
      <c r="H7" t="n">
        <v>542</v>
      </c>
      <c r="I7" t="n">
        <v>8</v>
      </c>
      <c r="J7" t="n">
        <v>3</v>
      </c>
      <c r="K7" t="n">
        <v>55</v>
      </c>
      <c r="L7" t="n">
        <v>16</v>
      </c>
      <c r="M7" t="n">
        <v>8</v>
      </c>
      <c r="N7" t="n">
        <v>2</v>
      </c>
      <c r="O7" t="n">
        <v>63</v>
      </c>
      <c r="P7" t="n">
        <v>18</v>
      </c>
    </row>
    <row r="8">
      <c r="A8" t="inlineStr">
        <is>
          <t>Kandal</t>
        </is>
      </c>
      <c r="B8" t="n">
        <v>2</v>
      </c>
      <c r="C8" t="n">
        <v>0</v>
      </c>
      <c r="D8" t="n">
        <v>73</v>
      </c>
      <c r="E8" t="n">
        <v>73</v>
      </c>
      <c r="F8" t="n">
        <v>0</v>
      </c>
      <c r="G8" t="n">
        <v>2997</v>
      </c>
      <c r="H8" t="n">
        <v>1626</v>
      </c>
      <c r="I8" t="n">
        <v>0</v>
      </c>
      <c r="J8" t="n">
        <v>0</v>
      </c>
      <c r="K8" t="n">
        <v>168</v>
      </c>
      <c r="L8" t="n">
        <v>50</v>
      </c>
      <c r="M8" t="n">
        <v>17</v>
      </c>
      <c r="N8" t="n">
        <v>2</v>
      </c>
      <c r="O8" t="n">
        <v>185</v>
      </c>
      <c r="P8" t="n">
        <v>52</v>
      </c>
    </row>
    <row r="9">
      <c r="A9" t="inlineStr">
        <is>
          <t>Kratie</t>
        </is>
      </c>
      <c r="B9" t="n">
        <v>2</v>
      </c>
      <c r="C9" t="n">
        <v>0</v>
      </c>
      <c r="D9" t="n">
        <v>23</v>
      </c>
      <c r="E9" t="n">
        <v>22</v>
      </c>
      <c r="F9" t="n">
        <v>0</v>
      </c>
      <c r="G9" t="n">
        <v>1104</v>
      </c>
      <c r="H9" t="n">
        <v>621</v>
      </c>
      <c r="I9" t="n">
        <v>3</v>
      </c>
      <c r="J9" t="n">
        <v>2</v>
      </c>
      <c r="K9" t="n">
        <v>48</v>
      </c>
      <c r="L9" t="n">
        <v>19</v>
      </c>
      <c r="M9" t="n">
        <v>7</v>
      </c>
      <c r="N9" t="n">
        <v>2</v>
      </c>
      <c r="O9" t="n">
        <v>55</v>
      </c>
      <c r="P9" t="n">
        <v>21</v>
      </c>
    </row>
    <row r="10">
      <c r="A10" t="inlineStr">
        <is>
          <t>Otdar Meanchey</t>
        </is>
      </c>
      <c r="B10" t="n">
        <v>2</v>
      </c>
      <c r="C10" t="n">
        <v>0</v>
      </c>
      <c r="D10" t="n">
        <v>49</v>
      </c>
      <c r="E10" t="n">
        <v>49</v>
      </c>
      <c r="F10" t="n">
        <v>0</v>
      </c>
      <c r="G10" t="n">
        <v>2165</v>
      </c>
      <c r="H10" t="n">
        <v>1143</v>
      </c>
      <c r="I10" t="n">
        <v>49</v>
      </c>
      <c r="J10" t="n">
        <v>25</v>
      </c>
      <c r="K10" t="n">
        <v>69</v>
      </c>
      <c r="L10" t="n">
        <v>21</v>
      </c>
      <c r="M10" t="n">
        <v>8</v>
      </c>
      <c r="N10" t="n">
        <v>4</v>
      </c>
      <c r="O10" t="n">
        <v>77</v>
      </c>
      <c r="P10" t="n">
        <v>25</v>
      </c>
    </row>
    <row r="11">
      <c r="A11" t="inlineStr">
        <is>
          <t>Preah Sihanouk</t>
        </is>
      </c>
      <c r="B11" t="n">
        <v>1</v>
      </c>
      <c r="C11" t="n">
        <v>0</v>
      </c>
      <c r="D11" t="n">
        <v>30</v>
      </c>
      <c r="E11" t="n">
        <v>30</v>
      </c>
      <c r="F11" t="n">
        <v>0</v>
      </c>
      <c r="G11" t="n">
        <v>902</v>
      </c>
      <c r="H11" t="n">
        <v>463</v>
      </c>
      <c r="I11" t="n">
        <v>0</v>
      </c>
      <c r="J11" t="n">
        <v>0</v>
      </c>
      <c r="K11" t="n">
        <v>75</v>
      </c>
      <c r="L11" t="n">
        <v>19</v>
      </c>
      <c r="M11" t="n">
        <v>8</v>
      </c>
      <c r="N11" t="n">
        <v>3</v>
      </c>
      <c r="O11" t="n">
        <v>83</v>
      </c>
      <c r="P11" t="n">
        <v>22</v>
      </c>
    </row>
    <row r="12">
      <c r="A12" t="inlineStr">
        <is>
          <t>Preah Vihear</t>
        </is>
      </c>
      <c r="B12" t="n">
        <v>8</v>
      </c>
      <c r="C12" t="n">
        <v>0</v>
      </c>
      <c r="D12" t="n">
        <v>65</v>
      </c>
      <c r="E12" t="n">
        <v>65</v>
      </c>
      <c r="F12" t="n">
        <v>0</v>
      </c>
      <c r="G12" t="n">
        <v>2399</v>
      </c>
      <c r="H12" t="n">
        <v>1354</v>
      </c>
      <c r="I12" t="n">
        <v>18</v>
      </c>
      <c r="J12" t="n">
        <v>11</v>
      </c>
      <c r="K12" t="n">
        <v>112</v>
      </c>
      <c r="L12" t="n">
        <v>42</v>
      </c>
      <c r="M12" t="n">
        <v>7</v>
      </c>
      <c r="N12" t="n">
        <v>0</v>
      </c>
      <c r="O12" t="n">
        <v>119</v>
      </c>
      <c r="P12" t="n">
        <v>42</v>
      </c>
    </row>
    <row r="13">
      <c r="A13" t="inlineStr">
        <is>
          <t>Pursat</t>
        </is>
      </c>
      <c r="B13" t="n">
        <v>4</v>
      </c>
      <c r="C13" t="n">
        <v>0</v>
      </c>
      <c r="D13" t="n">
        <v>98</v>
      </c>
      <c r="E13" t="n">
        <v>91</v>
      </c>
      <c r="F13" t="n">
        <v>0</v>
      </c>
      <c r="G13" t="n">
        <v>4462</v>
      </c>
      <c r="H13" t="n">
        <v>2402</v>
      </c>
      <c r="I13" t="n">
        <v>65</v>
      </c>
      <c r="J13" t="n">
        <v>29</v>
      </c>
      <c r="K13" t="n">
        <v>211</v>
      </c>
      <c r="L13" t="n">
        <v>76</v>
      </c>
      <c r="M13" t="n">
        <v>33</v>
      </c>
      <c r="N13" t="n">
        <v>5</v>
      </c>
      <c r="O13" t="n">
        <v>244</v>
      </c>
      <c r="P13" t="n">
        <v>81</v>
      </c>
    </row>
    <row r="14">
      <c r="A14" t="inlineStr">
        <is>
          <t>Ratanak Kiri</t>
        </is>
      </c>
      <c r="B14" t="n">
        <v>2</v>
      </c>
      <c r="C14" t="n">
        <v>0</v>
      </c>
      <c r="D14" t="n">
        <v>20</v>
      </c>
      <c r="E14" t="n">
        <v>20</v>
      </c>
      <c r="F14" t="n">
        <v>0</v>
      </c>
      <c r="G14" t="n">
        <v>810</v>
      </c>
      <c r="H14" t="n">
        <v>385</v>
      </c>
      <c r="I14" t="n">
        <v>3</v>
      </c>
      <c r="J14" t="n">
        <v>0</v>
      </c>
      <c r="K14" t="n">
        <v>34</v>
      </c>
      <c r="L14" t="n">
        <v>9</v>
      </c>
      <c r="M14" t="n">
        <v>0</v>
      </c>
      <c r="N14" t="n">
        <v>0</v>
      </c>
      <c r="O14" t="n">
        <v>34</v>
      </c>
      <c r="P14" t="n">
        <v>9</v>
      </c>
    </row>
    <row r="15">
      <c r="A15" t="inlineStr">
        <is>
          <t>Siemreap</t>
        </is>
      </c>
      <c r="B15" t="n">
        <v>2</v>
      </c>
      <c r="C15" t="n">
        <v>0</v>
      </c>
      <c r="D15" t="n">
        <v>13</v>
      </c>
      <c r="E15" t="n">
        <v>13</v>
      </c>
      <c r="F15" t="n">
        <v>0</v>
      </c>
      <c r="G15" t="n">
        <v>482</v>
      </c>
      <c r="H15" t="n">
        <v>271</v>
      </c>
      <c r="I15" t="n">
        <v>17</v>
      </c>
      <c r="J15" t="n">
        <v>6</v>
      </c>
      <c r="K15" t="n">
        <v>17</v>
      </c>
      <c r="L15" t="n">
        <v>9</v>
      </c>
      <c r="M15" t="n">
        <v>8</v>
      </c>
      <c r="N15" t="n">
        <v>3</v>
      </c>
      <c r="O15" t="n">
        <v>25</v>
      </c>
      <c r="P15" t="n">
        <v>12</v>
      </c>
    </row>
    <row r="16">
      <c r="A16" t="inlineStr">
        <is>
          <t>Stung Treng</t>
        </is>
      </c>
      <c r="B16" t="n">
        <v>4</v>
      </c>
      <c r="C16" t="n">
        <v>0</v>
      </c>
      <c r="D16" t="n">
        <v>29</v>
      </c>
      <c r="E16" t="n">
        <v>26</v>
      </c>
      <c r="F16" t="n">
        <v>0</v>
      </c>
      <c r="G16" t="n">
        <v>1046</v>
      </c>
      <c r="H16" t="n">
        <v>539</v>
      </c>
      <c r="I16" t="n">
        <v>11</v>
      </c>
      <c r="J16" t="n">
        <v>3</v>
      </c>
      <c r="K16" t="n">
        <v>44</v>
      </c>
      <c r="L16" t="n">
        <v>10</v>
      </c>
      <c r="M16" t="n">
        <v>8</v>
      </c>
      <c r="N16" t="n">
        <v>3</v>
      </c>
      <c r="O16" t="n">
        <v>52</v>
      </c>
      <c r="P16" t="n">
        <v>13</v>
      </c>
    </row>
    <row r="17">
      <c r="A17" t="inlineStr">
        <is>
          <t>Whole Province</t>
        </is>
      </c>
      <c r="B17" t="n">
        <v>35</v>
      </c>
      <c r="C17" t="n">
        <v>0</v>
      </c>
      <c r="D17" t="n">
        <v>572</v>
      </c>
      <c r="E17" t="n">
        <v>538</v>
      </c>
      <c r="F17" t="n">
        <v>0</v>
      </c>
      <c r="G17" t="n">
        <v>24517</v>
      </c>
      <c r="H17" t="n">
        <v>13294</v>
      </c>
      <c r="I17" t="n">
        <v>234</v>
      </c>
      <c r="J17" t="n">
        <v>99</v>
      </c>
      <c r="K17" t="n">
        <v>1058</v>
      </c>
      <c r="L17" t="n">
        <v>350</v>
      </c>
      <c r="M17" t="n">
        <v>145</v>
      </c>
      <c r="N17" t="n">
        <v>35</v>
      </c>
      <c r="O17" t="n">
        <v>1203</v>
      </c>
      <c r="P17" t="n">
        <v>385</v>
      </c>
    </row>
    <row r="18">
      <c r="A18" t="inlineStr">
        <is>
          <t>-  Urban Area</t>
        </is>
      </c>
      <c r="B18" t="n">
        <v>7</v>
      </c>
      <c r="C18" t="n">
        <v>0</v>
      </c>
      <c r="D18" t="n">
        <v>151</v>
      </c>
      <c r="E18" t="n">
        <v>144</v>
      </c>
      <c r="F18" t="n">
        <v>0</v>
      </c>
      <c r="G18" t="n">
        <v>6690</v>
      </c>
      <c r="H18" t="n">
        <v>3575</v>
      </c>
      <c r="I18" t="n">
        <v>94</v>
      </c>
      <c r="J18" t="n">
        <v>39</v>
      </c>
      <c r="K18" t="n">
        <v>302</v>
      </c>
      <c r="L18" t="n">
        <v>94</v>
      </c>
      <c r="M18" t="n">
        <v>41</v>
      </c>
      <c r="N18" t="n">
        <v>11</v>
      </c>
      <c r="O18" t="n">
        <v>343</v>
      </c>
      <c r="P18" t="n">
        <v>105</v>
      </c>
    </row>
    <row r="19">
      <c r="A19" t="inlineStr">
        <is>
          <t>-  Rural Area</t>
        </is>
      </c>
      <c r="B19" t="n">
        <v>28</v>
      </c>
      <c r="C19" t="n">
        <v>0</v>
      </c>
      <c r="D19" t="n">
        <v>421</v>
      </c>
      <c r="E19" t="n">
        <v>394</v>
      </c>
      <c r="F19" t="n">
        <v>0</v>
      </c>
      <c r="G19" t="n">
        <v>17827</v>
      </c>
      <c r="H19" t="n">
        <v>9719</v>
      </c>
      <c r="I19" t="n">
        <v>140</v>
      </c>
      <c r="J19" t="n">
        <v>60</v>
      </c>
      <c r="K19" t="n">
        <v>756</v>
      </c>
      <c r="L19" t="n">
        <v>256</v>
      </c>
      <c r="M19" t="n">
        <v>104</v>
      </c>
      <c r="N19" t="n">
        <v>24</v>
      </c>
      <c r="O19" t="n">
        <v>860</v>
      </c>
      <c r="P19" t="n">
        <v>280</v>
      </c>
    </row>
  </sheetData>
  <mergeCells count="7">
    <mergeCell ref="O2:P2"/>
    <mergeCell ref="M2:N2"/>
    <mergeCell ref="G2:H2"/>
    <mergeCell ref="K2:L2"/>
    <mergeCell ref="I2:J2"/>
    <mergeCell ref="A2:A3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42578125" customWidth="1" min="2" max="2"/>
    <col width="7.5703125" customWidth="1" min="4" max="4"/>
    <col width="8.42578125" customWidth="1" min="5" max="5"/>
    <col width="9" customWidth="1" min="6" max="6"/>
    <col width="8.85546875" customWidth="1" min="7" max="7"/>
    <col width="8.7109375" customWidth="1" min="8" max="8"/>
    <col width="6.7109375" customWidth="1" min="10" max="10"/>
    <col width="6" customWidth="1" min="12" max="12"/>
    <col width="7.140625" customWidth="1" min="13" max="13"/>
    <col width="6.7109375" customWidth="1" min="14" max="14"/>
    <col width="7.140625" customWidth="1" min="15" max="15"/>
    <col width="24" customWidth="1" min="16" max="16"/>
  </cols>
  <sheetData>
    <row r="1">
      <c r="A1" t="inlineStr">
        <is>
          <t>Table 3: Pre- Schools,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Seperated</t>
        </is>
      </c>
      <c r="D2" t="inlineStr">
        <is>
          <t>Disadv.</t>
        </is>
      </c>
      <c r="E2" t="inlineStr">
        <is>
          <t>Number of</t>
        </is>
      </c>
      <c r="F2" t="inlineStr">
        <is>
          <t>Number of</t>
        </is>
      </c>
      <c r="G2" t="inlineStr">
        <is>
          <t>Classes</t>
        </is>
      </c>
      <c r="H2" t="inlineStr">
        <is>
          <t>Enrollment</t>
        </is>
      </c>
      <c r="J2" t="inlineStr">
        <is>
          <t>Teaching Staff</t>
        </is>
      </c>
      <c r="L2" t="inlineStr">
        <is>
          <t>Non-Teaching Staff</t>
        </is>
      </c>
      <c r="N2" t="inlineStr">
        <is>
          <t>Total  Staff</t>
        </is>
      </c>
      <c r="P2" t="inlineStr">
        <is>
          <t>Teaching Staff with out trainning</t>
        </is>
      </c>
    </row>
    <row r="3">
      <c r="B3" t="inlineStr">
        <is>
          <t>Schools</t>
        </is>
      </c>
      <c r="C3" t="inlineStr">
        <is>
          <t>Pre-Schools</t>
        </is>
      </c>
      <c r="D3" t="inlineStr">
        <is>
          <t>Schools</t>
        </is>
      </c>
      <c r="E3" t="inlineStr">
        <is>
          <t>Classes</t>
        </is>
      </c>
      <c r="F3" t="inlineStr">
        <is>
          <t>Classrooms</t>
        </is>
      </c>
      <c r="G3" t="inlineStr">
        <is>
          <t>in Pagoda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  <c r="L3" t="inlineStr">
        <is>
          <t>Total</t>
        </is>
      </c>
      <c r="M3" t="inlineStr">
        <is>
          <t>Female</t>
        </is>
      </c>
      <c r="N3" t="inlineStr">
        <is>
          <t>Total</t>
        </is>
      </c>
      <c r="O3" t="inlineStr">
        <is>
          <t>Female</t>
        </is>
      </c>
    </row>
    <row r="4">
      <c r="A4" t="inlineStr">
        <is>
          <t>Banteay Meanchey</t>
        </is>
      </c>
      <c r="B4" t="n">
        <v>328</v>
      </c>
      <c r="C4" t="n">
        <v>21</v>
      </c>
      <c r="D4" t="n">
        <v>0</v>
      </c>
      <c r="E4" t="n">
        <v>559</v>
      </c>
      <c r="F4" t="n">
        <v>539</v>
      </c>
      <c r="G4" t="n">
        <v>3</v>
      </c>
      <c r="H4" t="n">
        <v>16738</v>
      </c>
      <c r="I4" t="n">
        <v>8453</v>
      </c>
      <c r="J4" t="n">
        <v>91</v>
      </c>
      <c r="K4" t="n">
        <v>91</v>
      </c>
      <c r="L4" t="n">
        <v>22</v>
      </c>
      <c r="M4" t="n">
        <v>22</v>
      </c>
      <c r="N4" t="n">
        <v>113</v>
      </c>
      <c r="O4" t="n">
        <v>113</v>
      </c>
      <c r="P4" t="n">
        <v>4</v>
      </c>
    </row>
    <row r="5">
      <c r="A5" t="inlineStr">
        <is>
          <t>Battambang</t>
        </is>
      </c>
      <c r="B5" t="n">
        <v>389</v>
      </c>
      <c r="C5" t="n">
        <v>26</v>
      </c>
      <c r="D5" t="n">
        <v>0</v>
      </c>
      <c r="E5" t="n">
        <v>669</v>
      </c>
      <c r="F5" t="n">
        <v>611</v>
      </c>
      <c r="G5" t="n">
        <v>12</v>
      </c>
      <c r="H5" t="n">
        <v>17777</v>
      </c>
      <c r="I5" t="n">
        <v>8958</v>
      </c>
      <c r="J5" t="n">
        <v>606</v>
      </c>
      <c r="K5" t="n">
        <v>573</v>
      </c>
      <c r="L5" t="n">
        <v>30</v>
      </c>
      <c r="M5" t="n">
        <v>28</v>
      </c>
      <c r="N5" t="n">
        <v>636</v>
      </c>
      <c r="O5" t="n">
        <v>601</v>
      </c>
      <c r="P5" t="n">
        <v>23</v>
      </c>
    </row>
    <row r="6">
      <c r="A6" t="inlineStr">
        <is>
          <t>Kampong Cham</t>
        </is>
      </c>
      <c r="B6" t="n">
        <v>289</v>
      </c>
      <c r="C6" t="n">
        <v>6</v>
      </c>
      <c r="D6" t="n">
        <v>0</v>
      </c>
      <c r="E6" t="n">
        <v>538</v>
      </c>
      <c r="F6" t="n">
        <v>442</v>
      </c>
      <c r="G6" t="n">
        <v>24</v>
      </c>
      <c r="H6" t="n">
        <v>15659</v>
      </c>
      <c r="I6" t="n">
        <v>7771</v>
      </c>
      <c r="J6" t="n">
        <v>335</v>
      </c>
      <c r="K6" t="n">
        <v>320</v>
      </c>
      <c r="L6" t="n">
        <v>13</v>
      </c>
      <c r="M6" t="n">
        <v>12</v>
      </c>
      <c r="N6" t="n">
        <v>348</v>
      </c>
      <c r="O6" t="n">
        <v>332</v>
      </c>
      <c r="P6" t="n">
        <v>16</v>
      </c>
    </row>
    <row r="7">
      <c r="A7" t="inlineStr">
        <is>
          <t>Kampong Chhnang</t>
        </is>
      </c>
      <c r="B7" t="n">
        <v>115</v>
      </c>
      <c r="C7" t="n">
        <v>18</v>
      </c>
      <c r="D7" t="n">
        <v>0</v>
      </c>
      <c r="E7" t="n">
        <v>227</v>
      </c>
      <c r="F7" t="n">
        <v>221</v>
      </c>
      <c r="G7" t="n">
        <v>2</v>
      </c>
      <c r="H7" t="n">
        <v>6560</v>
      </c>
      <c r="I7" t="n">
        <v>3271</v>
      </c>
      <c r="J7" t="n">
        <v>175</v>
      </c>
      <c r="K7" t="n">
        <v>174</v>
      </c>
      <c r="L7" t="n">
        <v>17</v>
      </c>
      <c r="M7" t="n">
        <v>17</v>
      </c>
      <c r="N7" t="n">
        <v>192</v>
      </c>
      <c r="O7" t="n">
        <v>191</v>
      </c>
      <c r="P7" t="n">
        <v>3</v>
      </c>
    </row>
    <row r="8">
      <c r="A8" t="inlineStr">
        <is>
          <t>Kampong Speu</t>
        </is>
      </c>
      <c r="B8" t="n">
        <v>218</v>
      </c>
      <c r="C8" t="n">
        <v>4</v>
      </c>
      <c r="D8" t="n">
        <v>0</v>
      </c>
      <c r="E8" t="n">
        <v>346</v>
      </c>
      <c r="F8" t="n">
        <v>302</v>
      </c>
      <c r="G8" t="n">
        <v>10</v>
      </c>
      <c r="H8" t="n">
        <v>9294</v>
      </c>
      <c r="I8" t="n">
        <v>4660</v>
      </c>
      <c r="J8" t="n">
        <v>235</v>
      </c>
      <c r="K8" t="n">
        <v>221</v>
      </c>
      <c r="L8" t="n">
        <v>15</v>
      </c>
      <c r="M8" t="n">
        <v>12</v>
      </c>
      <c r="N8" t="n">
        <v>250</v>
      </c>
      <c r="O8" t="n">
        <v>233</v>
      </c>
      <c r="P8" t="n">
        <v>5</v>
      </c>
    </row>
    <row r="9">
      <c r="A9" t="inlineStr">
        <is>
          <t>Kampong Thom</t>
        </is>
      </c>
      <c r="B9" t="n">
        <v>214</v>
      </c>
      <c r="C9" t="n">
        <v>0</v>
      </c>
      <c r="D9" t="n">
        <v>0</v>
      </c>
      <c r="E9" t="n">
        <v>351</v>
      </c>
      <c r="F9" t="n">
        <v>287</v>
      </c>
      <c r="G9" t="n">
        <v>2</v>
      </c>
      <c r="H9" t="n">
        <v>9931</v>
      </c>
      <c r="I9" t="n">
        <v>5077</v>
      </c>
      <c r="J9" t="n">
        <v>274</v>
      </c>
      <c r="K9" t="n">
        <v>269</v>
      </c>
      <c r="L9" t="n">
        <v>7</v>
      </c>
      <c r="M9" t="n">
        <v>7</v>
      </c>
      <c r="N9" t="n">
        <v>281</v>
      </c>
      <c r="O9" t="n">
        <v>276</v>
      </c>
      <c r="P9" t="n">
        <v>12</v>
      </c>
    </row>
    <row r="10">
      <c r="A10" t="inlineStr">
        <is>
          <t>Kampot</t>
        </is>
      </c>
      <c r="B10" t="n">
        <v>202</v>
      </c>
      <c r="C10" t="n">
        <v>5</v>
      </c>
      <c r="D10" t="n">
        <v>0</v>
      </c>
      <c r="E10" t="n">
        <v>266</v>
      </c>
      <c r="F10" t="n">
        <v>261</v>
      </c>
      <c r="G10" t="n">
        <v>15</v>
      </c>
      <c r="H10" t="n">
        <v>7042</v>
      </c>
      <c r="I10" t="n">
        <v>3451</v>
      </c>
      <c r="J10" t="n">
        <v>266</v>
      </c>
      <c r="K10" t="n">
        <v>257</v>
      </c>
      <c r="L10" t="n">
        <v>2</v>
      </c>
      <c r="M10" t="n">
        <v>2</v>
      </c>
      <c r="N10" t="n">
        <v>268</v>
      </c>
      <c r="O10" t="n">
        <v>259</v>
      </c>
      <c r="P10" t="n">
        <v>9</v>
      </c>
    </row>
    <row r="11">
      <c r="A11" t="inlineStr">
        <is>
          <t>Kandal</t>
        </is>
      </c>
      <c r="B11" t="n">
        <v>248</v>
      </c>
      <c r="C11" t="n">
        <v>29</v>
      </c>
      <c r="D11" t="n">
        <v>0</v>
      </c>
      <c r="E11" t="n">
        <v>517</v>
      </c>
      <c r="F11" t="n">
        <v>506</v>
      </c>
      <c r="G11" t="n">
        <v>18</v>
      </c>
      <c r="H11" t="n">
        <v>15822</v>
      </c>
      <c r="I11" t="n">
        <v>7875</v>
      </c>
      <c r="J11" t="n">
        <v>507</v>
      </c>
      <c r="K11" t="n">
        <v>479</v>
      </c>
      <c r="L11" t="n">
        <v>21</v>
      </c>
      <c r="M11" t="n">
        <v>20</v>
      </c>
      <c r="N11" t="n">
        <v>528</v>
      </c>
      <c r="O11" t="n">
        <v>499</v>
      </c>
      <c r="P11" t="n">
        <v>10</v>
      </c>
    </row>
    <row r="12">
      <c r="A12" t="inlineStr">
        <is>
          <t>Kep</t>
        </is>
      </c>
      <c r="B12" t="n">
        <v>22</v>
      </c>
      <c r="C12" t="n">
        <v>0</v>
      </c>
      <c r="D12" t="n">
        <v>0</v>
      </c>
      <c r="E12" t="n">
        <v>39</v>
      </c>
      <c r="F12" t="n">
        <v>38</v>
      </c>
      <c r="G12" t="n">
        <v>3</v>
      </c>
      <c r="H12" t="n">
        <v>817</v>
      </c>
      <c r="I12" t="n">
        <v>417</v>
      </c>
      <c r="J12" t="n">
        <v>38</v>
      </c>
      <c r="K12" t="n">
        <v>37</v>
      </c>
      <c r="L12" t="n">
        <v>0</v>
      </c>
      <c r="M12" t="n">
        <v>0</v>
      </c>
      <c r="N12" t="n">
        <v>38</v>
      </c>
      <c r="O12" t="n">
        <v>37</v>
      </c>
      <c r="P12" t="n">
        <v>1</v>
      </c>
    </row>
    <row r="13">
      <c r="A13" t="inlineStr">
        <is>
          <t>Koh Kong</t>
        </is>
      </c>
      <c r="B13" t="n">
        <v>71</v>
      </c>
      <c r="C13" t="n">
        <v>0</v>
      </c>
      <c r="D13" t="n">
        <v>0</v>
      </c>
      <c r="E13" t="n">
        <v>120</v>
      </c>
      <c r="F13" t="n">
        <v>91</v>
      </c>
      <c r="G13" t="n">
        <v>2</v>
      </c>
      <c r="H13" t="n">
        <v>2070</v>
      </c>
      <c r="I13" t="n">
        <v>1068</v>
      </c>
      <c r="J13" t="n">
        <v>67</v>
      </c>
      <c r="K13" t="n">
        <v>61</v>
      </c>
      <c r="L13" t="n">
        <v>6</v>
      </c>
      <c r="M13" t="n">
        <v>2</v>
      </c>
      <c r="N13" t="n">
        <v>73</v>
      </c>
      <c r="O13" t="n">
        <v>63</v>
      </c>
      <c r="P13" t="n">
        <v>3</v>
      </c>
    </row>
    <row r="14">
      <c r="A14" t="inlineStr">
        <is>
          <t>Kratie</t>
        </is>
      </c>
      <c r="B14" t="n">
        <v>106</v>
      </c>
      <c r="C14" t="n">
        <v>9</v>
      </c>
      <c r="D14" t="n">
        <v>0</v>
      </c>
      <c r="E14" t="n">
        <v>245</v>
      </c>
      <c r="F14" t="n">
        <v>161</v>
      </c>
      <c r="G14" t="n">
        <v>10</v>
      </c>
      <c r="H14" t="n">
        <v>4507</v>
      </c>
      <c r="I14" t="n">
        <v>2316</v>
      </c>
      <c r="J14" t="n">
        <v>153</v>
      </c>
      <c r="K14" t="n">
        <v>150</v>
      </c>
      <c r="L14" t="n">
        <v>12</v>
      </c>
      <c r="M14" t="n">
        <v>12</v>
      </c>
      <c r="N14" t="n">
        <v>165</v>
      </c>
      <c r="O14" t="n">
        <v>162</v>
      </c>
      <c r="P14" t="n">
        <v>5</v>
      </c>
    </row>
    <row r="15">
      <c r="A15" t="inlineStr">
        <is>
          <t>Mondul Kiri</t>
        </is>
      </c>
      <c r="B15" t="n">
        <v>30</v>
      </c>
      <c r="C15" t="n">
        <v>4</v>
      </c>
      <c r="D15" t="n">
        <v>0</v>
      </c>
      <c r="E15" t="n">
        <v>42</v>
      </c>
      <c r="F15" t="n">
        <v>42</v>
      </c>
      <c r="G15" t="n">
        <v>0</v>
      </c>
      <c r="H15" t="n">
        <v>1182</v>
      </c>
      <c r="I15" t="n">
        <v>604</v>
      </c>
      <c r="J15" t="n">
        <v>42</v>
      </c>
      <c r="K15" t="n">
        <v>40</v>
      </c>
      <c r="L15" t="n">
        <v>0</v>
      </c>
      <c r="M15" t="n">
        <v>0</v>
      </c>
      <c r="N15" t="n">
        <v>42</v>
      </c>
      <c r="O15" t="n">
        <v>40</v>
      </c>
      <c r="P15" t="n">
        <v>0</v>
      </c>
    </row>
    <row r="16">
      <c r="A16" t="inlineStr">
        <is>
          <t>Otdar Meanchey</t>
        </is>
      </c>
      <c r="B16" t="n">
        <v>108</v>
      </c>
      <c r="C16" t="n">
        <v>0</v>
      </c>
      <c r="D16" t="n">
        <v>0</v>
      </c>
      <c r="E16" t="n">
        <v>150</v>
      </c>
      <c r="F16" t="n">
        <v>131</v>
      </c>
      <c r="G16" t="n">
        <v>1</v>
      </c>
      <c r="H16" t="n">
        <v>3486</v>
      </c>
      <c r="I16" t="n">
        <v>1816</v>
      </c>
      <c r="J16" t="n">
        <v>108</v>
      </c>
      <c r="K16" t="n">
        <v>95</v>
      </c>
      <c r="L16" t="n">
        <v>3</v>
      </c>
      <c r="M16" t="n">
        <v>0</v>
      </c>
      <c r="N16" t="n">
        <v>111</v>
      </c>
      <c r="O16" t="n">
        <v>95</v>
      </c>
      <c r="P16" t="n">
        <v>5</v>
      </c>
    </row>
    <row r="17">
      <c r="A17" t="inlineStr">
        <is>
          <t>Pailin</t>
        </is>
      </c>
      <c r="B17" t="n">
        <v>25</v>
      </c>
      <c r="C17" t="n">
        <v>2</v>
      </c>
      <c r="D17" t="n">
        <v>0</v>
      </c>
      <c r="E17" t="n">
        <v>44</v>
      </c>
      <c r="F17" t="n">
        <v>40</v>
      </c>
      <c r="G17" t="n">
        <v>0</v>
      </c>
      <c r="H17" t="n">
        <v>980</v>
      </c>
      <c r="I17" t="n">
        <v>496</v>
      </c>
      <c r="J17" t="n">
        <v>36</v>
      </c>
      <c r="K17" t="n">
        <v>36</v>
      </c>
      <c r="L17" t="n">
        <v>4</v>
      </c>
      <c r="M17" t="n">
        <v>4</v>
      </c>
      <c r="N17" t="n">
        <v>40</v>
      </c>
      <c r="O17" t="n">
        <v>40</v>
      </c>
      <c r="P17" t="n">
        <v>0</v>
      </c>
    </row>
    <row r="18">
      <c r="A18" t="inlineStr">
        <is>
          <t>Phnom Penh</t>
        </is>
      </c>
      <c r="B18" t="n">
        <v>148</v>
      </c>
      <c r="C18" t="n">
        <v>20</v>
      </c>
      <c r="D18" t="n">
        <v>0</v>
      </c>
      <c r="E18" t="n">
        <v>454</v>
      </c>
      <c r="F18" t="n">
        <v>254</v>
      </c>
      <c r="G18" t="n">
        <v>0</v>
      </c>
      <c r="H18" t="n">
        <v>9743</v>
      </c>
      <c r="I18" t="n">
        <v>4696</v>
      </c>
      <c r="J18" t="n">
        <v>292</v>
      </c>
      <c r="K18" t="n">
        <v>289</v>
      </c>
      <c r="L18" t="n">
        <v>30</v>
      </c>
      <c r="M18" t="n">
        <v>28</v>
      </c>
      <c r="N18" t="n">
        <v>322</v>
      </c>
      <c r="O18" t="n">
        <v>317</v>
      </c>
      <c r="P18" t="n">
        <v>11</v>
      </c>
    </row>
    <row r="19">
      <c r="A19" t="inlineStr">
        <is>
          <t>Preah Sihanouk</t>
        </is>
      </c>
      <c r="B19" t="n">
        <v>60</v>
      </c>
      <c r="C19" t="n">
        <v>1</v>
      </c>
      <c r="D19" t="n">
        <v>0</v>
      </c>
      <c r="E19" t="n">
        <v>87</v>
      </c>
      <c r="F19" t="n">
        <v>86</v>
      </c>
      <c r="G19" t="n">
        <v>0</v>
      </c>
      <c r="H19" t="n">
        <v>1983</v>
      </c>
      <c r="I19" t="n">
        <v>987</v>
      </c>
      <c r="J19" t="n">
        <v>89</v>
      </c>
      <c r="K19" t="n">
        <v>87</v>
      </c>
      <c r="L19" t="n">
        <v>3</v>
      </c>
      <c r="M19" t="n">
        <v>3</v>
      </c>
      <c r="N19" t="n">
        <v>92</v>
      </c>
      <c r="O19" t="n">
        <v>90</v>
      </c>
      <c r="P19" t="n">
        <v>1</v>
      </c>
    </row>
    <row r="20">
      <c r="A20" t="inlineStr">
        <is>
          <t>Preah Vihear</t>
        </is>
      </c>
      <c r="B20" t="n">
        <v>116</v>
      </c>
      <c r="C20" t="n">
        <v>7</v>
      </c>
      <c r="D20" t="n">
        <v>0</v>
      </c>
      <c r="E20" t="n">
        <v>162</v>
      </c>
      <c r="F20" t="n">
        <v>160</v>
      </c>
      <c r="G20" t="n">
        <v>0</v>
      </c>
      <c r="H20" t="n">
        <v>4169</v>
      </c>
      <c r="I20" t="n">
        <v>2092</v>
      </c>
      <c r="J20" t="n">
        <v>100</v>
      </c>
      <c r="K20" t="n">
        <v>97</v>
      </c>
      <c r="L20" t="n">
        <v>7</v>
      </c>
      <c r="M20" t="n">
        <v>7</v>
      </c>
      <c r="N20" t="n">
        <v>107</v>
      </c>
      <c r="O20" t="n">
        <v>104</v>
      </c>
      <c r="P20" t="n">
        <v>0</v>
      </c>
    </row>
    <row r="21">
      <c r="A21" t="inlineStr">
        <is>
          <t>Prey Veng</t>
        </is>
      </c>
      <c r="B21" t="n">
        <v>399</v>
      </c>
      <c r="C21" t="n">
        <v>17</v>
      </c>
      <c r="D21" t="n">
        <v>0</v>
      </c>
      <c r="E21" t="n">
        <v>612</v>
      </c>
      <c r="F21" t="n">
        <v>599</v>
      </c>
      <c r="G21" t="n">
        <v>34</v>
      </c>
      <c r="H21" t="n">
        <v>16663</v>
      </c>
      <c r="I21" t="n">
        <v>8228</v>
      </c>
      <c r="J21" t="n">
        <v>471</v>
      </c>
      <c r="K21" t="n">
        <v>437</v>
      </c>
      <c r="L21" t="n">
        <v>25</v>
      </c>
      <c r="M21" t="n">
        <v>17</v>
      </c>
      <c r="N21" t="n">
        <v>496</v>
      </c>
      <c r="O21" t="n">
        <v>454</v>
      </c>
      <c r="P21" t="n">
        <v>20</v>
      </c>
    </row>
    <row r="22">
      <c r="A22" t="inlineStr">
        <is>
          <t>Pursat</t>
        </is>
      </c>
      <c r="B22" t="n">
        <v>185</v>
      </c>
      <c r="C22" t="n">
        <v>21</v>
      </c>
      <c r="D22" t="n">
        <v>0</v>
      </c>
      <c r="E22" t="n">
        <v>297</v>
      </c>
      <c r="F22" t="n">
        <v>270</v>
      </c>
      <c r="G22" t="n">
        <v>43</v>
      </c>
      <c r="H22" t="n">
        <v>7939</v>
      </c>
      <c r="I22" t="n">
        <v>3990</v>
      </c>
      <c r="J22" t="n">
        <v>199</v>
      </c>
      <c r="K22" t="n">
        <v>188</v>
      </c>
      <c r="L22" t="n">
        <v>18</v>
      </c>
      <c r="M22" t="n">
        <v>17</v>
      </c>
      <c r="N22" t="n">
        <v>217</v>
      </c>
      <c r="O22" t="n">
        <v>205</v>
      </c>
      <c r="P22" t="n">
        <v>4</v>
      </c>
    </row>
    <row r="23">
      <c r="A23" t="inlineStr">
        <is>
          <t>Ratanak Kiri</t>
        </is>
      </c>
      <c r="B23" t="n">
        <v>68</v>
      </c>
      <c r="C23" t="n">
        <v>1</v>
      </c>
      <c r="D23" t="n">
        <v>0</v>
      </c>
      <c r="E23" t="n">
        <v>197</v>
      </c>
      <c r="F23" t="n">
        <v>96</v>
      </c>
      <c r="G23" t="n">
        <v>0</v>
      </c>
      <c r="H23" t="n">
        <v>2617</v>
      </c>
      <c r="I23" t="n">
        <v>1364</v>
      </c>
      <c r="J23" t="n">
        <v>84</v>
      </c>
      <c r="K23" t="n">
        <v>77</v>
      </c>
      <c r="L23" t="n">
        <v>3</v>
      </c>
      <c r="M23" t="n">
        <v>2</v>
      </c>
      <c r="N23" t="n">
        <v>87</v>
      </c>
      <c r="O23" t="n">
        <v>79</v>
      </c>
      <c r="P23" t="n">
        <v>3</v>
      </c>
    </row>
    <row r="24">
      <c r="A24" t="inlineStr">
        <is>
          <t>Siemreap</t>
        </is>
      </c>
      <c r="B24" t="n">
        <v>463</v>
      </c>
      <c r="C24" t="n">
        <v>27</v>
      </c>
      <c r="D24" t="n">
        <v>0</v>
      </c>
      <c r="E24" t="n">
        <v>1225</v>
      </c>
      <c r="F24" t="n">
        <v>824</v>
      </c>
      <c r="G24" t="n">
        <v>19</v>
      </c>
      <c r="H24" t="n">
        <v>28489</v>
      </c>
      <c r="I24" t="n">
        <v>14344</v>
      </c>
      <c r="J24" t="n">
        <v>485</v>
      </c>
      <c r="K24" t="n">
        <v>474</v>
      </c>
      <c r="L24" t="n">
        <v>31</v>
      </c>
      <c r="M24" t="n">
        <v>28</v>
      </c>
      <c r="N24" t="n">
        <v>516</v>
      </c>
      <c r="O24" t="n">
        <v>502</v>
      </c>
      <c r="P24" t="n">
        <v>25</v>
      </c>
    </row>
    <row r="25">
      <c r="A25" t="inlineStr">
        <is>
          <t>Stung Treng</t>
        </is>
      </c>
      <c r="B25" t="n">
        <v>46</v>
      </c>
      <c r="C25" t="n">
        <v>1</v>
      </c>
      <c r="D25" t="n">
        <v>0</v>
      </c>
      <c r="E25" t="n">
        <v>66</v>
      </c>
      <c r="F25" t="n">
        <v>57</v>
      </c>
      <c r="G25" t="n">
        <v>1</v>
      </c>
      <c r="H25" t="n">
        <v>1388</v>
      </c>
      <c r="I25" t="n">
        <v>754</v>
      </c>
      <c r="J25" t="n">
        <v>53</v>
      </c>
      <c r="K25" t="n">
        <v>52</v>
      </c>
      <c r="L25" t="n">
        <v>1</v>
      </c>
      <c r="M25" t="n">
        <v>1</v>
      </c>
      <c r="N25" t="n">
        <v>54</v>
      </c>
      <c r="O25" t="n">
        <v>53</v>
      </c>
      <c r="P25" t="n">
        <v>1</v>
      </c>
    </row>
    <row r="26">
      <c r="A26" t="inlineStr">
        <is>
          <t>Svay Rieng</t>
        </is>
      </c>
      <c r="B26" t="n">
        <v>175</v>
      </c>
      <c r="C26" t="n">
        <v>6</v>
      </c>
      <c r="D26" t="n">
        <v>0</v>
      </c>
      <c r="E26" t="n">
        <v>299</v>
      </c>
      <c r="F26" t="n">
        <v>258</v>
      </c>
      <c r="G26" t="n">
        <v>0</v>
      </c>
      <c r="H26" t="n">
        <v>6874</v>
      </c>
      <c r="I26" t="n">
        <v>3354</v>
      </c>
      <c r="J26" t="n">
        <v>241</v>
      </c>
      <c r="K26" t="n">
        <v>206</v>
      </c>
      <c r="L26" t="n">
        <v>31</v>
      </c>
      <c r="M26" t="n">
        <v>16</v>
      </c>
      <c r="N26" t="n">
        <v>272</v>
      </c>
      <c r="O26" t="n">
        <v>222</v>
      </c>
      <c r="P26" t="n">
        <v>12</v>
      </c>
    </row>
    <row r="27">
      <c r="A27" t="inlineStr">
        <is>
          <t>Takeo</t>
        </is>
      </c>
      <c r="B27" t="n">
        <v>301</v>
      </c>
      <c r="C27" t="n">
        <v>4</v>
      </c>
      <c r="D27" t="n">
        <v>0</v>
      </c>
      <c r="E27" t="n">
        <v>460</v>
      </c>
      <c r="F27" t="n">
        <v>455</v>
      </c>
      <c r="G27" t="n">
        <v>22</v>
      </c>
      <c r="H27" t="n">
        <v>12424</v>
      </c>
      <c r="I27" t="n">
        <v>6103</v>
      </c>
      <c r="J27" t="n">
        <v>425</v>
      </c>
      <c r="K27" t="n">
        <v>395</v>
      </c>
      <c r="L27" t="n">
        <v>7</v>
      </c>
      <c r="M27" t="n">
        <v>3</v>
      </c>
      <c r="N27" t="n">
        <v>432</v>
      </c>
      <c r="O27" t="n">
        <v>398</v>
      </c>
      <c r="P27" t="n">
        <v>16</v>
      </c>
    </row>
    <row r="28">
      <c r="A28" t="inlineStr">
        <is>
          <t>Tbaung Khmum</t>
        </is>
      </c>
      <c r="B28" t="n">
        <v>237</v>
      </c>
      <c r="C28" t="n">
        <v>4</v>
      </c>
      <c r="D28" t="n">
        <v>0</v>
      </c>
      <c r="E28" t="n">
        <v>510</v>
      </c>
      <c r="F28" t="n">
        <v>392</v>
      </c>
      <c r="G28" t="n">
        <v>8</v>
      </c>
      <c r="H28" t="n">
        <v>13633</v>
      </c>
      <c r="I28" t="n">
        <v>6860</v>
      </c>
      <c r="J28" t="n">
        <v>249</v>
      </c>
      <c r="K28" t="n">
        <v>232</v>
      </c>
      <c r="L28" t="n">
        <v>5</v>
      </c>
      <c r="M28" t="n">
        <v>4</v>
      </c>
      <c r="N28" t="n">
        <v>254</v>
      </c>
      <c r="O28" t="n">
        <v>236</v>
      </c>
      <c r="P28" t="n">
        <v>27</v>
      </c>
    </row>
    <row r="29">
      <c r="A29" t="inlineStr">
        <is>
          <t>Whole Kingdom</t>
        </is>
      </c>
      <c r="B29" t="n">
        <v>4563</v>
      </c>
      <c r="C29" t="n">
        <v>233</v>
      </c>
      <c r="D29" t="n">
        <v>0</v>
      </c>
      <c r="E29" t="n">
        <v>8482</v>
      </c>
      <c r="F29" t="n">
        <v>7123</v>
      </c>
      <c r="G29" t="n">
        <v>229</v>
      </c>
      <c r="H29" t="n">
        <v>217787</v>
      </c>
      <c r="I29" t="n">
        <v>109005</v>
      </c>
      <c r="J29" t="n">
        <v>5621</v>
      </c>
      <c r="K29" t="n">
        <v>5337</v>
      </c>
      <c r="L29" t="n">
        <v>313</v>
      </c>
      <c r="M29" t="n">
        <v>264</v>
      </c>
      <c r="N29" t="n">
        <v>5934</v>
      </c>
      <c r="O29" t="n">
        <v>5601</v>
      </c>
      <c r="P29" t="n">
        <v>216</v>
      </c>
    </row>
    <row r="30">
      <c r="A30" t="inlineStr">
        <is>
          <t>-  Urban Area</t>
        </is>
      </c>
      <c r="B30" t="n">
        <v>536</v>
      </c>
      <c r="C30" t="n">
        <v>63</v>
      </c>
      <c r="D30" t="n">
        <v>0</v>
      </c>
      <c r="E30" t="n">
        <v>1581</v>
      </c>
      <c r="F30" t="n">
        <v>1035</v>
      </c>
      <c r="G30" t="n">
        <v>8</v>
      </c>
      <c r="H30" t="n">
        <v>36865</v>
      </c>
      <c r="I30" t="n">
        <v>18425</v>
      </c>
      <c r="J30" t="n">
        <v>1021</v>
      </c>
      <c r="K30" t="n">
        <v>1011</v>
      </c>
      <c r="L30" t="n">
        <v>110</v>
      </c>
      <c r="M30" t="n">
        <v>105</v>
      </c>
      <c r="N30" t="n">
        <v>1131</v>
      </c>
      <c r="O30" t="n">
        <v>1116</v>
      </c>
      <c r="P30" t="n">
        <v>23</v>
      </c>
    </row>
    <row r="31">
      <c r="A31" t="inlineStr">
        <is>
          <t>-  Rural Area</t>
        </is>
      </c>
      <c r="B31" t="n">
        <v>4027</v>
      </c>
      <c r="C31" t="n">
        <v>170</v>
      </c>
      <c r="D31" t="n">
        <v>0</v>
      </c>
      <c r="E31" t="n">
        <v>6901</v>
      </c>
      <c r="F31" t="n">
        <v>6088</v>
      </c>
      <c r="G31" t="n">
        <v>221</v>
      </c>
      <c r="H31" t="n">
        <v>180922</v>
      </c>
      <c r="I31" t="n">
        <v>90580</v>
      </c>
      <c r="J31" t="n">
        <v>4600</v>
      </c>
      <c r="K31" t="n">
        <v>4326</v>
      </c>
      <c r="L31" t="n">
        <v>203</v>
      </c>
      <c r="M31" t="n">
        <v>159</v>
      </c>
      <c r="N31" t="n">
        <v>4803</v>
      </c>
      <c r="O31" t="n">
        <v>4485</v>
      </c>
      <c r="P31" t="n">
        <v>193</v>
      </c>
    </row>
  </sheetData>
  <mergeCells count="7">
    <mergeCell ref="L2:M2"/>
    <mergeCell ref="H2:I2"/>
    <mergeCell ref="J2:K2"/>
    <mergeCell ref="N2:O2"/>
    <mergeCell ref="A2:A3"/>
    <mergeCell ref="P2:P3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42578125" customWidth="1" min="2" max="2"/>
    <col width="7.5703125" customWidth="1" min="3" max="3"/>
    <col width="8.42578125" customWidth="1" min="4" max="4"/>
    <col width="9" customWidth="1" min="5" max="5"/>
    <col width="7.85546875" customWidth="1" min="6" max="6"/>
    <col width="10.140625" customWidth="1" min="7" max="7"/>
    <col width="8.7109375" customWidth="1" min="8" max="8"/>
    <col width="7.7109375" customWidth="1" min="10" max="10"/>
    <col width="7.140625" customWidth="1" min="14" max="14"/>
    <col width="7.7109375" customWidth="1" min="15" max="15"/>
  </cols>
  <sheetData>
    <row r="1">
      <c r="A1" t="inlineStr">
        <is>
          <t>Table 4: Primary Schools,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Disadv.</t>
        </is>
      </c>
      <c r="D2" t="inlineStr">
        <is>
          <t>Number of</t>
        </is>
      </c>
      <c r="E2" t="inlineStr">
        <is>
          <t>Number of</t>
        </is>
      </c>
      <c r="F2" t="inlineStr">
        <is>
          <t>Classes</t>
        </is>
      </c>
      <c r="G2" t="inlineStr">
        <is>
          <t>Enrollment</t>
        </is>
      </c>
      <c r="I2" t="inlineStr">
        <is>
          <t>Repeaters</t>
        </is>
      </c>
      <c r="K2" t="inlineStr">
        <is>
          <t>Teaching Staff</t>
        </is>
      </c>
      <c r="M2" t="inlineStr">
        <is>
          <t>Non-Teaching Staff</t>
        </is>
      </c>
      <c r="O2" t="inlineStr">
        <is>
          <t>Total  Staff</t>
        </is>
      </c>
    </row>
    <row r="3">
      <c r="B3" t="inlineStr">
        <is>
          <t>Schools</t>
        </is>
      </c>
      <c r="C3" t="inlineStr">
        <is>
          <t>Schools</t>
        </is>
      </c>
      <c r="D3" t="inlineStr">
        <is>
          <t>Classes</t>
        </is>
      </c>
      <c r="E3" t="inlineStr">
        <is>
          <t>Classrooms</t>
        </is>
      </c>
      <c r="F3" t="inlineStr">
        <is>
          <t>in Pagoda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Female</t>
        </is>
      </c>
      <c r="M3" t="inlineStr">
        <is>
          <t>Total</t>
        </is>
      </c>
      <c r="N3" t="inlineStr">
        <is>
          <t>Female</t>
        </is>
      </c>
      <c r="O3" t="inlineStr">
        <is>
          <t>Total</t>
        </is>
      </c>
      <c r="P3" t="inlineStr">
        <is>
          <t>Female</t>
        </is>
      </c>
    </row>
    <row r="4">
      <c r="A4" t="inlineStr">
        <is>
          <t>Banteay Meanchey</t>
        </is>
      </c>
      <c r="B4" t="n">
        <v>410</v>
      </c>
      <c r="C4" t="n">
        <v>0</v>
      </c>
      <c r="D4" t="n">
        <v>3293</v>
      </c>
      <c r="E4" t="n">
        <v>2427</v>
      </c>
      <c r="F4" t="n">
        <v>21</v>
      </c>
      <c r="G4" t="n">
        <v>99947</v>
      </c>
      <c r="H4" t="n">
        <v>48195</v>
      </c>
      <c r="I4" t="n">
        <v>5030</v>
      </c>
      <c r="J4" t="n">
        <v>1819</v>
      </c>
      <c r="K4" t="n">
        <v>2815</v>
      </c>
      <c r="L4" t="n">
        <v>1646</v>
      </c>
      <c r="M4" t="n">
        <v>584</v>
      </c>
      <c r="N4" t="n">
        <v>123</v>
      </c>
      <c r="O4" t="n">
        <v>3399</v>
      </c>
      <c r="P4" t="n">
        <v>1769</v>
      </c>
    </row>
    <row r="5">
      <c r="A5" t="inlineStr">
        <is>
          <t>Battambang</t>
        </is>
      </c>
      <c r="B5" t="n">
        <v>654</v>
      </c>
      <c r="C5" t="n">
        <v>0</v>
      </c>
      <c r="D5" t="n">
        <v>5586</v>
      </c>
      <c r="E5" t="n">
        <v>3686</v>
      </c>
      <c r="F5" t="n">
        <v>47</v>
      </c>
      <c r="G5" t="n">
        <v>164335</v>
      </c>
      <c r="H5" t="n">
        <v>78804</v>
      </c>
      <c r="I5" t="n">
        <v>12352</v>
      </c>
      <c r="J5" t="n">
        <v>4686</v>
      </c>
      <c r="K5" t="n">
        <v>3723</v>
      </c>
      <c r="L5" t="n">
        <v>2413</v>
      </c>
      <c r="M5" t="n">
        <v>1214</v>
      </c>
      <c r="N5" t="n">
        <v>470</v>
      </c>
      <c r="O5" t="n">
        <v>4937</v>
      </c>
      <c r="P5" t="n">
        <v>2883</v>
      </c>
    </row>
    <row r="6">
      <c r="A6" t="inlineStr">
        <is>
          <t>Kampong Cham</t>
        </is>
      </c>
      <c r="B6" t="n">
        <v>407</v>
      </c>
      <c r="C6" t="n">
        <v>0</v>
      </c>
      <c r="D6" t="n">
        <v>4001</v>
      </c>
      <c r="E6" t="n">
        <v>2945</v>
      </c>
      <c r="F6" t="n">
        <v>103</v>
      </c>
      <c r="G6" t="n">
        <v>138517</v>
      </c>
      <c r="H6" t="n">
        <v>72390</v>
      </c>
      <c r="I6" t="n">
        <v>13706</v>
      </c>
      <c r="J6" t="n">
        <v>5010</v>
      </c>
      <c r="K6" t="n">
        <v>2545</v>
      </c>
      <c r="L6" t="n">
        <v>1675</v>
      </c>
      <c r="M6" t="n">
        <v>1090</v>
      </c>
      <c r="N6" t="n">
        <v>449</v>
      </c>
      <c r="O6" t="n">
        <v>3635</v>
      </c>
      <c r="P6" t="n">
        <v>2124</v>
      </c>
    </row>
    <row r="7">
      <c r="A7" t="inlineStr">
        <is>
          <t>Kampong Chhnang</t>
        </is>
      </c>
      <c r="B7" t="n">
        <v>279</v>
      </c>
      <c r="C7" t="n">
        <v>0</v>
      </c>
      <c r="D7" t="n">
        <v>2253</v>
      </c>
      <c r="E7" t="n">
        <v>1542</v>
      </c>
      <c r="F7" t="n">
        <v>18</v>
      </c>
      <c r="G7" t="n">
        <v>73750</v>
      </c>
      <c r="H7" t="n">
        <v>36879</v>
      </c>
      <c r="I7" t="n">
        <v>6162</v>
      </c>
      <c r="J7" t="n">
        <v>2066</v>
      </c>
      <c r="K7" t="n">
        <v>1776</v>
      </c>
      <c r="L7" t="n">
        <v>916</v>
      </c>
      <c r="M7" t="n">
        <v>432</v>
      </c>
      <c r="N7" t="n">
        <v>117</v>
      </c>
      <c r="O7" t="n">
        <v>2208</v>
      </c>
      <c r="P7" t="n">
        <v>1033</v>
      </c>
    </row>
    <row r="8">
      <c r="A8" t="inlineStr">
        <is>
          <t>Kampong Speu</t>
        </is>
      </c>
      <c r="B8" t="n">
        <v>316</v>
      </c>
      <c r="C8" t="n">
        <v>0</v>
      </c>
      <c r="D8" t="n">
        <v>2832</v>
      </c>
      <c r="E8" t="n">
        <v>2204</v>
      </c>
      <c r="F8" t="n">
        <v>16</v>
      </c>
      <c r="G8" t="n">
        <v>106477</v>
      </c>
      <c r="H8" t="n">
        <v>51144</v>
      </c>
      <c r="I8" t="n">
        <v>6260</v>
      </c>
      <c r="J8" t="n">
        <v>2505</v>
      </c>
      <c r="K8" t="n">
        <v>2124</v>
      </c>
      <c r="L8" t="n">
        <v>1032</v>
      </c>
      <c r="M8" t="n">
        <v>548</v>
      </c>
      <c r="N8" t="n">
        <v>118</v>
      </c>
      <c r="O8" t="n">
        <v>2672</v>
      </c>
      <c r="P8" t="n">
        <v>1150</v>
      </c>
    </row>
    <row r="9">
      <c r="A9" t="inlineStr">
        <is>
          <t>Kampong Thom</t>
        </is>
      </c>
      <c r="B9" t="n">
        <v>494</v>
      </c>
      <c r="C9" t="n">
        <v>0</v>
      </c>
      <c r="D9" t="n">
        <v>3442</v>
      </c>
      <c r="E9" t="n">
        <v>2511</v>
      </c>
      <c r="F9" t="n">
        <v>59</v>
      </c>
      <c r="G9" t="n">
        <v>101294</v>
      </c>
      <c r="H9" t="n">
        <v>53157</v>
      </c>
      <c r="I9" t="n">
        <v>7860</v>
      </c>
      <c r="J9" t="n">
        <v>2953</v>
      </c>
      <c r="K9" t="n">
        <v>2425</v>
      </c>
      <c r="L9" t="n">
        <v>1427</v>
      </c>
      <c r="M9" t="n">
        <v>478</v>
      </c>
      <c r="N9" t="n">
        <v>140</v>
      </c>
      <c r="O9" t="n">
        <v>2903</v>
      </c>
      <c r="P9" t="n">
        <v>1567</v>
      </c>
    </row>
    <row r="10">
      <c r="A10" t="inlineStr">
        <is>
          <t>Kampot</t>
        </is>
      </c>
      <c r="B10" t="n">
        <v>310</v>
      </c>
      <c r="C10" t="n">
        <v>0</v>
      </c>
      <c r="D10" t="n">
        <v>2391</v>
      </c>
      <c r="E10" t="n">
        <v>1939</v>
      </c>
      <c r="F10" t="n">
        <v>52</v>
      </c>
      <c r="G10" t="n">
        <v>75516</v>
      </c>
      <c r="H10" t="n">
        <v>35799</v>
      </c>
      <c r="I10" t="n">
        <v>4020</v>
      </c>
      <c r="J10" t="n">
        <v>1408</v>
      </c>
      <c r="K10" t="n">
        <v>2232</v>
      </c>
      <c r="L10" t="n">
        <v>1187</v>
      </c>
      <c r="M10" t="n">
        <v>529</v>
      </c>
      <c r="N10" t="n">
        <v>107</v>
      </c>
      <c r="O10" t="n">
        <v>2761</v>
      </c>
      <c r="P10" t="n">
        <v>1294</v>
      </c>
    </row>
    <row r="11">
      <c r="A11" t="inlineStr">
        <is>
          <t>Kandal</t>
        </is>
      </c>
      <c r="B11" t="n">
        <v>373</v>
      </c>
      <c r="C11" t="n">
        <v>0</v>
      </c>
      <c r="D11" t="n">
        <v>4323</v>
      </c>
      <c r="E11" t="n">
        <v>3285</v>
      </c>
      <c r="F11" t="n">
        <v>97</v>
      </c>
      <c r="G11" t="n">
        <v>161700</v>
      </c>
      <c r="H11" t="n">
        <v>76703</v>
      </c>
      <c r="I11" t="n">
        <v>18810</v>
      </c>
      <c r="J11" t="n">
        <v>6977</v>
      </c>
      <c r="K11" t="n">
        <v>2425</v>
      </c>
      <c r="L11" t="n">
        <v>1584</v>
      </c>
      <c r="M11" t="n">
        <v>816</v>
      </c>
      <c r="N11" t="n">
        <v>226</v>
      </c>
      <c r="O11" t="n">
        <v>3241</v>
      </c>
      <c r="P11" t="n">
        <v>1810</v>
      </c>
    </row>
    <row r="12">
      <c r="A12" t="inlineStr">
        <is>
          <t>Kep</t>
        </is>
      </c>
      <c r="B12" t="n">
        <v>22</v>
      </c>
      <c r="C12" t="n">
        <v>0</v>
      </c>
      <c r="D12" t="n">
        <v>183</v>
      </c>
      <c r="E12" t="n">
        <v>146</v>
      </c>
      <c r="F12" t="n">
        <v>6</v>
      </c>
      <c r="G12" t="n">
        <v>5481</v>
      </c>
      <c r="H12" t="n">
        <v>2621</v>
      </c>
      <c r="I12" t="n">
        <v>305</v>
      </c>
      <c r="J12" t="n">
        <v>99</v>
      </c>
      <c r="K12" t="n">
        <v>199</v>
      </c>
      <c r="L12" t="n">
        <v>117</v>
      </c>
      <c r="M12" t="n">
        <v>62</v>
      </c>
      <c r="N12" t="n">
        <v>10</v>
      </c>
      <c r="O12" t="n">
        <v>261</v>
      </c>
      <c r="P12" t="n">
        <v>127</v>
      </c>
    </row>
    <row r="13">
      <c r="A13" t="inlineStr">
        <is>
          <t>Koh Kong</t>
        </is>
      </c>
      <c r="B13" t="n">
        <v>121</v>
      </c>
      <c r="C13" t="n">
        <v>0</v>
      </c>
      <c r="D13" t="n">
        <v>825</v>
      </c>
      <c r="E13" t="n">
        <v>553</v>
      </c>
      <c r="F13" t="n">
        <v>0</v>
      </c>
      <c r="G13" t="n">
        <v>17205</v>
      </c>
      <c r="H13" t="n">
        <v>8245</v>
      </c>
      <c r="I13" t="n">
        <v>887</v>
      </c>
      <c r="J13" t="n">
        <v>341</v>
      </c>
      <c r="K13" t="n">
        <v>667</v>
      </c>
      <c r="L13" t="n">
        <v>350</v>
      </c>
      <c r="M13" t="n">
        <v>112</v>
      </c>
      <c r="N13" t="n">
        <v>31</v>
      </c>
      <c r="O13" t="n">
        <v>779</v>
      </c>
      <c r="P13" t="n">
        <v>381</v>
      </c>
    </row>
    <row r="14">
      <c r="A14" t="inlineStr">
        <is>
          <t>Kratie</t>
        </is>
      </c>
      <c r="B14" t="n">
        <v>285</v>
      </c>
      <c r="C14" t="n">
        <v>0</v>
      </c>
      <c r="D14" t="n">
        <v>2271</v>
      </c>
      <c r="E14" t="n">
        <v>1465</v>
      </c>
      <c r="F14" t="n">
        <v>58</v>
      </c>
      <c r="G14" t="n">
        <v>64004</v>
      </c>
      <c r="H14" t="n">
        <v>33208</v>
      </c>
      <c r="I14" t="n">
        <v>6377</v>
      </c>
      <c r="J14" t="n">
        <v>2532</v>
      </c>
      <c r="K14" t="n">
        <v>1545</v>
      </c>
      <c r="L14" t="n">
        <v>1048</v>
      </c>
      <c r="M14" t="n">
        <v>257</v>
      </c>
      <c r="N14" t="n">
        <v>93</v>
      </c>
      <c r="O14" t="n">
        <v>1802</v>
      </c>
      <c r="P14" t="n">
        <v>1141</v>
      </c>
    </row>
    <row r="15">
      <c r="A15" t="inlineStr">
        <is>
          <t>Mondul Kiri</t>
        </is>
      </c>
      <c r="B15" t="n">
        <v>88</v>
      </c>
      <c r="C15" t="n">
        <v>0</v>
      </c>
      <c r="D15" t="n">
        <v>685</v>
      </c>
      <c r="E15" t="n">
        <v>487</v>
      </c>
      <c r="F15" t="n">
        <v>2</v>
      </c>
      <c r="G15" t="n">
        <v>15225</v>
      </c>
      <c r="H15" t="n">
        <v>7859</v>
      </c>
      <c r="I15" t="n">
        <v>1061</v>
      </c>
      <c r="J15" t="n">
        <v>409</v>
      </c>
      <c r="K15" t="n">
        <v>631</v>
      </c>
      <c r="L15" t="n">
        <v>336</v>
      </c>
      <c r="M15" t="n">
        <v>45</v>
      </c>
      <c r="N15" t="n">
        <v>9</v>
      </c>
      <c r="O15" t="n">
        <v>676</v>
      </c>
      <c r="P15" t="n">
        <v>345</v>
      </c>
    </row>
    <row r="16">
      <c r="A16" t="inlineStr">
        <is>
          <t>Otdar Meanchey</t>
        </is>
      </c>
      <c r="B16" t="n">
        <v>219</v>
      </c>
      <c r="C16" t="n">
        <v>0</v>
      </c>
      <c r="D16" t="n">
        <v>1575</v>
      </c>
      <c r="E16" t="n">
        <v>1082</v>
      </c>
      <c r="F16" t="n">
        <v>0</v>
      </c>
      <c r="G16" t="n">
        <v>38042</v>
      </c>
      <c r="H16" t="n">
        <v>18080</v>
      </c>
      <c r="I16" t="n">
        <v>3242</v>
      </c>
      <c r="J16" t="n">
        <v>1204</v>
      </c>
      <c r="K16" t="n">
        <v>987</v>
      </c>
      <c r="L16" t="n">
        <v>476</v>
      </c>
      <c r="M16" t="n">
        <v>270</v>
      </c>
      <c r="N16" t="n">
        <v>72</v>
      </c>
      <c r="O16" t="n">
        <v>1257</v>
      </c>
      <c r="P16" t="n">
        <v>548</v>
      </c>
    </row>
    <row r="17">
      <c r="A17" t="inlineStr">
        <is>
          <t>Pailin</t>
        </is>
      </c>
      <c r="B17" t="n">
        <v>48</v>
      </c>
      <c r="C17" t="n">
        <v>0</v>
      </c>
      <c r="D17" t="n">
        <v>364</v>
      </c>
      <c r="E17" t="n">
        <v>259</v>
      </c>
      <c r="F17" t="n">
        <v>0</v>
      </c>
      <c r="G17" t="n">
        <v>9881</v>
      </c>
      <c r="H17" t="n">
        <v>4828</v>
      </c>
      <c r="I17" t="n">
        <v>832</v>
      </c>
      <c r="J17" t="n">
        <v>332</v>
      </c>
      <c r="K17" t="n">
        <v>299</v>
      </c>
      <c r="L17" t="n">
        <v>171</v>
      </c>
      <c r="M17" t="n">
        <v>46</v>
      </c>
      <c r="N17" t="n">
        <v>18</v>
      </c>
      <c r="O17" t="n">
        <v>345</v>
      </c>
      <c r="P17" t="n">
        <v>189</v>
      </c>
    </row>
    <row r="18">
      <c r="A18" t="inlineStr">
        <is>
          <t>Phnom Penh</t>
        </is>
      </c>
      <c r="B18" t="n">
        <v>164</v>
      </c>
      <c r="C18" t="n">
        <v>0</v>
      </c>
      <c r="D18" t="n">
        <v>3134</v>
      </c>
      <c r="E18" t="n">
        <v>2260</v>
      </c>
      <c r="F18" t="n">
        <v>103</v>
      </c>
      <c r="G18" t="n">
        <v>135555</v>
      </c>
      <c r="H18" t="n">
        <v>64312</v>
      </c>
      <c r="I18" t="n">
        <v>7694</v>
      </c>
      <c r="J18" t="n">
        <v>2954</v>
      </c>
      <c r="K18" t="n">
        <v>3207</v>
      </c>
      <c r="L18" t="n">
        <v>2410</v>
      </c>
      <c r="M18" t="n">
        <v>542</v>
      </c>
      <c r="N18" t="n">
        <v>235</v>
      </c>
      <c r="O18" t="n">
        <v>3749</v>
      </c>
      <c r="P18" t="n">
        <v>2645</v>
      </c>
    </row>
    <row r="19">
      <c r="A19" t="inlineStr">
        <is>
          <t>Preah Sihanouk</t>
        </is>
      </c>
      <c r="B19" t="n">
        <v>72</v>
      </c>
      <c r="C19" t="n">
        <v>0</v>
      </c>
      <c r="D19" t="n">
        <v>822</v>
      </c>
      <c r="E19" t="n">
        <v>664</v>
      </c>
      <c r="F19" t="n">
        <v>0</v>
      </c>
      <c r="G19" t="n">
        <v>28240</v>
      </c>
      <c r="H19" t="n">
        <v>13526</v>
      </c>
      <c r="I19" t="n">
        <v>2419</v>
      </c>
      <c r="J19" t="n">
        <v>939</v>
      </c>
      <c r="K19" t="n">
        <v>828</v>
      </c>
      <c r="L19" t="n">
        <v>488</v>
      </c>
      <c r="M19" t="n">
        <v>169</v>
      </c>
      <c r="N19" t="n">
        <v>57</v>
      </c>
      <c r="O19" t="n">
        <v>997</v>
      </c>
      <c r="P19" t="n">
        <v>545</v>
      </c>
    </row>
    <row r="20">
      <c r="A20" t="inlineStr">
        <is>
          <t>Preah Vihear</t>
        </is>
      </c>
      <c r="B20" t="n">
        <v>229</v>
      </c>
      <c r="C20" t="n">
        <v>0</v>
      </c>
      <c r="D20" t="n">
        <v>1620</v>
      </c>
      <c r="E20" t="n">
        <v>1214</v>
      </c>
      <c r="F20" t="n">
        <v>5</v>
      </c>
      <c r="G20" t="n">
        <v>37905</v>
      </c>
      <c r="H20" t="n">
        <v>18742</v>
      </c>
      <c r="I20" t="n">
        <v>4233</v>
      </c>
      <c r="J20" t="n">
        <v>1704</v>
      </c>
      <c r="K20" t="n">
        <v>1269</v>
      </c>
      <c r="L20" t="n">
        <v>705</v>
      </c>
      <c r="M20" t="n">
        <v>268</v>
      </c>
      <c r="N20" t="n">
        <v>77</v>
      </c>
      <c r="O20" t="n">
        <v>1537</v>
      </c>
      <c r="P20" t="n">
        <v>782</v>
      </c>
    </row>
    <row r="21">
      <c r="A21" t="inlineStr">
        <is>
          <t>Prey Veng</t>
        </is>
      </c>
      <c r="B21" t="n">
        <v>547</v>
      </c>
      <c r="C21" t="n">
        <v>0</v>
      </c>
      <c r="D21" t="n">
        <v>4575</v>
      </c>
      <c r="E21" t="n">
        <v>3550</v>
      </c>
      <c r="F21" t="n">
        <v>75</v>
      </c>
      <c r="G21" t="n">
        <v>148731</v>
      </c>
      <c r="H21" t="n">
        <v>69420</v>
      </c>
      <c r="I21" t="n">
        <v>11899</v>
      </c>
      <c r="J21" t="n">
        <v>4254</v>
      </c>
      <c r="K21" t="n">
        <v>2774</v>
      </c>
      <c r="L21" t="n">
        <v>1418</v>
      </c>
      <c r="M21" t="n">
        <v>1289</v>
      </c>
      <c r="N21" t="n">
        <v>353</v>
      </c>
      <c r="O21" t="n">
        <v>4063</v>
      </c>
      <c r="P21" t="n">
        <v>1771</v>
      </c>
    </row>
    <row r="22">
      <c r="A22" t="inlineStr">
        <is>
          <t>Pursat</t>
        </is>
      </c>
      <c r="B22" t="n">
        <v>306</v>
      </c>
      <c r="C22" t="n">
        <v>0</v>
      </c>
      <c r="D22" t="n">
        <v>2347</v>
      </c>
      <c r="E22" t="n">
        <v>1644</v>
      </c>
      <c r="F22" t="n">
        <v>7</v>
      </c>
      <c r="G22" t="n">
        <v>72088</v>
      </c>
      <c r="H22" t="n">
        <v>38016</v>
      </c>
      <c r="I22" t="n">
        <v>6613</v>
      </c>
      <c r="J22" t="n">
        <v>2571</v>
      </c>
      <c r="K22" t="n">
        <v>1483</v>
      </c>
      <c r="L22" t="n">
        <v>832</v>
      </c>
      <c r="M22" t="n">
        <v>467</v>
      </c>
      <c r="N22" t="n">
        <v>135</v>
      </c>
      <c r="O22" t="n">
        <v>1950</v>
      </c>
      <c r="P22" t="n">
        <v>967</v>
      </c>
    </row>
    <row r="23">
      <c r="A23" t="inlineStr">
        <is>
          <t>Ratanak Kiri</t>
        </is>
      </c>
      <c r="B23" t="n">
        <v>226</v>
      </c>
      <c r="C23" t="n">
        <v>0</v>
      </c>
      <c r="D23" t="n">
        <v>1471</v>
      </c>
      <c r="E23" t="n">
        <v>933</v>
      </c>
      <c r="F23" t="n">
        <v>14</v>
      </c>
      <c r="G23" t="n">
        <v>39659</v>
      </c>
      <c r="H23" t="n">
        <v>19524</v>
      </c>
      <c r="I23" t="n">
        <v>2194</v>
      </c>
      <c r="J23" t="n">
        <v>899</v>
      </c>
      <c r="K23" t="n">
        <v>858</v>
      </c>
      <c r="L23" t="n">
        <v>420</v>
      </c>
      <c r="M23" t="n">
        <v>91</v>
      </c>
      <c r="N23" t="n">
        <v>23</v>
      </c>
      <c r="O23" t="n">
        <v>949</v>
      </c>
      <c r="P23" t="n">
        <v>443</v>
      </c>
    </row>
    <row r="24">
      <c r="A24" t="inlineStr">
        <is>
          <t>Siemreap</t>
        </is>
      </c>
      <c r="B24" t="n">
        <v>522</v>
      </c>
      <c r="C24" t="n">
        <v>0</v>
      </c>
      <c r="D24" t="n">
        <v>4699</v>
      </c>
      <c r="E24" t="n">
        <v>3259</v>
      </c>
      <c r="F24" t="n">
        <v>50</v>
      </c>
      <c r="G24" t="n">
        <v>165022</v>
      </c>
      <c r="H24" t="n">
        <v>81617</v>
      </c>
      <c r="I24" t="n">
        <v>15994</v>
      </c>
      <c r="J24" t="n">
        <v>5706</v>
      </c>
      <c r="K24" t="n">
        <v>2999</v>
      </c>
      <c r="L24" t="n">
        <v>2117</v>
      </c>
      <c r="M24" t="n">
        <v>1249</v>
      </c>
      <c r="N24" t="n">
        <v>539</v>
      </c>
      <c r="O24" t="n">
        <v>4248</v>
      </c>
      <c r="P24" t="n">
        <v>2656</v>
      </c>
    </row>
    <row r="25">
      <c r="A25" t="inlineStr">
        <is>
          <t>Stung Treng</t>
        </is>
      </c>
      <c r="B25" t="n">
        <v>174</v>
      </c>
      <c r="C25" t="n">
        <v>0</v>
      </c>
      <c r="D25" t="n">
        <v>1481</v>
      </c>
      <c r="E25" t="n">
        <v>795</v>
      </c>
      <c r="F25" t="n">
        <v>1</v>
      </c>
      <c r="G25" t="n">
        <v>27881</v>
      </c>
      <c r="H25" t="n">
        <v>14039</v>
      </c>
      <c r="I25" t="n">
        <v>3523</v>
      </c>
      <c r="J25" t="n">
        <v>1515</v>
      </c>
      <c r="K25" t="n">
        <v>835</v>
      </c>
      <c r="L25" t="n">
        <v>527</v>
      </c>
      <c r="M25" t="n">
        <v>126</v>
      </c>
      <c r="N25" t="n">
        <v>34</v>
      </c>
      <c r="O25" t="n">
        <v>961</v>
      </c>
      <c r="P25" t="n">
        <v>561</v>
      </c>
    </row>
    <row r="26">
      <c r="A26" t="inlineStr">
        <is>
          <t>Svay Rieng</t>
        </is>
      </c>
      <c r="B26" t="n">
        <v>262</v>
      </c>
      <c r="C26" t="n">
        <v>0</v>
      </c>
      <c r="D26" t="n">
        <v>2273</v>
      </c>
      <c r="E26" t="n">
        <v>1860</v>
      </c>
      <c r="F26" t="n">
        <v>13</v>
      </c>
      <c r="G26" t="n">
        <v>75442</v>
      </c>
      <c r="H26" t="n">
        <v>35928</v>
      </c>
      <c r="I26" t="n">
        <v>4372</v>
      </c>
      <c r="J26" t="n">
        <v>1517</v>
      </c>
      <c r="K26" t="n">
        <v>1619</v>
      </c>
      <c r="L26" t="n">
        <v>712</v>
      </c>
      <c r="M26" t="n">
        <v>570</v>
      </c>
      <c r="N26" t="n">
        <v>122</v>
      </c>
      <c r="O26" t="n">
        <v>2189</v>
      </c>
      <c r="P26" t="n">
        <v>834</v>
      </c>
    </row>
    <row r="27">
      <c r="A27" t="inlineStr">
        <is>
          <t>Takeo</t>
        </is>
      </c>
      <c r="B27" t="n">
        <v>382</v>
      </c>
      <c r="C27" t="n">
        <v>0</v>
      </c>
      <c r="D27" t="n">
        <v>3519</v>
      </c>
      <c r="E27" t="n">
        <v>3103</v>
      </c>
      <c r="F27" t="n">
        <v>115</v>
      </c>
      <c r="G27" t="n">
        <v>113902</v>
      </c>
      <c r="H27" t="n">
        <v>54239</v>
      </c>
      <c r="I27" t="n">
        <v>8891</v>
      </c>
      <c r="J27" t="n">
        <v>3110</v>
      </c>
      <c r="K27" t="n">
        <v>2777</v>
      </c>
      <c r="L27" t="n">
        <v>1276</v>
      </c>
      <c r="M27" t="n">
        <v>1002</v>
      </c>
      <c r="N27" t="n">
        <v>223</v>
      </c>
      <c r="O27" t="n">
        <v>3779</v>
      </c>
      <c r="P27" t="n">
        <v>1499</v>
      </c>
    </row>
    <row r="28">
      <c r="A28" t="inlineStr">
        <is>
          <t>Tbaung Khmum</t>
        </is>
      </c>
      <c r="B28" t="n">
        <v>406</v>
      </c>
      <c r="C28" t="n">
        <v>0</v>
      </c>
      <c r="D28" t="n">
        <v>3298</v>
      </c>
      <c r="E28" t="n">
        <v>2379</v>
      </c>
      <c r="F28" t="n">
        <v>43</v>
      </c>
      <c r="G28" t="n">
        <v>109468</v>
      </c>
      <c r="H28" t="n">
        <v>52681</v>
      </c>
      <c r="I28" t="n">
        <v>9464</v>
      </c>
      <c r="J28" t="n">
        <v>3585</v>
      </c>
      <c r="K28" t="n">
        <v>2106</v>
      </c>
      <c r="L28" t="n">
        <v>1307</v>
      </c>
      <c r="M28" t="n">
        <v>636</v>
      </c>
      <c r="N28" t="n">
        <v>202</v>
      </c>
      <c r="O28" t="n">
        <v>2742</v>
      </c>
      <c r="P28" t="n">
        <v>1509</v>
      </c>
    </row>
    <row r="29">
      <c r="A29" t="inlineStr">
        <is>
          <t>Whole Kingdom</t>
        </is>
      </c>
      <c r="B29" t="n">
        <v>7306</v>
      </c>
      <c r="C29" t="n">
        <v>0</v>
      </c>
      <c r="D29" t="n">
        <v>63263</v>
      </c>
      <c r="E29" t="n">
        <v>46192</v>
      </c>
      <c r="F29" t="n">
        <v>905</v>
      </c>
      <c r="G29" t="n">
        <v>2036566</v>
      </c>
      <c r="H29" t="n">
        <v>998416</v>
      </c>
      <c r="I29" t="n">
        <v>164200</v>
      </c>
      <c r="J29" t="n">
        <v>61095</v>
      </c>
      <c r="K29" t="n">
        <v>45148</v>
      </c>
      <c r="L29" t="n">
        <v>26590</v>
      </c>
      <c r="M29" t="n">
        <v>12892</v>
      </c>
      <c r="N29" t="n">
        <v>3983</v>
      </c>
      <c r="O29" t="n">
        <v>58040</v>
      </c>
      <c r="P29" t="n">
        <v>30573</v>
      </c>
    </row>
    <row r="30">
      <c r="A30" t="inlineStr">
        <is>
          <t>-  Urban Area</t>
        </is>
      </c>
      <c r="B30" t="n">
        <v>684</v>
      </c>
      <c r="C30" t="n">
        <v>0</v>
      </c>
      <c r="D30" t="n">
        <v>9109</v>
      </c>
      <c r="E30" t="n">
        <v>6769</v>
      </c>
      <c r="F30" t="n">
        <v>165</v>
      </c>
      <c r="G30" t="n">
        <v>347794</v>
      </c>
      <c r="H30" t="n">
        <v>167879</v>
      </c>
      <c r="I30" t="n">
        <v>26303</v>
      </c>
      <c r="J30" t="n">
        <v>10108</v>
      </c>
      <c r="K30" t="n">
        <v>8850</v>
      </c>
      <c r="L30" t="n">
        <v>6295</v>
      </c>
      <c r="M30" t="n">
        <v>1907</v>
      </c>
      <c r="N30" t="n">
        <v>796</v>
      </c>
      <c r="O30" t="n">
        <v>10757</v>
      </c>
      <c r="P30" t="n">
        <v>7091</v>
      </c>
    </row>
    <row r="31">
      <c r="A31" t="inlineStr">
        <is>
          <t>-  Rural Area</t>
        </is>
      </c>
      <c r="B31" t="n">
        <v>6622</v>
      </c>
      <c r="C31" t="n">
        <v>0</v>
      </c>
      <c r="D31" t="n">
        <v>54154</v>
      </c>
      <c r="E31" t="n">
        <v>39423</v>
      </c>
      <c r="F31" t="n">
        <v>740</v>
      </c>
      <c r="G31" t="n">
        <v>1688772</v>
      </c>
      <c r="H31" t="n">
        <v>830537</v>
      </c>
      <c r="I31" t="n">
        <v>137897</v>
      </c>
      <c r="J31" t="n">
        <v>50987</v>
      </c>
      <c r="K31" t="n">
        <v>36298</v>
      </c>
      <c r="L31" t="n">
        <v>20295</v>
      </c>
      <c r="M31" t="n">
        <v>10985</v>
      </c>
      <c r="N31" t="n">
        <v>3187</v>
      </c>
      <c r="O31" t="n">
        <v>47283</v>
      </c>
      <c r="P31" t="n">
        <v>23482</v>
      </c>
    </row>
  </sheetData>
  <mergeCells count="7">
    <mergeCell ref="O2:P2"/>
    <mergeCell ref="M2:N2"/>
    <mergeCell ref="G2:H2"/>
    <mergeCell ref="K2:L2"/>
    <mergeCell ref="I2:J2"/>
    <mergeCell ref="A2:A3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42578125" customWidth="1" min="2" max="2"/>
    <col width="7.5703125" customWidth="1" min="3" max="3"/>
    <col width="8.42578125" customWidth="1" min="4" max="4"/>
    <col width="9" customWidth="1" min="5" max="5"/>
    <col width="7.5703125" customWidth="1" min="6" max="6"/>
    <col width="10.140625" customWidth="1" min="7" max="7"/>
    <col width="8.7109375" customWidth="1" min="8" max="8"/>
    <col width="7.7109375" customWidth="1" min="9" max="9"/>
    <col width="6.7109375" customWidth="1" min="10" max="10"/>
    <col width="7.7109375" customWidth="1" min="11" max="11"/>
    <col width="7.28515625" customWidth="1" min="13" max="13"/>
    <col width="7.140625" customWidth="1" min="14" max="14"/>
    <col width="7.7109375" customWidth="1" min="15" max="15"/>
  </cols>
  <sheetData>
    <row r="1">
      <c r="A1" t="inlineStr">
        <is>
          <t>Table 8: Secondary Schools, Classes, Students and Staff by Province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Disadv.</t>
        </is>
      </c>
      <c r="D2" t="inlineStr">
        <is>
          <t>Number of</t>
        </is>
      </c>
      <c r="E2" t="inlineStr">
        <is>
          <t>Number of</t>
        </is>
      </c>
      <c r="F2" t="inlineStr">
        <is>
          <t>Classes</t>
        </is>
      </c>
      <c r="G2" t="inlineStr">
        <is>
          <t>Enrollment</t>
        </is>
      </c>
      <c r="I2" t="inlineStr">
        <is>
          <t>Repeaters</t>
        </is>
      </c>
      <c r="K2" t="inlineStr">
        <is>
          <t>Teaching Staff</t>
        </is>
      </c>
      <c r="M2" t="inlineStr">
        <is>
          <t>Non-Teaching Staff</t>
        </is>
      </c>
      <c r="O2" t="inlineStr">
        <is>
          <t>Total  Staff</t>
        </is>
      </c>
    </row>
    <row r="3">
      <c r="B3" t="inlineStr">
        <is>
          <t>Schools</t>
        </is>
      </c>
      <c r="C3" t="inlineStr">
        <is>
          <t>Schools</t>
        </is>
      </c>
      <c r="D3" t="inlineStr">
        <is>
          <t>Classes</t>
        </is>
      </c>
      <c r="E3" t="inlineStr">
        <is>
          <t>Classrooms</t>
        </is>
      </c>
      <c r="F3" t="inlineStr">
        <is>
          <t>in Pagoda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Female</t>
        </is>
      </c>
      <c r="M3" t="inlineStr">
        <is>
          <t>Total</t>
        </is>
      </c>
      <c r="N3" t="inlineStr">
        <is>
          <t>Female</t>
        </is>
      </c>
      <c r="O3" t="inlineStr">
        <is>
          <t>Total</t>
        </is>
      </c>
      <c r="P3" t="inlineStr">
        <is>
          <t>Female</t>
        </is>
      </c>
    </row>
    <row r="4">
      <c r="A4" t="inlineStr">
        <is>
          <t>Banteay Meanchey</t>
        </is>
      </c>
      <c r="B4" t="n">
        <v>84</v>
      </c>
      <c r="C4" t="n">
        <v>0</v>
      </c>
      <c r="D4" t="n">
        <v>1030</v>
      </c>
      <c r="E4" t="n">
        <v>1010</v>
      </c>
      <c r="F4" t="n">
        <v>-1</v>
      </c>
      <c r="G4" t="n">
        <v>47474</v>
      </c>
      <c r="H4" t="n">
        <v>25848</v>
      </c>
      <c r="I4" t="n">
        <v>361</v>
      </c>
      <c r="J4" t="n">
        <v>142</v>
      </c>
      <c r="K4" t="n">
        <v>1860</v>
      </c>
      <c r="L4" t="n">
        <v>766</v>
      </c>
      <c r="M4" t="n">
        <v>332</v>
      </c>
      <c r="N4" t="n">
        <v>98</v>
      </c>
      <c r="O4" t="n">
        <v>2192</v>
      </c>
      <c r="P4" t="n">
        <v>864</v>
      </c>
    </row>
    <row r="5">
      <c r="A5" t="inlineStr">
        <is>
          <t>Battambang</t>
        </is>
      </c>
      <c r="B5" t="n">
        <v>127</v>
      </c>
      <c r="C5" t="n">
        <v>0</v>
      </c>
      <c r="D5" t="n">
        <v>1572</v>
      </c>
      <c r="E5" t="n">
        <v>1480</v>
      </c>
      <c r="F5" t="n">
        <v>4</v>
      </c>
      <c r="G5" t="n">
        <v>75004</v>
      </c>
      <c r="H5" t="n">
        <v>40550</v>
      </c>
      <c r="I5" t="n">
        <v>871</v>
      </c>
      <c r="J5" t="n">
        <v>390</v>
      </c>
      <c r="K5" t="n">
        <v>2770</v>
      </c>
      <c r="L5" t="n">
        <v>1304</v>
      </c>
      <c r="M5" t="n">
        <v>514</v>
      </c>
      <c r="N5" t="n">
        <v>172</v>
      </c>
      <c r="O5" t="n">
        <v>3284</v>
      </c>
      <c r="P5" t="n">
        <v>1476</v>
      </c>
    </row>
    <row r="6">
      <c r="A6" t="inlineStr">
        <is>
          <t>Kampong Cham</t>
        </is>
      </c>
      <c r="B6" t="n">
        <v>124</v>
      </c>
      <c r="C6" t="n">
        <v>0</v>
      </c>
      <c r="D6" t="n">
        <v>1577</v>
      </c>
      <c r="E6" t="n">
        <v>1459</v>
      </c>
      <c r="F6" t="n">
        <v>19</v>
      </c>
      <c r="G6" t="n">
        <v>69185</v>
      </c>
      <c r="H6" t="n">
        <v>38052</v>
      </c>
      <c r="I6" t="n">
        <v>843</v>
      </c>
      <c r="J6" t="n">
        <v>397</v>
      </c>
      <c r="K6" t="n">
        <v>2960</v>
      </c>
      <c r="L6" t="n">
        <v>1416</v>
      </c>
      <c r="M6" t="n">
        <v>676</v>
      </c>
      <c r="N6" t="n">
        <v>261</v>
      </c>
      <c r="O6" t="n">
        <v>3636</v>
      </c>
      <c r="P6" t="n">
        <v>1677</v>
      </c>
    </row>
    <row r="7">
      <c r="A7" t="inlineStr">
        <is>
          <t>Kampong Chhnang</t>
        </is>
      </c>
      <c r="B7" t="n">
        <v>78</v>
      </c>
      <c r="C7" t="n">
        <v>0</v>
      </c>
      <c r="D7" t="n">
        <v>827</v>
      </c>
      <c r="E7" t="n">
        <v>791</v>
      </c>
      <c r="F7" t="n">
        <v>3</v>
      </c>
      <c r="G7" t="n">
        <v>38073</v>
      </c>
      <c r="H7" t="n">
        <v>20940</v>
      </c>
      <c r="I7" t="n">
        <v>318</v>
      </c>
      <c r="J7" t="n">
        <v>144</v>
      </c>
      <c r="K7" t="n">
        <v>1635</v>
      </c>
      <c r="L7" t="n">
        <v>686</v>
      </c>
      <c r="M7" t="n">
        <v>291</v>
      </c>
      <c r="N7" t="n">
        <v>79</v>
      </c>
      <c r="O7" t="n">
        <v>1926</v>
      </c>
      <c r="P7" t="n">
        <v>765</v>
      </c>
    </row>
    <row r="8">
      <c r="A8" t="inlineStr">
        <is>
          <t>Kampong Speu</t>
        </is>
      </c>
      <c r="B8" t="n">
        <v>97</v>
      </c>
      <c r="C8" t="n">
        <v>0</v>
      </c>
      <c r="D8" t="n">
        <v>1004</v>
      </c>
      <c r="E8" t="n">
        <v>903</v>
      </c>
      <c r="F8" t="n">
        <v>11</v>
      </c>
      <c r="G8" t="n">
        <v>49713</v>
      </c>
      <c r="H8" t="n">
        <v>26005</v>
      </c>
      <c r="I8" t="n">
        <v>364</v>
      </c>
      <c r="J8" t="n">
        <v>115</v>
      </c>
      <c r="K8" t="n">
        <v>1949</v>
      </c>
      <c r="L8" t="n">
        <v>717</v>
      </c>
      <c r="M8" t="n">
        <v>308</v>
      </c>
      <c r="N8" t="n">
        <v>47</v>
      </c>
      <c r="O8" t="n">
        <v>2257</v>
      </c>
      <c r="P8" t="n">
        <v>764</v>
      </c>
    </row>
    <row r="9">
      <c r="A9" t="inlineStr">
        <is>
          <t>Kampong Thom</t>
        </is>
      </c>
      <c r="B9" t="n">
        <v>92</v>
      </c>
      <c r="C9" t="n">
        <v>0</v>
      </c>
      <c r="D9" t="n">
        <v>1127</v>
      </c>
      <c r="E9" t="n">
        <v>1059</v>
      </c>
      <c r="F9" t="n">
        <v>8</v>
      </c>
      <c r="G9" t="n">
        <v>47470</v>
      </c>
      <c r="H9" t="n">
        <v>26006</v>
      </c>
      <c r="I9" t="n">
        <v>364</v>
      </c>
      <c r="J9" t="n">
        <v>115</v>
      </c>
      <c r="K9" t="n">
        <v>1764</v>
      </c>
      <c r="L9" t="n">
        <v>830</v>
      </c>
      <c r="M9" t="n">
        <v>343</v>
      </c>
      <c r="N9" t="n">
        <v>71</v>
      </c>
      <c r="O9" t="n">
        <v>2107</v>
      </c>
      <c r="P9" t="n">
        <v>901</v>
      </c>
    </row>
    <row r="10">
      <c r="A10" t="inlineStr">
        <is>
          <t>Kampot</t>
        </is>
      </c>
      <c r="B10" t="n">
        <v>100</v>
      </c>
      <c r="C10" t="n">
        <v>0</v>
      </c>
      <c r="D10" t="n">
        <v>2053</v>
      </c>
      <c r="E10" t="n">
        <v>1016</v>
      </c>
      <c r="F10" t="n">
        <v>12</v>
      </c>
      <c r="G10" t="n">
        <v>42898</v>
      </c>
      <c r="H10" t="n">
        <v>22516</v>
      </c>
      <c r="I10" t="n">
        <v>593</v>
      </c>
      <c r="J10" t="n">
        <v>218</v>
      </c>
      <c r="K10" t="n">
        <v>2242</v>
      </c>
      <c r="L10" t="n">
        <v>930</v>
      </c>
      <c r="M10" t="n">
        <v>467</v>
      </c>
      <c r="N10" t="n">
        <v>117</v>
      </c>
      <c r="O10" t="n">
        <v>2709</v>
      </c>
      <c r="P10" t="n">
        <v>1047</v>
      </c>
    </row>
    <row r="11">
      <c r="A11" t="inlineStr">
        <is>
          <t>Kandal</t>
        </is>
      </c>
      <c r="B11" t="n">
        <v>140</v>
      </c>
      <c r="C11" t="n">
        <v>0</v>
      </c>
      <c r="D11" t="n">
        <v>1970</v>
      </c>
      <c r="E11" t="n">
        <v>1799</v>
      </c>
      <c r="F11" t="n">
        <v>60</v>
      </c>
      <c r="G11" t="n">
        <v>86264</v>
      </c>
      <c r="H11" t="n">
        <v>45778</v>
      </c>
      <c r="I11" t="n">
        <v>851</v>
      </c>
      <c r="J11" t="n">
        <v>309</v>
      </c>
      <c r="K11" t="n">
        <v>4367</v>
      </c>
      <c r="L11" t="n">
        <v>2051</v>
      </c>
      <c r="M11" t="n">
        <v>679</v>
      </c>
      <c r="N11" t="n">
        <v>156</v>
      </c>
      <c r="O11" t="n">
        <v>5046</v>
      </c>
      <c r="P11" t="n">
        <v>2207</v>
      </c>
    </row>
    <row r="12">
      <c r="A12" t="inlineStr">
        <is>
          <t>Kep</t>
        </is>
      </c>
      <c r="B12" t="n">
        <v>6</v>
      </c>
      <c r="C12" t="n">
        <v>0</v>
      </c>
      <c r="D12" t="n">
        <v>78</v>
      </c>
      <c r="E12" t="n">
        <v>78</v>
      </c>
      <c r="F12" t="n">
        <v>0</v>
      </c>
      <c r="G12" t="n">
        <v>2716</v>
      </c>
      <c r="H12" t="n">
        <v>1439</v>
      </c>
      <c r="I12" t="n">
        <v>45</v>
      </c>
      <c r="J12" t="n">
        <v>12</v>
      </c>
      <c r="K12" t="n">
        <v>239</v>
      </c>
      <c r="L12" t="n">
        <v>104</v>
      </c>
      <c r="M12" t="n">
        <v>35</v>
      </c>
      <c r="N12" t="n">
        <v>9</v>
      </c>
      <c r="O12" t="n">
        <v>274</v>
      </c>
      <c r="P12" t="n">
        <v>113</v>
      </c>
    </row>
    <row r="13">
      <c r="A13" t="inlineStr">
        <is>
          <t>Koh Kong</t>
        </is>
      </c>
      <c r="B13" t="n">
        <v>31</v>
      </c>
      <c r="C13" t="n">
        <v>0</v>
      </c>
      <c r="D13" t="n">
        <v>259</v>
      </c>
      <c r="E13" t="n">
        <v>225</v>
      </c>
      <c r="F13" t="n">
        <v>0</v>
      </c>
      <c r="G13" t="n">
        <v>8838</v>
      </c>
      <c r="H13" t="n">
        <v>4555</v>
      </c>
      <c r="I13" t="n">
        <v>108</v>
      </c>
      <c r="J13" t="n">
        <v>35</v>
      </c>
      <c r="K13" t="n">
        <v>465</v>
      </c>
      <c r="L13" t="n">
        <v>167</v>
      </c>
      <c r="M13" t="n">
        <v>68</v>
      </c>
      <c r="N13" t="n">
        <v>20</v>
      </c>
      <c r="O13" t="n">
        <v>533</v>
      </c>
      <c r="P13" t="n">
        <v>187</v>
      </c>
    </row>
    <row r="14">
      <c r="A14" t="inlineStr">
        <is>
          <t>Kratie</t>
        </is>
      </c>
      <c r="B14" t="n">
        <v>55</v>
      </c>
      <c r="C14" t="n">
        <v>0</v>
      </c>
      <c r="D14" t="n">
        <v>477</v>
      </c>
      <c r="E14" t="n">
        <v>465</v>
      </c>
      <c r="F14" t="n">
        <v>3</v>
      </c>
      <c r="G14" t="n">
        <v>21036</v>
      </c>
      <c r="H14" t="n">
        <v>11493</v>
      </c>
      <c r="I14" t="n">
        <v>203</v>
      </c>
      <c r="J14" t="n">
        <v>59</v>
      </c>
      <c r="K14" t="n">
        <v>998</v>
      </c>
      <c r="L14" t="n">
        <v>508</v>
      </c>
      <c r="M14" t="n">
        <v>135</v>
      </c>
      <c r="N14" t="n">
        <v>39</v>
      </c>
      <c r="O14" t="n">
        <v>1133</v>
      </c>
      <c r="P14" t="n">
        <v>547</v>
      </c>
    </row>
    <row r="15">
      <c r="A15" t="inlineStr">
        <is>
          <t>Mondul Kiri</t>
        </is>
      </c>
      <c r="B15" t="n">
        <v>14</v>
      </c>
      <c r="C15" t="n">
        <v>0</v>
      </c>
      <c r="D15" t="n">
        <v>135</v>
      </c>
      <c r="E15" t="n">
        <v>124</v>
      </c>
      <c r="F15" t="n">
        <v>0</v>
      </c>
      <c r="G15" t="n">
        <v>5638</v>
      </c>
      <c r="H15" t="n">
        <v>3002</v>
      </c>
      <c r="I15" t="n">
        <v>100</v>
      </c>
      <c r="J15" t="n">
        <v>30</v>
      </c>
      <c r="K15" t="n">
        <v>264</v>
      </c>
      <c r="L15" t="n">
        <v>108</v>
      </c>
      <c r="M15" t="n">
        <v>23</v>
      </c>
      <c r="N15" t="n">
        <v>3</v>
      </c>
      <c r="O15" t="n">
        <v>287</v>
      </c>
      <c r="P15" t="n">
        <v>111</v>
      </c>
    </row>
    <row r="16">
      <c r="A16" t="inlineStr">
        <is>
          <t>Otdar Meanchey</t>
        </is>
      </c>
      <c r="B16" t="n">
        <v>39</v>
      </c>
      <c r="C16" t="n">
        <v>0</v>
      </c>
      <c r="D16" t="n">
        <v>365</v>
      </c>
      <c r="E16" t="n">
        <v>348</v>
      </c>
      <c r="F16" t="n">
        <v>0</v>
      </c>
      <c r="G16" t="n">
        <v>16090</v>
      </c>
      <c r="H16" t="n">
        <v>8583</v>
      </c>
      <c r="I16" t="n">
        <v>305</v>
      </c>
      <c r="J16" t="n">
        <v>114</v>
      </c>
      <c r="K16" t="n">
        <v>546</v>
      </c>
      <c r="L16" t="n">
        <v>196</v>
      </c>
      <c r="M16" t="n">
        <v>76</v>
      </c>
      <c r="N16" t="n">
        <v>15</v>
      </c>
      <c r="O16" t="n">
        <v>622</v>
      </c>
      <c r="P16" t="n">
        <v>211</v>
      </c>
    </row>
    <row r="17">
      <c r="A17" t="inlineStr">
        <is>
          <t>Pailin</t>
        </is>
      </c>
      <c r="B17" t="n">
        <v>9</v>
      </c>
      <c r="C17" t="n">
        <v>0</v>
      </c>
      <c r="D17" t="n">
        <v>132</v>
      </c>
      <c r="E17" t="n">
        <v>127</v>
      </c>
      <c r="F17" t="n">
        <v>0</v>
      </c>
      <c r="G17" t="n">
        <v>5422</v>
      </c>
      <c r="H17" t="n">
        <v>2954</v>
      </c>
      <c r="I17" t="n">
        <v>115</v>
      </c>
      <c r="J17" t="n">
        <v>43</v>
      </c>
      <c r="K17" t="n">
        <v>334</v>
      </c>
      <c r="L17" t="n">
        <v>148</v>
      </c>
      <c r="M17" t="n">
        <v>45</v>
      </c>
      <c r="N17" t="n">
        <v>8</v>
      </c>
      <c r="O17" t="n">
        <v>379</v>
      </c>
      <c r="P17" t="n">
        <v>156</v>
      </c>
    </row>
    <row r="18">
      <c r="A18" t="inlineStr">
        <is>
          <t>Phnom Penh</t>
        </is>
      </c>
      <c r="B18" t="n">
        <v>68</v>
      </c>
      <c r="C18" t="n">
        <v>0</v>
      </c>
      <c r="D18" t="n">
        <v>2119</v>
      </c>
      <c r="E18" t="n">
        <v>1537</v>
      </c>
      <c r="F18" t="n">
        <v>12</v>
      </c>
      <c r="G18" t="n">
        <v>100058</v>
      </c>
      <c r="H18" t="n">
        <v>50094</v>
      </c>
      <c r="I18" t="n">
        <v>1776</v>
      </c>
      <c r="J18" t="n">
        <v>745</v>
      </c>
      <c r="K18" t="n">
        <v>5743</v>
      </c>
      <c r="L18" t="n">
        <v>2633</v>
      </c>
      <c r="M18" t="n">
        <v>598</v>
      </c>
      <c r="N18" t="n">
        <v>190</v>
      </c>
      <c r="O18" t="n">
        <v>6341</v>
      </c>
      <c r="P18" t="n">
        <v>2823</v>
      </c>
    </row>
    <row r="19">
      <c r="A19" t="inlineStr">
        <is>
          <t>Preah Sihanouk</t>
        </is>
      </c>
      <c r="B19" t="n">
        <v>27</v>
      </c>
      <c r="C19" t="n">
        <v>0</v>
      </c>
      <c r="D19" t="n">
        <v>343</v>
      </c>
      <c r="E19" t="n">
        <v>337</v>
      </c>
      <c r="F19" t="n">
        <v>0</v>
      </c>
      <c r="G19" t="n">
        <v>14039</v>
      </c>
      <c r="H19" t="n">
        <v>7245</v>
      </c>
      <c r="I19" t="n">
        <v>173</v>
      </c>
      <c r="J19" t="n">
        <v>59</v>
      </c>
      <c r="K19" t="n">
        <v>741</v>
      </c>
      <c r="L19" t="n">
        <v>281</v>
      </c>
      <c r="M19" t="n">
        <v>100</v>
      </c>
      <c r="N19" t="n">
        <v>21</v>
      </c>
      <c r="O19" t="n">
        <v>841</v>
      </c>
      <c r="P19" t="n">
        <v>302</v>
      </c>
    </row>
    <row r="20">
      <c r="A20" t="inlineStr">
        <is>
          <t>Preah Vihear</t>
        </is>
      </c>
      <c r="B20" t="n">
        <v>66</v>
      </c>
      <c r="C20" t="n">
        <v>0</v>
      </c>
      <c r="D20" t="n">
        <v>446</v>
      </c>
      <c r="E20" t="n">
        <v>446</v>
      </c>
      <c r="F20" t="n">
        <v>0</v>
      </c>
      <c r="G20" t="n">
        <v>16375</v>
      </c>
      <c r="H20" t="n">
        <v>9004</v>
      </c>
      <c r="I20" t="n">
        <v>78</v>
      </c>
      <c r="J20" t="n">
        <v>33</v>
      </c>
      <c r="K20" t="n">
        <v>809</v>
      </c>
      <c r="L20" t="n">
        <v>337</v>
      </c>
      <c r="M20" t="n">
        <v>75</v>
      </c>
      <c r="N20" t="n">
        <v>25</v>
      </c>
      <c r="O20" t="n">
        <v>884</v>
      </c>
      <c r="P20" t="n">
        <v>362</v>
      </c>
    </row>
    <row r="21">
      <c r="A21" t="inlineStr">
        <is>
          <t>Prey Veng</t>
        </is>
      </c>
      <c r="B21" t="n">
        <v>125</v>
      </c>
      <c r="C21" t="n">
        <v>0</v>
      </c>
      <c r="D21" t="n">
        <v>1697</v>
      </c>
      <c r="E21" t="n">
        <v>1589</v>
      </c>
      <c r="F21" t="n">
        <v>54</v>
      </c>
      <c r="G21" t="n">
        <v>76537</v>
      </c>
      <c r="H21" t="n">
        <v>40474</v>
      </c>
      <c r="I21" t="n">
        <v>433</v>
      </c>
      <c r="J21" t="n">
        <v>185</v>
      </c>
      <c r="K21" t="n">
        <v>2615</v>
      </c>
      <c r="L21" t="n">
        <v>971</v>
      </c>
      <c r="M21" t="n">
        <v>612</v>
      </c>
      <c r="N21" t="n">
        <v>134</v>
      </c>
      <c r="O21" t="n">
        <v>3227</v>
      </c>
      <c r="P21" t="n">
        <v>1105</v>
      </c>
    </row>
    <row r="22">
      <c r="A22" t="inlineStr">
        <is>
          <t>Pursat</t>
        </is>
      </c>
      <c r="B22" t="n">
        <v>60</v>
      </c>
      <c r="C22" t="n">
        <v>0</v>
      </c>
      <c r="D22" t="n">
        <v>711</v>
      </c>
      <c r="E22" t="n">
        <v>669</v>
      </c>
      <c r="F22" t="n">
        <v>0</v>
      </c>
      <c r="G22" t="n">
        <v>31360</v>
      </c>
      <c r="H22" t="n">
        <v>16984</v>
      </c>
      <c r="I22" t="n">
        <v>174</v>
      </c>
      <c r="J22" t="n">
        <v>75</v>
      </c>
      <c r="K22" t="n">
        <v>1458</v>
      </c>
      <c r="L22" t="n">
        <v>565</v>
      </c>
      <c r="M22" t="n">
        <v>250</v>
      </c>
      <c r="N22" t="n">
        <v>53</v>
      </c>
      <c r="O22" t="n">
        <v>1708</v>
      </c>
      <c r="P22" t="n">
        <v>618</v>
      </c>
    </row>
    <row r="23">
      <c r="A23" t="inlineStr">
        <is>
          <t>Ratanak Kiri</t>
        </is>
      </c>
      <c r="B23" t="n">
        <v>34</v>
      </c>
      <c r="C23" t="n">
        <v>0</v>
      </c>
      <c r="D23" t="n">
        <v>299</v>
      </c>
      <c r="E23" t="n">
        <v>273</v>
      </c>
      <c r="F23" t="n">
        <v>0</v>
      </c>
      <c r="G23" t="n">
        <v>14070</v>
      </c>
      <c r="H23" t="n">
        <v>7222</v>
      </c>
      <c r="I23" t="n">
        <v>100</v>
      </c>
      <c r="J23" t="n">
        <v>35</v>
      </c>
      <c r="K23" t="n">
        <v>488</v>
      </c>
      <c r="L23" t="n">
        <v>202</v>
      </c>
      <c r="M23" t="n">
        <v>48</v>
      </c>
      <c r="N23" t="n">
        <v>18</v>
      </c>
      <c r="O23" t="n">
        <v>536</v>
      </c>
      <c r="P23" t="n">
        <v>220</v>
      </c>
    </row>
    <row r="24">
      <c r="A24" t="inlineStr">
        <is>
          <t>Siemreap</t>
        </is>
      </c>
      <c r="B24" t="n">
        <v>124</v>
      </c>
      <c r="C24" t="n">
        <v>0</v>
      </c>
      <c r="D24" t="n">
        <v>1701</v>
      </c>
      <c r="E24" t="n">
        <v>1528</v>
      </c>
      <c r="F24" t="n">
        <v>22</v>
      </c>
      <c r="G24" t="n">
        <v>85233</v>
      </c>
      <c r="H24" t="n">
        <v>47487</v>
      </c>
      <c r="I24" t="n">
        <v>1576</v>
      </c>
      <c r="J24" t="n">
        <v>581</v>
      </c>
      <c r="K24" t="n">
        <v>2459</v>
      </c>
      <c r="L24" t="n">
        <v>1168</v>
      </c>
      <c r="M24" t="n">
        <v>478</v>
      </c>
      <c r="N24" t="n">
        <v>167</v>
      </c>
      <c r="O24" t="n">
        <v>2937</v>
      </c>
      <c r="P24" t="n">
        <v>1335</v>
      </c>
    </row>
    <row r="25">
      <c r="A25" t="inlineStr">
        <is>
          <t>Stung Treng</t>
        </is>
      </c>
      <c r="B25" t="n">
        <v>39</v>
      </c>
      <c r="C25" t="n">
        <v>0</v>
      </c>
      <c r="D25" t="n">
        <v>235</v>
      </c>
      <c r="E25" t="n">
        <v>225</v>
      </c>
      <c r="F25" t="n">
        <v>0</v>
      </c>
      <c r="G25" t="n">
        <v>8763</v>
      </c>
      <c r="H25" t="n">
        <v>4715</v>
      </c>
      <c r="I25" t="n">
        <v>53</v>
      </c>
      <c r="J25" t="n">
        <v>17</v>
      </c>
      <c r="K25" t="n">
        <v>523</v>
      </c>
      <c r="L25" t="n">
        <v>208</v>
      </c>
      <c r="M25" t="n">
        <v>67</v>
      </c>
      <c r="N25" t="n">
        <v>22</v>
      </c>
      <c r="O25" t="n">
        <v>590</v>
      </c>
      <c r="P25" t="n">
        <v>230</v>
      </c>
    </row>
    <row r="26">
      <c r="A26" t="inlineStr">
        <is>
          <t>Svay Rieng</t>
        </is>
      </c>
      <c r="B26" t="n">
        <v>74</v>
      </c>
      <c r="C26" t="n">
        <v>0</v>
      </c>
      <c r="D26" t="n">
        <v>996</v>
      </c>
      <c r="E26" t="n">
        <v>967</v>
      </c>
      <c r="F26" t="n">
        <v>35</v>
      </c>
      <c r="G26" t="n">
        <v>38992</v>
      </c>
      <c r="H26" t="n">
        <v>19891</v>
      </c>
      <c r="I26" t="n">
        <v>188</v>
      </c>
      <c r="J26" t="n">
        <v>57</v>
      </c>
      <c r="K26" t="n">
        <v>1887</v>
      </c>
      <c r="L26" t="n">
        <v>581</v>
      </c>
      <c r="M26" t="n">
        <v>370</v>
      </c>
      <c r="N26" t="n">
        <v>83</v>
      </c>
      <c r="O26" t="n">
        <v>2257</v>
      </c>
      <c r="P26" t="n">
        <v>664</v>
      </c>
    </row>
    <row r="27">
      <c r="A27" t="inlineStr">
        <is>
          <t>Takeo</t>
        </is>
      </c>
      <c r="B27" t="n">
        <v>119</v>
      </c>
      <c r="C27" t="n">
        <v>0</v>
      </c>
      <c r="D27" t="n">
        <v>1928</v>
      </c>
      <c r="E27" t="n">
        <v>1865</v>
      </c>
      <c r="F27" t="n">
        <v>17</v>
      </c>
      <c r="G27" t="n">
        <v>74078</v>
      </c>
      <c r="H27" t="n">
        <v>38376</v>
      </c>
      <c r="I27" t="n">
        <v>917</v>
      </c>
      <c r="J27" t="n">
        <v>412</v>
      </c>
      <c r="K27" t="n">
        <v>3284</v>
      </c>
      <c r="L27" t="n">
        <v>1083</v>
      </c>
      <c r="M27" t="n">
        <v>762</v>
      </c>
      <c r="N27" t="n">
        <v>167</v>
      </c>
      <c r="O27" t="n">
        <v>4046</v>
      </c>
      <c r="P27" t="n">
        <v>1250</v>
      </c>
    </row>
    <row r="28">
      <c r="A28" t="inlineStr">
        <is>
          <t>Tbaung Khmum</t>
        </is>
      </c>
      <c r="B28" t="n">
        <v>80</v>
      </c>
      <c r="C28" t="n">
        <v>0</v>
      </c>
      <c r="D28" t="n">
        <v>1083</v>
      </c>
      <c r="E28" t="n">
        <v>993</v>
      </c>
      <c r="F28" t="n">
        <v>0</v>
      </c>
      <c r="G28" t="n">
        <v>47397</v>
      </c>
      <c r="H28" t="n">
        <v>25898</v>
      </c>
      <c r="I28" t="n">
        <v>609</v>
      </c>
      <c r="J28" t="n">
        <v>243</v>
      </c>
      <c r="K28" t="n">
        <v>1549</v>
      </c>
      <c r="L28" t="n">
        <v>658</v>
      </c>
      <c r="M28" t="n">
        <v>274</v>
      </c>
      <c r="N28" t="n">
        <v>65</v>
      </c>
      <c r="O28" t="n">
        <v>1823</v>
      </c>
      <c r="P28" t="n">
        <v>723</v>
      </c>
    </row>
    <row r="29">
      <c r="A29" t="inlineStr">
        <is>
          <t>Whole Kingdom</t>
        </is>
      </c>
      <c r="B29" t="n">
        <v>1812</v>
      </c>
      <c r="C29" t="n">
        <v>0</v>
      </c>
      <c r="D29" t="n">
        <v>24164</v>
      </c>
      <c r="E29" t="n">
        <v>21313</v>
      </c>
      <c r="F29" t="n">
        <v>259</v>
      </c>
      <c r="G29" t="n">
        <v>1022723</v>
      </c>
      <c r="H29" t="n">
        <v>545111</v>
      </c>
      <c r="I29" t="n">
        <v>11518</v>
      </c>
      <c r="J29" t="n">
        <v>4565</v>
      </c>
      <c r="K29" t="n">
        <v>43949</v>
      </c>
      <c r="L29" t="n">
        <v>18618</v>
      </c>
      <c r="M29" t="n">
        <v>7626</v>
      </c>
      <c r="N29" t="n">
        <v>2040</v>
      </c>
      <c r="O29" t="n">
        <v>51575</v>
      </c>
      <c r="P29" t="n">
        <v>20658</v>
      </c>
    </row>
    <row r="30">
      <c r="A30" t="inlineStr">
        <is>
          <t>-  Urban Area</t>
        </is>
      </c>
      <c r="B30" t="n">
        <v>244</v>
      </c>
      <c r="C30" t="n">
        <v>0</v>
      </c>
      <c r="D30" t="n">
        <v>5481</v>
      </c>
      <c r="E30" t="n">
        <v>4691</v>
      </c>
      <c r="F30" t="n">
        <v>57</v>
      </c>
      <c r="G30" t="n">
        <v>246441</v>
      </c>
      <c r="H30" t="n">
        <v>127353</v>
      </c>
      <c r="I30" t="n">
        <v>3945</v>
      </c>
      <c r="J30" t="n">
        <v>1593</v>
      </c>
      <c r="K30" t="n">
        <v>12754</v>
      </c>
      <c r="L30" t="n">
        <v>5852</v>
      </c>
      <c r="M30" t="n">
        <v>1760</v>
      </c>
      <c r="N30" t="n">
        <v>614</v>
      </c>
      <c r="O30" t="n">
        <v>14514</v>
      </c>
      <c r="P30" t="n">
        <v>6466</v>
      </c>
    </row>
    <row r="31">
      <c r="A31" t="inlineStr">
        <is>
          <t>-  Rural Area</t>
        </is>
      </c>
      <c r="B31" t="n">
        <v>1568</v>
      </c>
      <c r="C31" t="n">
        <v>0</v>
      </c>
      <c r="D31" t="n">
        <v>18683</v>
      </c>
      <c r="E31" t="n">
        <v>16622</v>
      </c>
      <c r="F31" t="n">
        <v>202</v>
      </c>
      <c r="G31" t="n">
        <v>776282</v>
      </c>
      <c r="H31" t="n">
        <v>417758</v>
      </c>
      <c r="I31" t="n">
        <v>7573</v>
      </c>
      <c r="J31" t="n">
        <v>2972</v>
      </c>
      <c r="K31" t="n">
        <v>31195</v>
      </c>
      <c r="L31" t="n">
        <v>12766</v>
      </c>
      <c r="M31" t="n">
        <v>5866</v>
      </c>
      <c r="N31" t="n">
        <v>1426</v>
      </c>
      <c r="O31" t="n">
        <v>37061</v>
      </c>
      <c r="P31" t="n">
        <v>14192</v>
      </c>
    </row>
  </sheetData>
  <mergeCells count="7">
    <mergeCell ref="O2:P2"/>
    <mergeCell ref="M2:N2"/>
    <mergeCell ref="G2:H2"/>
    <mergeCell ref="K2:L2"/>
    <mergeCell ref="I2:J2"/>
    <mergeCell ref="A2:A3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4.140625" customWidth="1" min="2" max="2"/>
    <col width="5.5703125" customWidth="1" min="3" max="3"/>
    <col width="5.42578125" customWidth="1" min="4" max="4"/>
    <col width="6.7109375" customWidth="1" min="6" max="6"/>
    <col width="6.42578125" customWidth="1" min="7" max="7"/>
    <col width="7.28515625" customWidth="1" min="15" max="15"/>
    <col width="8.28515625" customWidth="1" min="18" max="18"/>
    <col width="6.5703125" customWidth="1" min="19" max="19"/>
    <col width="6.42578125" customWidth="1" min="20" max="20"/>
    <col width="5.42578125" customWidth="1" min="21" max="21"/>
    <col width="6.42578125" customWidth="1" min="22" max="22"/>
  </cols>
  <sheetData>
    <row r="1">
      <c r="A1" t="inlineStr">
        <is>
          <t>Table 12: Number of Classes by Grade and Education level</t>
        </is>
      </c>
    </row>
    <row r="2">
      <c r="A2" t="inlineStr">
        <is>
          <t>Province</t>
        </is>
      </c>
      <c r="B2" t="inlineStr">
        <is>
          <t>Pre-school</t>
        </is>
      </c>
      <c r="F2" t="inlineStr">
        <is>
          <t>Primary School</t>
        </is>
      </c>
      <c r="L2" t="inlineStr">
        <is>
          <t>Lower Secondary</t>
        </is>
      </c>
      <c r="O2" t="inlineStr">
        <is>
          <t>Upper Secondary</t>
        </is>
      </c>
      <c r="R2" t="inlineStr">
        <is>
          <t>Classes</t>
        </is>
      </c>
    </row>
    <row r="3">
      <c r="B3" t="inlineStr">
        <is>
          <t>Low</t>
        </is>
      </c>
      <c r="C3" t="inlineStr">
        <is>
          <t>Med</t>
        </is>
      </c>
      <c r="D3" t="inlineStr">
        <is>
          <t>High</t>
        </is>
      </c>
      <c r="E3" t="inlineStr">
        <is>
          <t>Mix</t>
        </is>
      </c>
      <c r="F3" t="inlineStr">
        <is>
          <t>Grade 1</t>
        </is>
      </c>
      <c r="G3" t="inlineStr">
        <is>
          <t>Grade 2</t>
        </is>
      </c>
      <c r="H3" t="inlineStr">
        <is>
          <t>Grade 3</t>
        </is>
      </c>
      <c r="I3" t="inlineStr">
        <is>
          <t>Grade 4</t>
        </is>
      </c>
      <c r="J3" t="inlineStr">
        <is>
          <t>Grade 5</t>
        </is>
      </c>
      <c r="K3" t="inlineStr">
        <is>
          <t>Grade 6</t>
        </is>
      </c>
      <c r="L3" t="inlineStr">
        <is>
          <t>Grade 7</t>
        </is>
      </c>
      <c r="M3" t="inlineStr">
        <is>
          <t>Grade 8</t>
        </is>
      </c>
      <c r="N3" t="inlineStr">
        <is>
          <t>Grade 9</t>
        </is>
      </c>
      <c r="O3" t="inlineStr">
        <is>
          <t>Grade 10</t>
        </is>
      </c>
      <c r="P3" t="inlineStr">
        <is>
          <t>Grade 11</t>
        </is>
      </c>
      <c r="Q3" t="inlineStr">
        <is>
          <t>Grade 12</t>
        </is>
      </c>
      <c r="R3" t="inlineStr">
        <is>
          <t>Pre-school</t>
        </is>
      </c>
      <c r="S3" t="inlineStr">
        <is>
          <t>Primary</t>
        </is>
      </c>
      <c r="T3" t="inlineStr">
        <is>
          <t>L.Sec</t>
        </is>
      </c>
      <c r="U3" t="inlineStr">
        <is>
          <t>U.Sec</t>
        </is>
      </c>
      <c r="V3" t="inlineStr">
        <is>
          <t>Total</t>
        </is>
      </c>
    </row>
    <row r="4">
      <c r="A4" t="inlineStr">
        <is>
          <t>Banteay Meanchey</t>
        </is>
      </c>
      <c r="B4" t="n">
        <v>37</v>
      </c>
      <c r="C4" t="n">
        <v>99</v>
      </c>
      <c r="D4" t="n">
        <v>188</v>
      </c>
      <c r="E4" t="n">
        <v>235</v>
      </c>
      <c r="F4" t="n">
        <v>587</v>
      </c>
      <c r="G4" t="n">
        <v>582</v>
      </c>
      <c r="H4" t="n">
        <v>550</v>
      </c>
      <c r="I4" t="n">
        <v>547</v>
      </c>
      <c r="J4" t="n">
        <v>520</v>
      </c>
      <c r="K4" t="n">
        <v>507</v>
      </c>
      <c r="L4" t="n">
        <v>264</v>
      </c>
      <c r="M4" t="n">
        <v>228</v>
      </c>
      <c r="N4" t="n">
        <v>185</v>
      </c>
      <c r="O4" t="n">
        <v>131</v>
      </c>
      <c r="P4" t="n">
        <v>117</v>
      </c>
      <c r="Q4" t="n">
        <v>105</v>
      </c>
      <c r="R4" t="n">
        <v>559</v>
      </c>
      <c r="S4" t="n">
        <v>3293</v>
      </c>
      <c r="T4" t="n">
        <v>677</v>
      </c>
      <c r="U4" t="n">
        <v>353</v>
      </c>
      <c r="V4" t="n">
        <v>4882</v>
      </c>
    </row>
    <row r="5">
      <c r="A5" t="inlineStr">
        <is>
          <t>Battambang</t>
        </is>
      </c>
      <c r="B5" t="n">
        <v>36</v>
      </c>
      <c r="C5" t="n">
        <v>140</v>
      </c>
      <c r="D5" t="n">
        <v>277</v>
      </c>
      <c r="E5" t="n">
        <v>216</v>
      </c>
      <c r="F5" t="n">
        <v>1034</v>
      </c>
      <c r="G5" t="n">
        <v>990</v>
      </c>
      <c r="H5" t="n">
        <v>943</v>
      </c>
      <c r="I5" t="n">
        <v>916</v>
      </c>
      <c r="J5" t="n">
        <v>875</v>
      </c>
      <c r="K5" t="n">
        <v>828</v>
      </c>
      <c r="L5" t="n">
        <v>399</v>
      </c>
      <c r="M5" t="n">
        <v>345</v>
      </c>
      <c r="N5" t="n">
        <v>294</v>
      </c>
      <c r="O5" t="n">
        <v>205</v>
      </c>
      <c r="P5" t="n">
        <v>174</v>
      </c>
      <c r="Q5" t="n">
        <v>155</v>
      </c>
      <c r="R5" t="n">
        <v>669</v>
      </c>
      <c r="S5" t="n">
        <v>5586</v>
      </c>
      <c r="T5" t="n">
        <v>1038</v>
      </c>
      <c r="U5" t="n">
        <v>534</v>
      </c>
      <c r="V5" t="n">
        <v>7827</v>
      </c>
    </row>
    <row r="6">
      <c r="A6" t="inlineStr">
        <is>
          <t>Kampong Cham</t>
        </is>
      </c>
      <c r="B6" t="n">
        <v>17</v>
      </c>
      <c r="C6" t="n">
        <v>112</v>
      </c>
      <c r="D6" t="n">
        <v>365</v>
      </c>
      <c r="E6" t="n">
        <v>44</v>
      </c>
      <c r="F6" t="n">
        <v>747</v>
      </c>
      <c r="G6" t="n">
        <v>713</v>
      </c>
      <c r="H6" t="n">
        <v>670</v>
      </c>
      <c r="I6" t="n">
        <v>652</v>
      </c>
      <c r="J6" t="n">
        <v>619</v>
      </c>
      <c r="K6" t="n">
        <v>600</v>
      </c>
      <c r="L6" t="n">
        <v>378</v>
      </c>
      <c r="M6" t="n">
        <v>334</v>
      </c>
      <c r="N6" t="n">
        <v>290</v>
      </c>
      <c r="O6" t="n">
        <v>209</v>
      </c>
      <c r="P6" t="n">
        <v>191</v>
      </c>
      <c r="Q6" t="n">
        <v>175</v>
      </c>
      <c r="R6" t="n">
        <v>538</v>
      </c>
      <c r="S6" t="n">
        <v>4001</v>
      </c>
      <c r="T6" t="n">
        <v>1002</v>
      </c>
      <c r="U6" t="n">
        <v>575</v>
      </c>
      <c r="V6" t="n">
        <v>6116</v>
      </c>
    </row>
    <row r="7">
      <c r="A7" t="inlineStr">
        <is>
          <t>Kampong Chhnang</t>
        </is>
      </c>
      <c r="B7" t="n">
        <v>19</v>
      </c>
      <c r="C7" t="n">
        <v>46</v>
      </c>
      <c r="D7" t="n">
        <v>116</v>
      </c>
      <c r="E7" t="n">
        <v>46</v>
      </c>
      <c r="F7" t="n">
        <v>407</v>
      </c>
      <c r="G7" t="n">
        <v>396</v>
      </c>
      <c r="H7" t="n">
        <v>380</v>
      </c>
      <c r="I7" t="n">
        <v>368</v>
      </c>
      <c r="J7" t="n">
        <v>357</v>
      </c>
      <c r="K7" t="n">
        <v>345</v>
      </c>
      <c r="L7" t="n">
        <v>205</v>
      </c>
      <c r="M7" t="n">
        <v>181</v>
      </c>
      <c r="N7" t="n">
        <v>153</v>
      </c>
      <c r="O7" t="n">
        <v>106</v>
      </c>
      <c r="P7" t="n">
        <v>96</v>
      </c>
      <c r="Q7" t="n">
        <v>86</v>
      </c>
      <c r="R7" t="n">
        <v>227</v>
      </c>
      <c r="S7" t="n">
        <v>2253</v>
      </c>
      <c r="T7" t="n">
        <v>539</v>
      </c>
      <c r="U7" t="n">
        <v>288</v>
      </c>
      <c r="V7" t="n">
        <v>3307</v>
      </c>
    </row>
    <row r="8">
      <c r="A8" t="inlineStr">
        <is>
          <t>Kampong Speu</t>
        </is>
      </c>
      <c r="B8" t="n">
        <v>12</v>
      </c>
      <c r="C8" t="n">
        <v>37</v>
      </c>
      <c r="D8" t="n">
        <v>192</v>
      </c>
      <c r="E8" t="n">
        <v>105</v>
      </c>
      <c r="F8" t="n">
        <v>486</v>
      </c>
      <c r="G8" t="n">
        <v>490</v>
      </c>
      <c r="H8" t="n">
        <v>478</v>
      </c>
      <c r="I8" t="n">
        <v>462</v>
      </c>
      <c r="J8" t="n">
        <v>460</v>
      </c>
      <c r="K8" t="n">
        <v>456</v>
      </c>
      <c r="L8" t="n">
        <v>276</v>
      </c>
      <c r="M8" t="n">
        <v>234</v>
      </c>
      <c r="N8" t="n">
        <v>189</v>
      </c>
      <c r="O8" t="n">
        <v>114</v>
      </c>
      <c r="P8" t="n">
        <v>99</v>
      </c>
      <c r="Q8" t="n">
        <v>92</v>
      </c>
      <c r="R8" t="n">
        <v>346</v>
      </c>
      <c r="S8" t="n">
        <v>2832</v>
      </c>
      <c r="T8" t="n">
        <v>699</v>
      </c>
      <c r="U8" t="n">
        <v>305</v>
      </c>
      <c r="V8" t="n">
        <v>4182</v>
      </c>
    </row>
    <row r="9">
      <c r="A9" t="inlineStr">
        <is>
          <t>Kampong Thom</t>
        </is>
      </c>
      <c r="B9" t="n">
        <v>20</v>
      </c>
      <c r="C9" t="n">
        <v>62</v>
      </c>
      <c r="D9" t="n">
        <v>188</v>
      </c>
      <c r="E9" t="n">
        <v>81</v>
      </c>
      <c r="F9" t="n">
        <v>627</v>
      </c>
      <c r="G9" t="n">
        <v>611</v>
      </c>
      <c r="H9" t="n">
        <v>589</v>
      </c>
      <c r="I9" t="n">
        <v>560</v>
      </c>
      <c r="J9" t="n">
        <v>533</v>
      </c>
      <c r="K9" t="n">
        <v>522</v>
      </c>
      <c r="L9" t="n">
        <v>275</v>
      </c>
      <c r="M9" t="n">
        <v>249</v>
      </c>
      <c r="N9" t="n">
        <v>213</v>
      </c>
      <c r="O9" t="n">
        <v>142</v>
      </c>
      <c r="P9" t="n">
        <v>130</v>
      </c>
      <c r="Q9" t="n">
        <v>118</v>
      </c>
      <c r="R9" t="n">
        <v>351</v>
      </c>
      <c r="S9" t="n">
        <v>3442</v>
      </c>
      <c r="T9" t="n">
        <v>737</v>
      </c>
      <c r="U9" t="n">
        <v>390</v>
      </c>
      <c r="V9" t="n">
        <v>4920</v>
      </c>
    </row>
    <row r="10">
      <c r="A10" t="inlineStr">
        <is>
          <t>Kampot</t>
        </is>
      </c>
      <c r="B10" t="n">
        <v>8</v>
      </c>
      <c r="C10" t="n">
        <v>22</v>
      </c>
      <c r="D10" t="n">
        <v>197</v>
      </c>
      <c r="E10" t="n">
        <v>39</v>
      </c>
      <c r="F10" t="n">
        <v>432</v>
      </c>
      <c r="G10" t="n">
        <v>424</v>
      </c>
      <c r="H10" t="n">
        <v>397</v>
      </c>
      <c r="I10" t="n">
        <v>389</v>
      </c>
      <c r="J10" t="n">
        <v>376</v>
      </c>
      <c r="K10" t="n">
        <v>373</v>
      </c>
      <c r="L10" t="n">
        <v>421</v>
      </c>
      <c r="M10" t="n">
        <v>362</v>
      </c>
      <c r="N10" t="n">
        <v>323</v>
      </c>
      <c r="O10" t="n">
        <v>338</v>
      </c>
      <c r="P10" t="n">
        <v>323</v>
      </c>
      <c r="Q10" t="n">
        <v>286</v>
      </c>
      <c r="R10" t="n">
        <v>266</v>
      </c>
      <c r="S10" t="n">
        <v>2391</v>
      </c>
      <c r="T10" t="n">
        <v>1106</v>
      </c>
      <c r="U10" t="n">
        <v>947</v>
      </c>
      <c r="V10" t="n">
        <v>4710</v>
      </c>
    </row>
    <row r="11">
      <c r="A11" t="inlineStr">
        <is>
          <t>Kandal</t>
        </is>
      </c>
      <c r="B11" t="n">
        <v>33</v>
      </c>
      <c r="C11" t="n">
        <v>124</v>
      </c>
      <c r="D11" t="n">
        <v>335</v>
      </c>
      <c r="E11" t="n">
        <v>25</v>
      </c>
      <c r="F11" t="n">
        <v>822</v>
      </c>
      <c r="G11" t="n">
        <v>792</v>
      </c>
      <c r="H11" t="n">
        <v>748</v>
      </c>
      <c r="I11" t="n">
        <v>690</v>
      </c>
      <c r="J11" t="n">
        <v>648</v>
      </c>
      <c r="K11" t="n">
        <v>623</v>
      </c>
      <c r="L11" t="n">
        <v>474</v>
      </c>
      <c r="M11" t="n">
        <v>432</v>
      </c>
      <c r="N11" t="n">
        <v>363</v>
      </c>
      <c r="O11" t="n">
        <v>255</v>
      </c>
      <c r="P11" t="n">
        <v>232</v>
      </c>
      <c r="Q11" t="n">
        <v>214</v>
      </c>
      <c r="R11" t="n">
        <v>517</v>
      </c>
      <c r="S11" t="n">
        <v>4323</v>
      </c>
      <c r="T11" t="n">
        <v>1269</v>
      </c>
      <c r="U11" t="n">
        <v>701</v>
      </c>
      <c r="V11" t="n">
        <v>6810</v>
      </c>
    </row>
    <row r="12">
      <c r="A12" t="inlineStr">
        <is>
          <t>Kep</t>
        </is>
      </c>
      <c r="B12" t="n">
        <v>2</v>
      </c>
      <c r="C12" t="n">
        <v>12</v>
      </c>
      <c r="D12" t="n">
        <v>15</v>
      </c>
      <c r="E12" t="n">
        <v>10</v>
      </c>
      <c r="F12" t="n">
        <v>35</v>
      </c>
      <c r="G12" t="n">
        <v>35</v>
      </c>
      <c r="H12" t="n">
        <v>31</v>
      </c>
      <c r="I12" t="n">
        <v>29</v>
      </c>
      <c r="J12" t="n">
        <v>28</v>
      </c>
      <c r="K12" t="n">
        <v>25</v>
      </c>
      <c r="L12" t="n">
        <v>19</v>
      </c>
      <c r="M12" t="n">
        <v>16</v>
      </c>
      <c r="N12" t="n">
        <v>16</v>
      </c>
      <c r="O12" t="n">
        <v>8</v>
      </c>
      <c r="P12" t="n">
        <v>10</v>
      </c>
      <c r="Q12" t="n">
        <v>9</v>
      </c>
      <c r="R12" t="n">
        <v>39</v>
      </c>
      <c r="S12" t="n">
        <v>183</v>
      </c>
      <c r="T12" t="n">
        <v>51</v>
      </c>
      <c r="U12" t="n">
        <v>27</v>
      </c>
      <c r="V12" t="n">
        <v>300</v>
      </c>
    </row>
    <row r="13">
      <c r="A13" t="inlineStr">
        <is>
          <t>Koh Kong</t>
        </is>
      </c>
      <c r="B13" t="n">
        <v>7</v>
      </c>
      <c r="C13" t="n">
        <v>10</v>
      </c>
      <c r="D13" t="n">
        <v>16</v>
      </c>
      <c r="E13" t="n">
        <v>87</v>
      </c>
      <c r="F13" t="n">
        <v>147</v>
      </c>
      <c r="G13" t="n">
        <v>151</v>
      </c>
      <c r="H13" t="n">
        <v>140</v>
      </c>
      <c r="I13" t="n">
        <v>136</v>
      </c>
      <c r="J13" t="n">
        <v>125</v>
      </c>
      <c r="K13" t="n">
        <v>126</v>
      </c>
      <c r="L13" t="n">
        <v>60</v>
      </c>
      <c r="M13" t="n">
        <v>55</v>
      </c>
      <c r="N13" t="n">
        <v>49</v>
      </c>
      <c r="O13" t="n">
        <v>36</v>
      </c>
      <c r="P13" t="n">
        <v>32</v>
      </c>
      <c r="Q13" t="n">
        <v>27</v>
      </c>
      <c r="R13" t="n">
        <v>120</v>
      </c>
      <c r="S13" t="n">
        <v>825</v>
      </c>
      <c r="T13" t="n">
        <v>164</v>
      </c>
      <c r="U13" t="n">
        <v>95</v>
      </c>
      <c r="V13" t="n">
        <v>1204</v>
      </c>
    </row>
    <row r="14">
      <c r="A14" t="inlineStr">
        <is>
          <t>Kratie</t>
        </is>
      </c>
      <c r="B14" t="n">
        <v>7</v>
      </c>
      <c r="C14" t="n">
        <v>67</v>
      </c>
      <c r="D14" t="n">
        <v>142</v>
      </c>
      <c r="E14" t="n">
        <v>29</v>
      </c>
      <c r="F14" t="n">
        <v>443</v>
      </c>
      <c r="G14" t="n">
        <v>420</v>
      </c>
      <c r="H14" t="n">
        <v>391</v>
      </c>
      <c r="I14" t="n">
        <v>364</v>
      </c>
      <c r="J14" t="n">
        <v>336</v>
      </c>
      <c r="K14" t="n">
        <v>317</v>
      </c>
      <c r="L14" t="n">
        <v>125</v>
      </c>
      <c r="M14" t="n">
        <v>105</v>
      </c>
      <c r="N14" t="n">
        <v>92</v>
      </c>
      <c r="O14" t="n">
        <v>58</v>
      </c>
      <c r="P14" t="n">
        <v>50</v>
      </c>
      <c r="Q14" t="n">
        <v>47</v>
      </c>
      <c r="R14" t="n">
        <v>245</v>
      </c>
      <c r="S14" t="n">
        <v>2271</v>
      </c>
      <c r="T14" t="n">
        <v>322</v>
      </c>
      <c r="U14" t="n">
        <v>155</v>
      </c>
      <c r="V14" t="n">
        <v>2993</v>
      </c>
    </row>
    <row r="15">
      <c r="A15" t="inlineStr">
        <is>
          <t>Mondul Kiri</t>
        </is>
      </c>
      <c r="B15" t="n">
        <v>4</v>
      </c>
      <c r="C15" t="n">
        <v>6</v>
      </c>
      <c r="D15" t="n">
        <v>7</v>
      </c>
      <c r="E15" t="n">
        <v>25</v>
      </c>
      <c r="F15" t="n">
        <v>126</v>
      </c>
      <c r="G15" t="n">
        <v>122</v>
      </c>
      <c r="H15" t="n">
        <v>118</v>
      </c>
      <c r="I15" t="n">
        <v>111</v>
      </c>
      <c r="J15" t="n">
        <v>106</v>
      </c>
      <c r="K15" t="n">
        <v>102</v>
      </c>
      <c r="L15" t="n">
        <v>37</v>
      </c>
      <c r="M15" t="n">
        <v>28</v>
      </c>
      <c r="N15" t="n">
        <v>26</v>
      </c>
      <c r="O15" t="n">
        <v>17</v>
      </c>
      <c r="P15" t="n">
        <v>15</v>
      </c>
      <c r="Q15" t="n">
        <v>12</v>
      </c>
      <c r="R15" t="n">
        <v>42</v>
      </c>
      <c r="S15" t="n">
        <v>685</v>
      </c>
      <c r="T15" t="n">
        <v>91</v>
      </c>
      <c r="U15" t="n">
        <v>44</v>
      </c>
      <c r="V15" t="n">
        <v>862</v>
      </c>
    </row>
    <row r="16">
      <c r="A16" t="inlineStr">
        <is>
          <t>Otdar Meanchey</t>
        </is>
      </c>
      <c r="B16" t="n">
        <v>3</v>
      </c>
      <c r="C16" t="n">
        <v>10</v>
      </c>
      <c r="D16" t="n">
        <v>59</v>
      </c>
      <c r="E16" t="n">
        <v>78</v>
      </c>
      <c r="F16" t="n">
        <v>288</v>
      </c>
      <c r="G16" t="n">
        <v>281</v>
      </c>
      <c r="H16" t="n">
        <v>264</v>
      </c>
      <c r="I16" t="n">
        <v>255</v>
      </c>
      <c r="J16" t="n">
        <v>249</v>
      </c>
      <c r="K16" t="n">
        <v>238</v>
      </c>
      <c r="L16" t="n">
        <v>91</v>
      </c>
      <c r="M16" t="n">
        <v>79</v>
      </c>
      <c r="N16" t="n">
        <v>66</v>
      </c>
      <c r="O16" t="n">
        <v>49</v>
      </c>
      <c r="P16" t="n">
        <v>41</v>
      </c>
      <c r="Q16" t="n">
        <v>39</v>
      </c>
      <c r="R16" t="n">
        <v>150</v>
      </c>
      <c r="S16" t="n">
        <v>1575</v>
      </c>
      <c r="T16" t="n">
        <v>236</v>
      </c>
      <c r="U16" t="n">
        <v>129</v>
      </c>
      <c r="V16" t="n">
        <v>2090</v>
      </c>
    </row>
    <row r="17">
      <c r="A17" t="inlineStr">
        <is>
          <t>Pailin</t>
        </is>
      </c>
      <c r="B17" t="n">
        <v>4</v>
      </c>
      <c r="C17" t="n">
        <v>11</v>
      </c>
      <c r="D17" t="n">
        <v>15</v>
      </c>
      <c r="E17" t="n">
        <v>14</v>
      </c>
      <c r="F17" t="n">
        <v>67</v>
      </c>
      <c r="G17" t="n">
        <v>63</v>
      </c>
      <c r="H17" t="n">
        <v>62</v>
      </c>
      <c r="I17" t="n">
        <v>59</v>
      </c>
      <c r="J17" t="n">
        <v>58</v>
      </c>
      <c r="K17" t="n">
        <v>55</v>
      </c>
      <c r="L17" t="n">
        <v>36</v>
      </c>
      <c r="M17" t="n">
        <v>31</v>
      </c>
      <c r="N17" t="n">
        <v>24</v>
      </c>
      <c r="O17" t="n">
        <v>15</v>
      </c>
      <c r="P17" t="n">
        <v>15</v>
      </c>
      <c r="Q17" t="n">
        <v>11</v>
      </c>
      <c r="R17" t="n">
        <v>44</v>
      </c>
      <c r="S17" t="n">
        <v>364</v>
      </c>
      <c r="T17" t="n">
        <v>91</v>
      </c>
      <c r="U17" t="n">
        <v>41</v>
      </c>
      <c r="V17" t="n">
        <v>540</v>
      </c>
    </row>
    <row r="18">
      <c r="A18" t="inlineStr">
        <is>
          <t>Phnom Penh</t>
        </is>
      </c>
      <c r="B18" t="n">
        <v>23</v>
      </c>
      <c r="C18" t="n">
        <v>37</v>
      </c>
      <c r="D18" t="n">
        <v>393</v>
      </c>
      <c r="E18" t="n">
        <v>1</v>
      </c>
      <c r="F18" t="n">
        <v>562</v>
      </c>
      <c r="G18" t="n">
        <v>541</v>
      </c>
      <c r="H18" t="n">
        <v>517</v>
      </c>
      <c r="I18" t="n">
        <v>518</v>
      </c>
      <c r="J18" t="n">
        <v>501</v>
      </c>
      <c r="K18" t="n">
        <v>495</v>
      </c>
      <c r="L18" t="n">
        <v>436</v>
      </c>
      <c r="M18" t="n">
        <v>415</v>
      </c>
      <c r="N18" t="n">
        <v>379</v>
      </c>
      <c r="O18" t="n">
        <v>295</v>
      </c>
      <c r="P18" t="n">
        <v>296</v>
      </c>
      <c r="Q18" t="n">
        <v>298</v>
      </c>
      <c r="R18" t="n">
        <v>454</v>
      </c>
      <c r="S18" t="n">
        <v>3134</v>
      </c>
      <c r="T18" t="n">
        <v>1230</v>
      </c>
      <c r="U18" t="n">
        <v>889</v>
      </c>
      <c r="V18" t="n">
        <v>5707</v>
      </c>
    </row>
    <row r="19">
      <c r="A19" t="inlineStr">
        <is>
          <t>Preah Sihanouk</t>
        </is>
      </c>
      <c r="B19" t="n">
        <v>1</v>
      </c>
      <c r="C19" t="n">
        <v>6</v>
      </c>
      <c r="D19" t="n">
        <v>35</v>
      </c>
      <c r="E19" t="n">
        <v>45</v>
      </c>
      <c r="F19" t="n">
        <v>158</v>
      </c>
      <c r="G19" t="n">
        <v>148</v>
      </c>
      <c r="H19" t="n">
        <v>141</v>
      </c>
      <c r="I19" t="n">
        <v>133</v>
      </c>
      <c r="J19" t="n">
        <v>124</v>
      </c>
      <c r="K19" t="n">
        <v>118</v>
      </c>
      <c r="L19" t="n">
        <v>83</v>
      </c>
      <c r="M19" t="n">
        <v>74</v>
      </c>
      <c r="N19" t="n">
        <v>66</v>
      </c>
      <c r="O19" t="n">
        <v>42</v>
      </c>
      <c r="P19" t="n">
        <v>40</v>
      </c>
      <c r="Q19" t="n">
        <v>38</v>
      </c>
      <c r="R19" t="n">
        <v>87</v>
      </c>
      <c r="S19" t="n">
        <v>822</v>
      </c>
      <c r="T19" t="n">
        <v>223</v>
      </c>
      <c r="U19" t="n">
        <v>120</v>
      </c>
      <c r="V19" t="n">
        <v>1252</v>
      </c>
    </row>
    <row r="20">
      <c r="A20" t="inlineStr">
        <is>
          <t>Preah Vihear</t>
        </is>
      </c>
      <c r="B20" t="n">
        <v>10</v>
      </c>
      <c r="C20" t="n">
        <v>21</v>
      </c>
      <c r="D20" t="n">
        <v>39</v>
      </c>
      <c r="E20" t="n">
        <v>92</v>
      </c>
      <c r="F20" t="n">
        <v>303</v>
      </c>
      <c r="G20" t="n">
        <v>290</v>
      </c>
      <c r="H20" t="n">
        <v>276</v>
      </c>
      <c r="I20" t="n">
        <v>259</v>
      </c>
      <c r="J20" t="n">
        <v>249</v>
      </c>
      <c r="K20" t="n">
        <v>243</v>
      </c>
      <c r="L20" t="n">
        <v>106</v>
      </c>
      <c r="M20" t="n">
        <v>97</v>
      </c>
      <c r="N20" t="n">
        <v>89</v>
      </c>
      <c r="O20" t="n">
        <v>57</v>
      </c>
      <c r="P20" t="n">
        <v>51</v>
      </c>
      <c r="Q20" t="n">
        <v>46</v>
      </c>
      <c r="R20" t="n">
        <v>162</v>
      </c>
      <c r="S20" t="n">
        <v>1620</v>
      </c>
      <c r="T20" t="n">
        <v>292</v>
      </c>
      <c r="U20" t="n">
        <v>154</v>
      </c>
      <c r="V20" t="n">
        <v>2228</v>
      </c>
    </row>
    <row r="21">
      <c r="A21" t="inlineStr">
        <is>
          <t>Prey Veng</t>
        </is>
      </c>
      <c r="B21" t="n">
        <v>19</v>
      </c>
      <c r="C21" t="n">
        <v>110</v>
      </c>
      <c r="D21" t="n">
        <v>465</v>
      </c>
      <c r="E21" t="n">
        <v>18</v>
      </c>
      <c r="F21" t="n">
        <v>811</v>
      </c>
      <c r="G21" t="n">
        <v>787</v>
      </c>
      <c r="H21" t="n">
        <v>753</v>
      </c>
      <c r="I21" t="n">
        <v>745</v>
      </c>
      <c r="J21" t="n">
        <v>749</v>
      </c>
      <c r="K21" t="n">
        <v>730</v>
      </c>
      <c r="L21" t="n">
        <v>420</v>
      </c>
      <c r="M21" t="n">
        <v>369</v>
      </c>
      <c r="N21" t="n">
        <v>316</v>
      </c>
      <c r="O21" t="n">
        <v>220</v>
      </c>
      <c r="P21" t="n">
        <v>191</v>
      </c>
      <c r="Q21" t="n">
        <v>181</v>
      </c>
      <c r="R21" t="n">
        <v>612</v>
      </c>
      <c r="S21" t="n">
        <v>4575</v>
      </c>
      <c r="T21" t="n">
        <v>1105</v>
      </c>
      <c r="U21" t="n">
        <v>592</v>
      </c>
      <c r="V21" t="n">
        <v>6884</v>
      </c>
    </row>
    <row r="22">
      <c r="A22" t="inlineStr">
        <is>
          <t>Pursat</t>
        </is>
      </c>
      <c r="B22" t="n">
        <v>22</v>
      </c>
      <c r="C22" t="n">
        <v>59</v>
      </c>
      <c r="D22" t="n">
        <v>129</v>
      </c>
      <c r="E22" t="n">
        <v>87</v>
      </c>
      <c r="F22" t="n">
        <v>444</v>
      </c>
      <c r="G22" t="n">
        <v>415</v>
      </c>
      <c r="H22" t="n">
        <v>399</v>
      </c>
      <c r="I22" t="n">
        <v>377</v>
      </c>
      <c r="J22" t="n">
        <v>365</v>
      </c>
      <c r="K22" t="n">
        <v>347</v>
      </c>
      <c r="L22" t="n">
        <v>179</v>
      </c>
      <c r="M22" t="n">
        <v>154</v>
      </c>
      <c r="N22" t="n">
        <v>135</v>
      </c>
      <c r="O22" t="n">
        <v>90</v>
      </c>
      <c r="P22" t="n">
        <v>79</v>
      </c>
      <c r="Q22" t="n">
        <v>74</v>
      </c>
      <c r="R22" t="n">
        <v>297</v>
      </c>
      <c r="S22" t="n">
        <v>2347</v>
      </c>
      <c r="T22" t="n">
        <v>468</v>
      </c>
      <c r="U22" t="n">
        <v>243</v>
      </c>
      <c r="V22" t="n">
        <v>3355</v>
      </c>
    </row>
    <row r="23">
      <c r="A23" t="inlineStr">
        <is>
          <t>Ratanak Kiri</t>
        </is>
      </c>
      <c r="B23" t="n">
        <v>27</v>
      </c>
      <c r="C23" t="n">
        <v>17</v>
      </c>
      <c r="D23" t="n">
        <v>88</v>
      </c>
      <c r="E23" t="n">
        <v>65</v>
      </c>
      <c r="F23" t="n">
        <v>267</v>
      </c>
      <c r="G23" t="n">
        <v>264</v>
      </c>
      <c r="H23" t="n">
        <v>255</v>
      </c>
      <c r="I23" t="n">
        <v>246</v>
      </c>
      <c r="J23" t="n">
        <v>232</v>
      </c>
      <c r="K23" t="n">
        <v>207</v>
      </c>
      <c r="L23" t="n">
        <v>78</v>
      </c>
      <c r="M23" t="n">
        <v>61</v>
      </c>
      <c r="N23" t="n">
        <v>52</v>
      </c>
      <c r="O23" t="n">
        <v>39</v>
      </c>
      <c r="P23" t="n">
        <v>39</v>
      </c>
      <c r="Q23" t="n">
        <v>30</v>
      </c>
      <c r="R23" t="n">
        <v>197</v>
      </c>
      <c r="S23" t="n">
        <v>1471</v>
      </c>
      <c r="T23" t="n">
        <v>191</v>
      </c>
      <c r="U23" t="n">
        <v>108</v>
      </c>
      <c r="V23" t="n">
        <v>1967</v>
      </c>
    </row>
    <row r="24">
      <c r="A24" t="inlineStr">
        <is>
          <t>Siemreap</t>
        </is>
      </c>
      <c r="B24" t="n">
        <v>110</v>
      </c>
      <c r="C24" t="n">
        <v>329</v>
      </c>
      <c r="D24" t="n">
        <v>591</v>
      </c>
      <c r="E24" t="n">
        <v>195</v>
      </c>
      <c r="F24" t="n">
        <v>895</v>
      </c>
      <c r="G24" t="n">
        <v>844</v>
      </c>
      <c r="H24" t="n">
        <v>787</v>
      </c>
      <c r="I24" t="n">
        <v>757</v>
      </c>
      <c r="J24" t="n">
        <v>724</v>
      </c>
      <c r="K24" t="n">
        <v>692</v>
      </c>
      <c r="L24" t="n">
        <v>403</v>
      </c>
      <c r="M24" t="n">
        <v>362</v>
      </c>
      <c r="N24" t="n">
        <v>316</v>
      </c>
      <c r="O24" t="n">
        <v>228</v>
      </c>
      <c r="P24" t="n">
        <v>206</v>
      </c>
      <c r="Q24" t="n">
        <v>186</v>
      </c>
      <c r="R24" t="n">
        <v>1225</v>
      </c>
      <c r="S24" t="n">
        <v>4699</v>
      </c>
      <c r="T24" t="n">
        <v>1081</v>
      </c>
      <c r="U24" t="n">
        <v>620</v>
      </c>
      <c r="V24" t="n">
        <v>7625</v>
      </c>
    </row>
    <row r="25">
      <c r="A25" t="inlineStr">
        <is>
          <t>Stung Treng</t>
        </is>
      </c>
      <c r="B25" t="n">
        <v>3</v>
      </c>
      <c r="C25" t="n">
        <v>6</v>
      </c>
      <c r="D25" t="n">
        <v>36</v>
      </c>
      <c r="E25" t="n">
        <v>21</v>
      </c>
      <c r="F25" t="n">
        <v>293</v>
      </c>
      <c r="G25" t="n">
        <v>262</v>
      </c>
      <c r="H25" t="n">
        <v>255</v>
      </c>
      <c r="I25" t="n">
        <v>235</v>
      </c>
      <c r="J25" t="n">
        <v>238</v>
      </c>
      <c r="K25" t="n">
        <v>198</v>
      </c>
      <c r="L25" t="n">
        <v>59</v>
      </c>
      <c r="M25" t="n">
        <v>55</v>
      </c>
      <c r="N25" t="n">
        <v>49</v>
      </c>
      <c r="O25" t="n">
        <v>26</v>
      </c>
      <c r="P25" t="n">
        <v>25</v>
      </c>
      <c r="Q25" t="n">
        <v>21</v>
      </c>
      <c r="R25" t="n">
        <v>66</v>
      </c>
      <c r="S25" t="n">
        <v>1481</v>
      </c>
      <c r="T25" t="n">
        <v>163</v>
      </c>
      <c r="U25" t="n">
        <v>72</v>
      </c>
      <c r="V25" t="n">
        <v>1782</v>
      </c>
    </row>
    <row r="26">
      <c r="A26" t="inlineStr">
        <is>
          <t>Svay Rieng</t>
        </is>
      </c>
      <c r="B26" t="n">
        <v>11</v>
      </c>
      <c r="C26" t="n">
        <v>45</v>
      </c>
      <c r="D26" t="n">
        <v>110</v>
      </c>
      <c r="E26" t="n">
        <v>133</v>
      </c>
      <c r="F26" t="n">
        <v>417</v>
      </c>
      <c r="G26" t="n">
        <v>398</v>
      </c>
      <c r="H26" t="n">
        <v>385</v>
      </c>
      <c r="I26" t="n">
        <v>362</v>
      </c>
      <c r="J26" t="n">
        <v>356</v>
      </c>
      <c r="K26" t="n">
        <v>355</v>
      </c>
      <c r="L26" t="n">
        <v>254</v>
      </c>
      <c r="M26" t="n">
        <v>214</v>
      </c>
      <c r="N26" t="n">
        <v>182</v>
      </c>
      <c r="O26" t="n">
        <v>127</v>
      </c>
      <c r="P26" t="n">
        <v>114</v>
      </c>
      <c r="Q26" t="n">
        <v>105</v>
      </c>
      <c r="R26" t="n">
        <v>299</v>
      </c>
      <c r="S26" t="n">
        <v>2273</v>
      </c>
      <c r="T26" t="n">
        <v>650</v>
      </c>
      <c r="U26" t="n">
        <v>346</v>
      </c>
      <c r="V26" t="n">
        <v>3568</v>
      </c>
    </row>
    <row r="27">
      <c r="A27" t="inlineStr">
        <is>
          <t>Takeo</t>
        </is>
      </c>
      <c r="B27" t="n">
        <v>16</v>
      </c>
      <c r="C27" t="n">
        <v>77</v>
      </c>
      <c r="D27" t="n">
        <v>306</v>
      </c>
      <c r="E27" t="n">
        <v>61</v>
      </c>
      <c r="F27" t="n">
        <v>621</v>
      </c>
      <c r="G27" t="n">
        <v>619</v>
      </c>
      <c r="H27" t="n">
        <v>583</v>
      </c>
      <c r="I27" t="n">
        <v>571</v>
      </c>
      <c r="J27" t="n">
        <v>557</v>
      </c>
      <c r="K27" t="n">
        <v>568</v>
      </c>
      <c r="L27" t="n">
        <v>423</v>
      </c>
      <c r="M27" t="n">
        <v>387</v>
      </c>
      <c r="N27" t="n">
        <v>361</v>
      </c>
      <c r="O27" t="n">
        <v>260</v>
      </c>
      <c r="P27" t="n">
        <v>259</v>
      </c>
      <c r="Q27" t="n">
        <v>238</v>
      </c>
      <c r="R27" t="n">
        <v>460</v>
      </c>
      <c r="S27" t="n">
        <v>3519</v>
      </c>
      <c r="T27" t="n">
        <v>1171</v>
      </c>
      <c r="U27" t="n">
        <v>757</v>
      </c>
      <c r="V27" t="n">
        <v>5907</v>
      </c>
    </row>
    <row r="28">
      <c r="A28" t="inlineStr">
        <is>
          <t>Tbaung Khmum</t>
        </is>
      </c>
      <c r="B28" t="n">
        <v>25</v>
      </c>
      <c r="C28" t="n">
        <v>136</v>
      </c>
      <c r="D28" t="n">
        <v>245</v>
      </c>
      <c r="E28" t="n">
        <v>104</v>
      </c>
      <c r="F28" t="n">
        <v>598</v>
      </c>
      <c r="G28" t="n">
        <v>592</v>
      </c>
      <c r="H28" t="n">
        <v>566</v>
      </c>
      <c r="I28" t="n">
        <v>544</v>
      </c>
      <c r="J28" t="n">
        <v>513</v>
      </c>
      <c r="K28" t="n">
        <v>485</v>
      </c>
      <c r="L28" t="n">
        <v>275</v>
      </c>
      <c r="M28" t="n">
        <v>239</v>
      </c>
      <c r="N28" t="n">
        <v>196</v>
      </c>
      <c r="O28" t="n">
        <v>136</v>
      </c>
      <c r="P28" t="n">
        <v>129</v>
      </c>
      <c r="Q28" t="n">
        <v>108</v>
      </c>
      <c r="R28" t="n">
        <v>510</v>
      </c>
      <c r="S28" t="n">
        <v>3298</v>
      </c>
      <c r="T28" t="n">
        <v>710</v>
      </c>
      <c r="U28" t="n">
        <v>373</v>
      </c>
      <c r="V28" t="n">
        <v>4891</v>
      </c>
    </row>
    <row r="29">
      <c r="A29" t="inlineStr">
        <is>
          <t>Whole Kingdom</t>
        </is>
      </c>
      <c r="B29" t="n">
        <v>476</v>
      </c>
      <c r="C29" t="n">
        <v>1601</v>
      </c>
      <c r="D29" t="n">
        <v>4549</v>
      </c>
      <c r="E29" t="n">
        <v>1856</v>
      </c>
      <c r="F29" t="n">
        <v>11617</v>
      </c>
      <c r="G29" t="n">
        <v>11230</v>
      </c>
      <c r="H29" t="n">
        <v>10678</v>
      </c>
      <c r="I29" t="n">
        <v>10285</v>
      </c>
      <c r="J29" t="n">
        <v>9898</v>
      </c>
      <c r="K29" t="n">
        <v>9555</v>
      </c>
      <c r="L29" t="n">
        <v>5776</v>
      </c>
      <c r="M29" t="n">
        <v>5106</v>
      </c>
      <c r="N29" t="n">
        <v>4424</v>
      </c>
      <c r="O29" t="n">
        <v>3203</v>
      </c>
      <c r="P29" t="n">
        <v>2954</v>
      </c>
      <c r="Q29" t="n">
        <v>2701</v>
      </c>
      <c r="R29" t="n">
        <v>8482</v>
      </c>
      <c r="S29" t="n">
        <v>63263</v>
      </c>
      <c r="T29" t="n">
        <v>15306</v>
      </c>
      <c r="U29" t="n">
        <v>8858</v>
      </c>
      <c r="V29" t="n">
        <v>95909</v>
      </c>
    </row>
    <row r="30">
      <c r="A30" t="inlineStr">
        <is>
          <t>-  Urban Area</t>
        </is>
      </c>
      <c r="B30" t="n">
        <v>147</v>
      </c>
      <c r="C30" t="n">
        <v>370</v>
      </c>
      <c r="D30" t="n">
        <v>894</v>
      </c>
      <c r="E30" t="n">
        <v>170</v>
      </c>
      <c r="F30" t="n">
        <v>1691</v>
      </c>
      <c r="G30" t="n">
        <v>1631</v>
      </c>
      <c r="H30" t="n">
        <v>1532</v>
      </c>
      <c r="I30" t="n">
        <v>1473</v>
      </c>
      <c r="J30" t="n">
        <v>1409</v>
      </c>
      <c r="K30" t="n">
        <v>1373</v>
      </c>
      <c r="L30" t="n">
        <v>1122</v>
      </c>
      <c r="M30" t="n">
        <v>1045</v>
      </c>
      <c r="N30" t="n">
        <v>951</v>
      </c>
      <c r="O30" t="n">
        <v>808</v>
      </c>
      <c r="P30" t="n">
        <v>788</v>
      </c>
      <c r="Q30" t="n">
        <v>767</v>
      </c>
      <c r="R30" t="n">
        <v>1581</v>
      </c>
      <c r="S30" t="n">
        <v>9109</v>
      </c>
      <c r="T30" t="n">
        <v>3118</v>
      </c>
      <c r="U30" t="n">
        <v>2363</v>
      </c>
      <c r="V30" t="n">
        <v>16171</v>
      </c>
    </row>
    <row r="31">
      <c r="A31" t="inlineStr">
        <is>
          <t>-  Rural Area</t>
        </is>
      </c>
      <c r="B31" t="n">
        <v>329</v>
      </c>
      <c r="C31" t="n">
        <v>1231</v>
      </c>
      <c r="D31" t="n">
        <v>3655</v>
      </c>
      <c r="E31" t="n">
        <v>1686</v>
      </c>
      <c r="F31" t="n">
        <v>9926</v>
      </c>
      <c r="G31" t="n">
        <v>9599</v>
      </c>
      <c r="H31" t="n">
        <v>9146</v>
      </c>
      <c r="I31" t="n">
        <v>8812</v>
      </c>
      <c r="J31" t="n">
        <v>8489</v>
      </c>
      <c r="K31" t="n">
        <v>8182</v>
      </c>
      <c r="L31" t="n">
        <v>4654</v>
      </c>
      <c r="M31" t="n">
        <v>4061</v>
      </c>
      <c r="N31" t="n">
        <v>3473</v>
      </c>
      <c r="O31" t="n">
        <v>2395</v>
      </c>
      <c r="P31" t="n">
        <v>2166</v>
      </c>
      <c r="Q31" t="n">
        <v>1934</v>
      </c>
      <c r="R31" t="n">
        <v>6901</v>
      </c>
      <c r="S31" t="n">
        <v>54154</v>
      </c>
      <c r="T31" t="n">
        <v>12188</v>
      </c>
      <c r="U31" t="n">
        <v>6495</v>
      </c>
      <c r="V31" t="n">
        <v>79738</v>
      </c>
    </row>
  </sheetData>
  <mergeCells count="7">
    <mergeCell ref="A1:W1"/>
    <mergeCell ref="R2:V2"/>
    <mergeCell ref="A2:A3"/>
    <mergeCell ref="B2:E2"/>
    <mergeCell ref="F2:K2"/>
    <mergeCell ref="L2:N2"/>
    <mergeCell ref="O2:Q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21.85546875" customWidth="1" min="2" max="2"/>
    <col width="19.85546875" customWidth="1" min="3" max="3"/>
    <col width="8.85546875" customWidth="1" min="4" max="4"/>
    <col width="8.7109375" customWidth="1" min="5" max="5"/>
    <col width="7.5703125" customWidth="1" min="6" max="6"/>
    <col width="8.7109375" customWidth="1" min="7" max="7"/>
    <col width="8.85546875" customWidth="1" min="8" max="8"/>
    <col width="8.7109375" customWidth="1" min="9" max="9"/>
    <col width="8.85546875" customWidth="1" min="10" max="10"/>
    <col width="8.7109375" customWidth="1" min="11" max="11"/>
    <col width="8.85546875" customWidth="1" min="12" max="12"/>
    <col width="8.7109375" customWidth="1" min="13" max="13"/>
  </cols>
  <sheetData>
    <row r="1">
      <c r="A1" t="inlineStr">
        <is>
          <t>Table 10: Number of Cluster schools and Schools in Pagoda</t>
        </is>
      </c>
    </row>
    <row r="2">
      <c r="A2" t="inlineStr">
        <is>
          <t>Province</t>
        </is>
      </c>
      <c r="B2" t="inlineStr">
        <is>
          <t>Number of Primary Schools</t>
        </is>
      </c>
      <c r="C2" t="inlineStr">
        <is>
          <t>Number of Cluster Schools</t>
        </is>
      </c>
      <c r="D2" t="inlineStr">
        <is>
          <t>Satelite School</t>
        </is>
      </c>
      <c r="F2" t="inlineStr">
        <is>
          <t>Number of schools in Pagoda</t>
        </is>
      </c>
    </row>
    <row r="3">
      <c r="D3" t="inlineStr">
        <is>
          <t>Schools</t>
        </is>
      </c>
      <c r="E3" t="inlineStr">
        <is>
          <t>Classes</t>
        </is>
      </c>
      <c r="F3" t="inlineStr">
        <is>
          <t>Pre school</t>
        </is>
      </c>
      <c r="H3" t="inlineStr">
        <is>
          <t>Primary School</t>
        </is>
      </c>
      <c r="J3" t="inlineStr">
        <is>
          <t>Junior high school</t>
        </is>
      </c>
      <c r="L3" t="inlineStr">
        <is>
          <t>Senior high school</t>
        </is>
      </c>
    </row>
    <row r="4">
      <c r="F4" t="inlineStr">
        <is>
          <t>Schools</t>
        </is>
      </c>
      <c r="G4" t="inlineStr">
        <is>
          <t>Classes</t>
        </is>
      </c>
      <c r="H4" t="inlineStr">
        <is>
          <t>Schools</t>
        </is>
      </c>
      <c r="I4" t="inlineStr">
        <is>
          <t>Classes</t>
        </is>
      </c>
      <c r="J4" t="inlineStr">
        <is>
          <t>Schools</t>
        </is>
      </c>
      <c r="K4" t="inlineStr">
        <is>
          <t>Classes</t>
        </is>
      </c>
      <c r="L4" t="inlineStr">
        <is>
          <t>Schools</t>
        </is>
      </c>
      <c r="M4" t="inlineStr">
        <is>
          <t>Classes</t>
        </is>
      </c>
    </row>
    <row r="5">
      <c r="A5" t="inlineStr">
        <is>
          <t>Banteay Meanchey</t>
        </is>
      </c>
      <c r="B5" t="n">
        <v>410</v>
      </c>
      <c r="C5" t="n">
        <v>86</v>
      </c>
      <c r="D5" t="n">
        <v>324</v>
      </c>
      <c r="E5" t="n">
        <v>2255</v>
      </c>
      <c r="F5" t="n">
        <v>6</v>
      </c>
      <c r="G5" t="n">
        <v>7</v>
      </c>
      <c r="H5" t="n">
        <v>10</v>
      </c>
      <c r="I5" t="n">
        <v>75</v>
      </c>
      <c r="J5" t="n">
        <v>1</v>
      </c>
      <c r="K5" t="n">
        <v>4</v>
      </c>
      <c r="L5" t="n">
        <v>0</v>
      </c>
      <c r="M5" t="n">
        <v>0</v>
      </c>
    </row>
    <row r="6">
      <c r="A6" t="inlineStr">
        <is>
          <t>Battambang</t>
        </is>
      </c>
      <c r="B6" t="n">
        <v>654</v>
      </c>
      <c r="C6" t="n">
        <v>155</v>
      </c>
      <c r="D6" t="n">
        <v>499</v>
      </c>
      <c r="E6" t="n">
        <v>3660</v>
      </c>
      <c r="F6" t="n">
        <v>23</v>
      </c>
      <c r="G6" t="n">
        <v>40</v>
      </c>
      <c r="H6" t="n">
        <v>29</v>
      </c>
      <c r="I6" t="n">
        <v>283</v>
      </c>
      <c r="J6" t="n">
        <v>3</v>
      </c>
      <c r="K6" t="n">
        <v>27</v>
      </c>
      <c r="L6" t="n">
        <v>0</v>
      </c>
      <c r="M6" t="n">
        <v>0</v>
      </c>
    </row>
    <row r="7">
      <c r="A7" t="inlineStr">
        <is>
          <t>Kampong Cham</t>
        </is>
      </c>
      <c r="B7" t="n">
        <v>407</v>
      </c>
      <c r="C7" t="n">
        <v>66</v>
      </c>
      <c r="D7" t="n">
        <v>341</v>
      </c>
      <c r="E7" t="n">
        <v>3013</v>
      </c>
      <c r="F7" t="n">
        <v>47</v>
      </c>
      <c r="G7" t="n">
        <v>77</v>
      </c>
      <c r="H7" t="n">
        <v>82</v>
      </c>
      <c r="I7" t="n">
        <v>675</v>
      </c>
      <c r="J7" t="n">
        <v>5</v>
      </c>
      <c r="K7" t="n">
        <v>27</v>
      </c>
      <c r="L7" t="n">
        <v>2</v>
      </c>
      <c r="M7" t="n">
        <v>42</v>
      </c>
    </row>
    <row r="8">
      <c r="A8" t="inlineStr">
        <is>
          <t>Kampong Chhnang</t>
        </is>
      </c>
      <c r="B8" t="n">
        <v>279</v>
      </c>
      <c r="C8" t="n">
        <v>48</v>
      </c>
      <c r="D8" t="n">
        <v>231</v>
      </c>
      <c r="E8" t="n">
        <v>1695</v>
      </c>
      <c r="F8" t="n">
        <v>9</v>
      </c>
      <c r="G8" t="n">
        <v>17</v>
      </c>
      <c r="H8" t="n">
        <v>27</v>
      </c>
      <c r="I8" t="n">
        <v>215</v>
      </c>
      <c r="J8" t="n">
        <v>7</v>
      </c>
      <c r="K8" t="n">
        <v>32</v>
      </c>
      <c r="L8" t="n">
        <v>0</v>
      </c>
      <c r="M8" t="n">
        <v>0</v>
      </c>
    </row>
    <row r="9">
      <c r="A9" t="inlineStr">
        <is>
          <t>Kampong Speu</t>
        </is>
      </c>
      <c r="B9" t="n">
        <v>316</v>
      </c>
      <c r="C9" t="n">
        <v>49</v>
      </c>
      <c r="D9" t="n">
        <v>267</v>
      </c>
      <c r="E9" t="n">
        <v>2204</v>
      </c>
      <c r="F9" t="n">
        <v>15</v>
      </c>
      <c r="G9" t="n">
        <v>19</v>
      </c>
      <c r="H9" t="n">
        <v>28</v>
      </c>
      <c r="I9" t="n">
        <v>244</v>
      </c>
      <c r="J9" t="n">
        <v>1</v>
      </c>
      <c r="K9" t="n">
        <v>5</v>
      </c>
      <c r="L9" t="n">
        <v>1</v>
      </c>
      <c r="M9" t="n">
        <v>15</v>
      </c>
    </row>
    <row r="10">
      <c r="A10" t="inlineStr">
        <is>
          <t>Kampong Thom</t>
        </is>
      </c>
      <c r="B10" t="n">
        <v>494</v>
      </c>
      <c r="C10" t="n">
        <v>88</v>
      </c>
      <c r="D10" t="n">
        <v>406</v>
      </c>
      <c r="E10" t="n">
        <v>2602</v>
      </c>
      <c r="F10" t="n">
        <v>24</v>
      </c>
      <c r="G10" t="n">
        <v>31</v>
      </c>
      <c r="H10" t="n">
        <v>47</v>
      </c>
      <c r="I10" t="n">
        <v>325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Kampot</t>
        </is>
      </c>
      <c r="B11" t="n">
        <v>300</v>
      </c>
      <c r="C11" t="n">
        <v>61</v>
      </c>
      <c r="D11" t="n">
        <v>239</v>
      </c>
      <c r="E11" t="n">
        <v>1745</v>
      </c>
      <c r="F11" t="n">
        <v>107</v>
      </c>
      <c r="G11" t="n">
        <v>138</v>
      </c>
      <c r="H11" t="n">
        <v>153</v>
      </c>
      <c r="I11" t="n">
        <v>1282</v>
      </c>
      <c r="J11" t="n">
        <v>35</v>
      </c>
      <c r="K11" t="n">
        <v>185</v>
      </c>
      <c r="L11" t="n">
        <v>1</v>
      </c>
      <c r="M11" t="n">
        <v>13</v>
      </c>
    </row>
    <row r="12">
      <c r="A12" t="inlineStr">
        <is>
          <t>Kandal</t>
        </is>
      </c>
      <c r="B12" t="n">
        <v>373</v>
      </c>
      <c r="C12" t="n">
        <v>79</v>
      </c>
      <c r="D12" t="n">
        <v>496</v>
      </c>
      <c r="E12" t="n">
        <v>3420</v>
      </c>
      <c r="F12" t="n">
        <v>69</v>
      </c>
      <c r="G12" t="n">
        <v>139</v>
      </c>
      <c r="H12" t="n">
        <v>114</v>
      </c>
      <c r="I12" t="n">
        <v>1267</v>
      </c>
      <c r="J12" t="n">
        <v>18</v>
      </c>
      <c r="K12" t="n">
        <v>117</v>
      </c>
      <c r="L12" t="n">
        <v>4</v>
      </c>
      <c r="M12" t="n">
        <v>80</v>
      </c>
    </row>
    <row r="13">
      <c r="A13" t="inlineStr">
        <is>
          <t>Kep</t>
        </is>
      </c>
      <c r="B13" t="n">
        <v>22</v>
      </c>
      <c r="C13" t="n">
        <v>6</v>
      </c>
      <c r="D13" t="n">
        <v>16</v>
      </c>
      <c r="E13" t="n">
        <v>115</v>
      </c>
      <c r="F13" t="n">
        <v>5</v>
      </c>
      <c r="G13" t="n">
        <v>9</v>
      </c>
      <c r="H13" t="n">
        <v>5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Koh Kong</t>
        </is>
      </c>
      <c r="B14" t="n">
        <v>121</v>
      </c>
      <c r="C14" t="n">
        <v>23</v>
      </c>
      <c r="D14" t="n">
        <v>98</v>
      </c>
      <c r="E14" t="n">
        <v>583</v>
      </c>
      <c r="F14" t="n">
        <v>2</v>
      </c>
      <c r="G14" t="n">
        <v>2</v>
      </c>
      <c r="H14" t="n">
        <v>3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Kratie</t>
        </is>
      </c>
      <c r="B15" t="n">
        <v>285</v>
      </c>
      <c r="C15" t="n">
        <v>52</v>
      </c>
      <c r="D15" t="n">
        <v>233</v>
      </c>
      <c r="E15" t="n">
        <v>1702</v>
      </c>
      <c r="F15" t="n">
        <v>16</v>
      </c>
      <c r="G15" t="n">
        <v>28</v>
      </c>
      <c r="H15" t="n">
        <v>27</v>
      </c>
      <c r="I15" t="n">
        <v>213</v>
      </c>
      <c r="J15" t="n">
        <v>4</v>
      </c>
      <c r="K15" t="n">
        <v>18</v>
      </c>
      <c r="L15" t="n">
        <v>1</v>
      </c>
      <c r="M15" t="n">
        <v>25</v>
      </c>
    </row>
    <row r="16">
      <c r="A16" t="inlineStr">
        <is>
          <t>Mondul Kiri</t>
        </is>
      </c>
      <c r="B16" t="n">
        <v>88</v>
      </c>
      <c r="C16" t="n">
        <v>11</v>
      </c>
      <c r="D16" t="n">
        <v>77</v>
      </c>
      <c r="E16" t="n">
        <v>562</v>
      </c>
      <c r="F16" t="n">
        <v>1</v>
      </c>
      <c r="G16" t="n">
        <v>1</v>
      </c>
      <c r="H16" t="n">
        <v>1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Otdar Meanchey</t>
        </is>
      </c>
      <c r="B17" t="n">
        <v>219</v>
      </c>
      <c r="C17" t="n">
        <v>28</v>
      </c>
      <c r="D17" t="n">
        <v>191</v>
      </c>
      <c r="E17" t="n">
        <v>1304</v>
      </c>
      <c r="F17" t="n">
        <v>3</v>
      </c>
      <c r="G17" t="n">
        <v>3</v>
      </c>
      <c r="H17" t="n">
        <v>1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Pailin</t>
        </is>
      </c>
      <c r="B18" t="n">
        <v>48</v>
      </c>
      <c r="C18" t="n">
        <v>8</v>
      </c>
      <c r="D18" t="n">
        <v>40</v>
      </c>
      <c r="E18" t="n">
        <v>278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Phnom Penh</t>
        </is>
      </c>
      <c r="B19" t="n">
        <v>164</v>
      </c>
      <c r="C19" t="n">
        <v>52</v>
      </c>
      <c r="D19" t="n">
        <v>112</v>
      </c>
      <c r="E19" t="n">
        <v>1761</v>
      </c>
      <c r="F19" t="n">
        <v>32</v>
      </c>
      <c r="G19" t="n">
        <v>39</v>
      </c>
      <c r="H19" t="n">
        <v>44</v>
      </c>
      <c r="I19" t="n">
        <v>527</v>
      </c>
      <c r="J19" t="n">
        <v>4</v>
      </c>
      <c r="K19" t="n">
        <v>38</v>
      </c>
      <c r="L19" t="n">
        <v>1</v>
      </c>
      <c r="M19" t="n">
        <v>17</v>
      </c>
    </row>
    <row r="20">
      <c r="A20" t="inlineStr">
        <is>
          <t>Preah Sihanouk</t>
        </is>
      </c>
      <c r="B20" t="n">
        <v>72</v>
      </c>
      <c r="C20" t="n">
        <v>13</v>
      </c>
      <c r="D20" t="n">
        <v>59</v>
      </c>
      <c r="E20" t="n">
        <v>618</v>
      </c>
      <c r="F20" t="n">
        <v>7</v>
      </c>
      <c r="G20" t="n">
        <v>8</v>
      </c>
      <c r="H20" t="n">
        <v>6</v>
      </c>
      <c r="I20" t="n">
        <v>75</v>
      </c>
      <c r="J20" t="n">
        <v>2</v>
      </c>
      <c r="K20" t="n">
        <v>12</v>
      </c>
      <c r="L20" t="n">
        <v>0</v>
      </c>
      <c r="M20" t="n">
        <v>0</v>
      </c>
    </row>
    <row r="21">
      <c r="A21" t="inlineStr">
        <is>
          <t>Preah Vihear</t>
        </is>
      </c>
      <c r="B21" t="n">
        <v>229</v>
      </c>
      <c r="C21" t="n">
        <v>34</v>
      </c>
      <c r="D21" t="n">
        <v>195</v>
      </c>
      <c r="E21" t="n">
        <v>1257</v>
      </c>
      <c r="F21" t="n">
        <v>0</v>
      </c>
      <c r="G21" t="n">
        <v>0</v>
      </c>
      <c r="H21" t="n">
        <v>2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Prey Veng</t>
        </is>
      </c>
      <c r="B22" t="n">
        <v>547</v>
      </c>
      <c r="C22" t="n">
        <v>98</v>
      </c>
      <c r="D22" t="n">
        <v>449</v>
      </c>
      <c r="E22" t="n">
        <v>3444</v>
      </c>
      <c r="F22" t="n">
        <v>96</v>
      </c>
      <c r="G22" t="n">
        <v>138</v>
      </c>
      <c r="H22" t="n">
        <v>137</v>
      </c>
      <c r="I22" t="n">
        <v>1094</v>
      </c>
      <c r="J22" t="n">
        <v>13</v>
      </c>
      <c r="K22" t="n">
        <v>90</v>
      </c>
      <c r="L22" t="n">
        <v>1</v>
      </c>
      <c r="M22" t="n">
        <v>37</v>
      </c>
    </row>
    <row r="23">
      <c r="A23" t="inlineStr">
        <is>
          <t>Pursat</t>
        </is>
      </c>
      <c r="B23" t="n">
        <v>306</v>
      </c>
      <c r="C23" t="n">
        <v>50</v>
      </c>
      <c r="D23" t="n">
        <v>256</v>
      </c>
      <c r="E23" t="n">
        <v>1688</v>
      </c>
      <c r="F23" t="n">
        <v>4</v>
      </c>
      <c r="G23" t="n">
        <v>5</v>
      </c>
      <c r="H23" t="n">
        <v>5</v>
      </c>
      <c r="I23" t="n">
        <v>36</v>
      </c>
      <c r="J23" t="n">
        <v>1</v>
      </c>
      <c r="K23" t="n">
        <v>12</v>
      </c>
      <c r="L23" t="n">
        <v>0</v>
      </c>
      <c r="M23" t="n">
        <v>0</v>
      </c>
    </row>
    <row r="24">
      <c r="A24" t="inlineStr">
        <is>
          <t>Ratanak Kiri</t>
        </is>
      </c>
      <c r="B24" t="n">
        <v>226</v>
      </c>
      <c r="C24" t="n">
        <v>38</v>
      </c>
      <c r="D24" t="n">
        <v>188</v>
      </c>
      <c r="E24" t="n">
        <v>1112</v>
      </c>
      <c r="F24" t="n">
        <v>1</v>
      </c>
      <c r="G24" t="n">
        <v>1</v>
      </c>
      <c r="H24" t="n">
        <v>4</v>
      </c>
      <c r="I24" t="n">
        <v>16</v>
      </c>
      <c r="J24" t="n">
        <v>1</v>
      </c>
      <c r="K24" t="n">
        <v>8</v>
      </c>
      <c r="L24" t="n">
        <v>0</v>
      </c>
      <c r="M24" t="n">
        <v>0</v>
      </c>
    </row>
    <row r="25">
      <c r="A25" t="inlineStr">
        <is>
          <t>Siemreap</t>
        </is>
      </c>
      <c r="B25" t="n">
        <v>522</v>
      </c>
      <c r="C25" t="n">
        <v>84</v>
      </c>
      <c r="D25" t="n">
        <v>438</v>
      </c>
      <c r="E25" t="n">
        <v>3454</v>
      </c>
      <c r="F25" t="n">
        <v>18</v>
      </c>
      <c r="G25" t="n">
        <v>33</v>
      </c>
      <c r="H25" t="n">
        <v>21</v>
      </c>
      <c r="I25" t="n">
        <v>190</v>
      </c>
      <c r="J25" t="n">
        <v>1</v>
      </c>
      <c r="K25" t="n">
        <v>22</v>
      </c>
      <c r="L25" t="n">
        <v>1</v>
      </c>
      <c r="M25" t="n">
        <v>9</v>
      </c>
    </row>
    <row r="26">
      <c r="A26" t="inlineStr">
        <is>
          <t>Stung Treng</t>
        </is>
      </c>
      <c r="B26" t="n">
        <v>174</v>
      </c>
      <c r="C26" t="n">
        <v>23</v>
      </c>
      <c r="D26" t="n">
        <v>151</v>
      </c>
      <c r="E26" t="n">
        <v>1266</v>
      </c>
      <c r="F26" t="n">
        <v>1</v>
      </c>
      <c r="G26" t="n">
        <v>10</v>
      </c>
      <c r="H26" t="n">
        <v>1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Svay Rieng</t>
        </is>
      </c>
      <c r="B27" t="n">
        <v>262</v>
      </c>
      <c r="C27" t="n">
        <v>40</v>
      </c>
      <c r="D27" t="n">
        <v>222</v>
      </c>
      <c r="E27" t="n">
        <v>1707</v>
      </c>
      <c r="F27" t="n">
        <v>27</v>
      </c>
      <c r="G27" t="n">
        <v>36</v>
      </c>
      <c r="H27" t="n">
        <v>61</v>
      </c>
      <c r="I27" t="n">
        <v>441</v>
      </c>
      <c r="J27" t="n">
        <v>1</v>
      </c>
      <c r="K27" t="n">
        <v>7</v>
      </c>
      <c r="L27" t="n">
        <v>0</v>
      </c>
      <c r="M27" t="n">
        <v>0</v>
      </c>
    </row>
    <row r="28">
      <c r="A28" t="inlineStr">
        <is>
          <t>Takeo</t>
        </is>
      </c>
      <c r="B28" t="n">
        <v>382</v>
      </c>
      <c r="C28" t="n">
        <v>79</v>
      </c>
      <c r="D28" t="n">
        <v>303</v>
      </c>
      <c r="E28" t="n">
        <v>2585</v>
      </c>
      <c r="F28" t="n">
        <v>80</v>
      </c>
      <c r="G28" t="n">
        <v>120</v>
      </c>
      <c r="H28" t="n">
        <v>117</v>
      </c>
      <c r="I28" t="n">
        <v>1017</v>
      </c>
      <c r="J28" t="n">
        <v>18</v>
      </c>
      <c r="K28" t="n">
        <v>100</v>
      </c>
      <c r="L28" t="n">
        <v>2</v>
      </c>
      <c r="M28" t="n">
        <v>47</v>
      </c>
    </row>
    <row r="29">
      <c r="A29" t="inlineStr">
        <is>
          <t>Tbaung Khmum</t>
        </is>
      </c>
      <c r="B29" t="n">
        <v>406</v>
      </c>
      <c r="C29" t="n">
        <v>71</v>
      </c>
      <c r="D29" t="n">
        <v>335</v>
      </c>
      <c r="E29" t="n">
        <v>2451</v>
      </c>
      <c r="F29" t="n">
        <v>25</v>
      </c>
      <c r="G29" t="n">
        <v>66</v>
      </c>
      <c r="H29" t="n">
        <v>46</v>
      </c>
      <c r="I29" t="n">
        <v>325</v>
      </c>
      <c r="J29" t="n">
        <v>3</v>
      </c>
      <c r="K29" t="n">
        <v>16</v>
      </c>
      <c r="L29" t="n">
        <v>2</v>
      </c>
      <c r="M29" t="n">
        <v>36</v>
      </c>
    </row>
    <row r="30">
      <c r="A30" t="inlineStr">
        <is>
          <t>Whole Kingdom</t>
        </is>
      </c>
      <c r="B30" t="n">
        <v>7306</v>
      </c>
      <c r="C30" t="n">
        <v>1342</v>
      </c>
      <c r="D30" t="n">
        <v>6166</v>
      </c>
      <c r="E30" t="n">
        <v>46481</v>
      </c>
      <c r="F30" t="n">
        <v>619</v>
      </c>
      <c r="G30" t="n">
        <v>968</v>
      </c>
      <c r="H30" t="n">
        <v>972</v>
      </c>
      <c r="I30" t="n">
        <v>8406</v>
      </c>
      <c r="J30" t="n">
        <v>118</v>
      </c>
      <c r="K30" t="n">
        <v>720</v>
      </c>
      <c r="L30" t="n">
        <v>16</v>
      </c>
      <c r="M30" t="n">
        <v>321</v>
      </c>
    </row>
    <row r="31">
      <c r="A31" t="inlineStr">
        <is>
          <t>-  Urban Area</t>
        </is>
      </c>
      <c r="B31" t="n">
        <v>684</v>
      </c>
      <c r="C31" t="n">
        <v>159</v>
      </c>
      <c r="D31" t="n">
        <v>534</v>
      </c>
      <c r="E31" t="n">
        <v>5684</v>
      </c>
      <c r="F31" t="n">
        <v>67</v>
      </c>
      <c r="G31" t="n">
        <v>96</v>
      </c>
      <c r="H31" t="n">
        <v>93</v>
      </c>
      <c r="I31" t="n">
        <v>994</v>
      </c>
      <c r="J31" t="n">
        <v>9</v>
      </c>
      <c r="K31" t="n">
        <v>80</v>
      </c>
      <c r="L31" t="n">
        <v>2</v>
      </c>
      <c r="M31" t="n">
        <v>35</v>
      </c>
    </row>
    <row r="32">
      <c r="A32" t="inlineStr">
        <is>
          <t>-  Rural Area</t>
        </is>
      </c>
      <c r="B32" t="n">
        <v>6622</v>
      </c>
      <c r="C32" t="n">
        <v>1183</v>
      </c>
      <c r="D32" t="n">
        <v>5632</v>
      </c>
      <c r="E32" t="n">
        <v>40797</v>
      </c>
      <c r="F32" t="n">
        <v>552</v>
      </c>
      <c r="G32" t="n">
        <v>872</v>
      </c>
      <c r="H32" t="n">
        <v>879</v>
      </c>
      <c r="I32" t="n">
        <v>7412</v>
      </c>
      <c r="J32" t="n">
        <v>109</v>
      </c>
      <c r="K32" t="n">
        <v>640</v>
      </c>
      <c r="L32" t="n">
        <v>14</v>
      </c>
      <c r="M32" t="n">
        <v>286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" customWidth="1" min="2" max="2"/>
    <col width="7.85546875" customWidth="1" min="3" max="3"/>
    <col width="7.28515625" customWidth="1" min="4" max="4"/>
    <col width="7.7109375" customWidth="1" min="5" max="5"/>
    <col width="7.85546875" customWidth="1" min="6" max="6"/>
    <col width="7.5703125" customWidth="1" min="8" max="8"/>
    <col width="8.5703125" customWidth="1" min="9" max="9"/>
    <col width="8.7109375" customWidth="1" min="10" max="10"/>
    <col width="7.140625" customWidth="1" min="11" max="11"/>
    <col width="8.7109375" customWidth="1" min="12" max="12"/>
    <col width="9.140625" customWidth="1" min="13" max="13"/>
    <col width="8.7109375" customWidth="1" min="14" max="14"/>
    <col width="7.140625" customWidth="1" min="15" max="15"/>
  </cols>
  <sheetData>
    <row r="1">
      <c r="A1" t="inlineStr">
        <is>
          <t>Table 9: Characteristics of Schools and School Principals</t>
        </is>
      </c>
    </row>
    <row r="2">
      <c r="A2" t="inlineStr">
        <is>
          <t>Province</t>
        </is>
      </c>
      <c r="B2" t="inlineStr">
        <is>
          <t>Number of Schools</t>
        </is>
      </c>
      <c r="F2" t="inlineStr">
        <is>
          <t>2 - Shift</t>
        </is>
      </c>
      <c r="G2" t="inlineStr">
        <is>
          <t>Floating</t>
        </is>
      </c>
      <c r="H2" t="inlineStr">
        <is>
          <t>Schools</t>
        </is>
      </c>
      <c r="I2" t="inlineStr">
        <is>
          <t>Attached</t>
        </is>
      </c>
      <c r="J2" t="inlineStr">
        <is>
          <t>Schools Without</t>
        </is>
      </c>
      <c r="L2" t="inlineStr">
        <is>
          <t>Characteristics of School Principals (Incharge)</t>
        </is>
      </c>
    </row>
    <row r="3">
      <c r="B3" t="inlineStr">
        <is>
          <t>Pre-Sch.</t>
        </is>
      </c>
      <c r="C3" t="inlineStr">
        <is>
          <t>Primary</t>
        </is>
      </c>
      <c r="D3" t="inlineStr">
        <is>
          <t>College</t>
        </is>
      </c>
      <c r="E3" t="inlineStr">
        <is>
          <t>Lycee</t>
        </is>
      </c>
      <c r="F3" t="inlineStr">
        <is>
          <t>Schools</t>
        </is>
      </c>
      <c r="G3" t="inlineStr">
        <is>
          <t>Schools</t>
        </is>
      </c>
      <c r="H3" t="inlineStr">
        <is>
          <t>in Pagoda</t>
        </is>
      </c>
      <c r="I3" t="inlineStr">
        <is>
          <t>Pre-Sch.</t>
        </is>
      </c>
      <c r="J3" t="inlineStr">
        <is>
          <t>Water Sup.</t>
        </is>
      </c>
      <c r="K3" t="inlineStr">
        <is>
          <t>Latrine</t>
        </is>
      </c>
      <c r="L3" t="inlineStr">
        <is>
          <t>Avg. Age</t>
        </is>
      </c>
      <c r="M3" t="inlineStr">
        <is>
          <t>Avg.Service</t>
        </is>
      </c>
      <c r="N3" t="inlineStr">
        <is>
          <t>U.Sec+ Ed.</t>
        </is>
      </c>
      <c r="O3" t="inlineStr">
        <is>
          <t>Female</t>
        </is>
      </c>
    </row>
    <row r="4">
      <c r="A4" t="inlineStr">
        <is>
          <t>Banteay Meanchey</t>
        </is>
      </c>
      <c r="B4" t="n">
        <v>328</v>
      </c>
      <c r="C4" t="n">
        <v>410</v>
      </c>
      <c r="D4" t="n">
        <v>54</v>
      </c>
      <c r="E4" t="n">
        <v>30</v>
      </c>
      <c r="F4" t="n">
        <v>255</v>
      </c>
      <c r="G4" t="n">
        <v>0</v>
      </c>
      <c r="H4" t="n">
        <v>17</v>
      </c>
      <c r="I4" t="n">
        <v>307</v>
      </c>
      <c r="J4" t="n">
        <v>520</v>
      </c>
      <c r="K4" t="n">
        <v>366</v>
      </c>
      <c r="L4" t="n">
        <v>46</v>
      </c>
      <c r="M4" t="n">
        <v>23.5</v>
      </c>
      <c r="N4" t="n">
        <v>577</v>
      </c>
      <c r="O4" t="n">
        <v>106</v>
      </c>
    </row>
    <row r="5">
      <c r="A5" t="inlineStr">
        <is>
          <t>Battambang</t>
        </is>
      </c>
      <c r="B5" t="n">
        <v>389</v>
      </c>
      <c r="C5" t="n">
        <v>654</v>
      </c>
      <c r="D5" t="n">
        <v>98</v>
      </c>
      <c r="E5" t="n">
        <v>29</v>
      </c>
      <c r="F5" t="n">
        <v>571</v>
      </c>
      <c r="G5" t="n">
        <v>5</v>
      </c>
      <c r="H5" t="n">
        <v>55</v>
      </c>
      <c r="I5" t="n">
        <v>363</v>
      </c>
      <c r="J5" t="n">
        <v>787</v>
      </c>
      <c r="K5" t="n">
        <v>373</v>
      </c>
      <c r="L5" t="n">
        <v>42.7</v>
      </c>
      <c r="M5" t="n">
        <v>22.8</v>
      </c>
      <c r="N5" t="n">
        <v>935</v>
      </c>
      <c r="O5" t="n">
        <v>250</v>
      </c>
    </row>
    <row r="6">
      <c r="A6" t="inlineStr">
        <is>
          <t>Kampong Cham</t>
        </is>
      </c>
      <c r="B6" t="n">
        <v>289</v>
      </c>
      <c r="C6" t="n">
        <v>407</v>
      </c>
      <c r="D6" t="n">
        <v>81</v>
      </c>
      <c r="E6" t="n">
        <v>43</v>
      </c>
      <c r="F6" t="n">
        <v>313</v>
      </c>
      <c r="G6" t="n">
        <v>0</v>
      </c>
      <c r="H6" t="n">
        <v>136</v>
      </c>
      <c r="I6" t="n">
        <v>283</v>
      </c>
      <c r="J6" t="n">
        <v>379</v>
      </c>
      <c r="K6" t="n">
        <v>349</v>
      </c>
      <c r="L6" t="n">
        <v>46.1</v>
      </c>
      <c r="M6" t="n">
        <v>27.3</v>
      </c>
      <c r="N6" t="n">
        <v>501</v>
      </c>
      <c r="O6" t="n">
        <v>113</v>
      </c>
    </row>
    <row r="7">
      <c r="A7" t="inlineStr">
        <is>
          <t>Kampong Chhnang</t>
        </is>
      </c>
      <c r="B7" t="n">
        <v>115</v>
      </c>
      <c r="C7" t="n">
        <v>279</v>
      </c>
      <c r="D7" t="n">
        <v>62</v>
      </c>
      <c r="E7" t="n">
        <v>16</v>
      </c>
      <c r="F7" t="n">
        <v>185</v>
      </c>
      <c r="G7" t="n">
        <v>4</v>
      </c>
      <c r="H7" t="n">
        <v>43</v>
      </c>
      <c r="I7" t="n">
        <v>97</v>
      </c>
      <c r="J7" t="n">
        <v>298</v>
      </c>
      <c r="K7" t="n">
        <v>97</v>
      </c>
      <c r="L7" t="n">
        <v>42</v>
      </c>
      <c r="M7" t="n">
        <v>23.3</v>
      </c>
      <c r="N7" t="n">
        <v>381</v>
      </c>
      <c r="O7" t="n">
        <v>77</v>
      </c>
    </row>
    <row r="8">
      <c r="A8" t="inlineStr">
        <is>
          <t>Kampong Speu</t>
        </is>
      </c>
      <c r="B8" t="n">
        <v>218</v>
      </c>
      <c r="C8" t="n">
        <v>316</v>
      </c>
      <c r="D8" t="n">
        <v>72</v>
      </c>
      <c r="E8" t="n">
        <v>25</v>
      </c>
      <c r="F8" t="n">
        <v>232</v>
      </c>
      <c r="G8" t="n">
        <v>0</v>
      </c>
      <c r="H8" t="n">
        <v>45</v>
      </c>
      <c r="I8" t="n">
        <v>214</v>
      </c>
      <c r="J8" t="n">
        <v>318</v>
      </c>
      <c r="K8" t="n">
        <v>219</v>
      </c>
      <c r="L8" t="n">
        <v>43.5</v>
      </c>
      <c r="M8" t="n">
        <v>23.6</v>
      </c>
      <c r="N8" t="n">
        <v>456</v>
      </c>
      <c r="O8" t="n">
        <v>53</v>
      </c>
    </row>
    <row r="9">
      <c r="A9" t="inlineStr">
        <is>
          <t>Kampong Thom</t>
        </is>
      </c>
      <c r="B9" t="n">
        <v>214</v>
      </c>
      <c r="C9" t="n">
        <v>494</v>
      </c>
      <c r="D9" t="n">
        <v>67</v>
      </c>
      <c r="E9" t="n">
        <v>25</v>
      </c>
      <c r="F9" t="n">
        <v>315</v>
      </c>
      <c r="G9" t="n">
        <v>6</v>
      </c>
      <c r="H9" t="n">
        <v>71</v>
      </c>
      <c r="I9" t="n">
        <v>214</v>
      </c>
      <c r="J9" t="n">
        <v>485</v>
      </c>
      <c r="K9" t="n">
        <v>237</v>
      </c>
      <c r="L9" t="n">
        <v>35.3</v>
      </c>
      <c r="M9" t="n">
        <v>22.2</v>
      </c>
      <c r="N9" t="n">
        <v>607</v>
      </c>
      <c r="O9" t="n">
        <v>153</v>
      </c>
    </row>
    <row r="10">
      <c r="A10" t="inlineStr">
        <is>
          <t>Kampot</t>
        </is>
      </c>
      <c r="B10" t="n">
        <v>202</v>
      </c>
      <c r="C10" t="n">
        <v>310</v>
      </c>
      <c r="D10" t="n">
        <v>76</v>
      </c>
      <c r="E10" t="n">
        <v>24</v>
      </c>
      <c r="F10" t="n">
        <v>171</v>
      </c>
      <c r="G10" t="n">
        <v>0</v>
      </c>
      <c r="H10" t="n">
        <v>296</v>
      </c>
      <c r="I10" t="n">
        <v>197</v>
      </c>
      <c r="J10" t="n">
        <v>406</v>
      </c>
      <c r="K10" t="n">
        <v>194</v>
      </c>
      <c r="L10" t="n">
        <v>45.1</v>
      </c>
      <c r="M10" t="n">
        <v>26.3</v>
      </c>
      <c r="N10" t="n">
        <v>508</v>
      </c>
      <c r="O10" t="n">
        <v>33</v>
      </c>
    </row>
    <row r="11">
      <c r="A11" t="inlineStr">
        <is>
          <t>Kandal</t>
        </is>
      </c>
      <c r="B11" t="n">
        <v>248</v>
      </c>
      <c r="C11" t="n">
        <v>373</v>
      </c>
      <c r="D11" t="n">
        <v>100</v>
      </c>
      <c r="E11" t="n">
        <v>40</v>
      </c>
      <c r="F11" t="n">
        <v>309</v>
      </c>
      <c r="G11" t="n">
        <v>0</v>
      </c>
      <c r="H11" t="n">
        <v>205</v>
      </c>
      <c r="I11" t="n">
        <v>219</v>
      </c>
      <c r="J11" t="n">
        <v>279</v>
      </c>
      <c r="K11" t="n">
        <v>233</v>
      </c>
      <c r="L11" t="n">
        <v>45.7</v>
      </c>
      <c r="M11" t="n">
        <v>27.1</v>
      </c>
      <c r="N11" t="n">
        <v>534</v>
      </c>
      <c r="O11" t="n">
        <v>134</v>
      </c>
    </row>
    <row r="12">
      <c r="A12" t="inlineStr">
        <is>
          <t>Kep</t>
        </is>
      </c>
      <c r="B12" t="n">
        <v>22</v>
      </c>
      <c r="C12" t="n">
        <v>22</v>
      </c>
      <c r="D12" t="n">
        <v>4</v>
      </c>
      <c r="E12" t="n">
        <v>2</v>
      </c>
      <c r="F12" t="n">
        <v>10</v>
      </c>
      <c r="G12" t="n">
        <v>0</v>
      </c>
      <c r="H12" t="n">
        <v>10</v>
      </c>
      <c r="I12" t="n">
        <v>22</v>
      </c>
      <c r="J12" t="n">
        <v>29</v>
      </c>
      <c r="K12" t="n">
        <v>22</v>
      </c>
      <c r="L12" t="n">
        <v>44.4</v>
      </c>
      <c r="M12" t="n">
        <v>23.6</v>
      </c>
      <c r="N12" t="n">
        <v>42</v>
      </c>
      <c r="O12" t="n">
        <v>4</v>
      </c>
    </row>
    <row r="13">
      <c r="A13" t="inlineStr">
        <is>
          <t>Koh Kong</t>
        </is>
      </c>
      <c r="B13" t="n">
        <v>71</v>
      </c>
      <c r="C13" t="n">
        <v>121</v>
      </c>
      <c r="D13" t="n">
        <v>19</v>
      </c>
      <c r="E13" t="n">
        <v>12</v>
      </c>
      <c r="F13" t="n">
        <v>71</v>
      </c>
      <c r="G13" t="n">
        <v>0</v>
      </c>
      <c r="H13" t="n">
        <v>5</v>
      </c>
      <c r="I13" t="n">
        <v>71</v>
      </c>
      <c r="J13" t="n">
        <v>154</v>
      </c>
      <c r="K13" t="n">
        <v>94</v>
      </c>
      <c r="L13" t="n">
        <v>37.8</v>
      </c>
      <c r="M13" t="n">
        <v>18.3</v>
      </c>
      <c r="N13" t="n">
        <v>175</v>
      </c>
      <c r="O13" t="n">
        <v>14</v>
      </c>
    </row>
    <row r="14">
      <c r="A14" t="inlineStr">
        <is>
          <t>Kratie</t>
        </is>
      </c>
      <c r="B14" t="n">
        <v>106</v>
      </c>
      <c r="C14" t="n">
        <v>285</v>
      </c>
      <c r="D14" t="n">
        <v>42</v>
      </c>
      <c r="E14" t="n">
        <v>13</v>
      </c>
      <c r="F14" t="n">
        <v>205</v>
      </c>
      <c r="G14" t="n">
        <v>0</v>
      </c>
      <c r="H14" t="n">
        <v>48</v>
      </c>
      <c r="I14" t="n">
        <v>97</v>
      </c>
      <c r="J14" t="n">
        <v>274</v>
      </c>
      <c r="K14" t="n">
        <v>157</v>
      </c>
      <c r="L14" t="n">
        <v>41.2</v>
      </c>
      <c r="M14" t="n">
        <v>21.9</v>
      </c>
      <c r="N14" t="n">
        <v>276</v>
      </c>
      <c r="O14" t="n">
        <v>85</v>
      </c>
    </row>
    <row r="15">
      <c r="A15" t="inlineStr">
        <is>
          <t>Mondul Kiri</t>
        </is>
      </c>
      <c r="B15" t="n">
        <v>30</v>
      </c>
      <c r="C15" t="n">
        <v>88</v>
      </c>
      <c r="D15" t="n">
        <v>8</v>
      </c>
      <c r="E15" t="n">
        <v>6</v>
      </c>
      <c r="F15" t="n">
        <v>49</v>
      </c>
      <c r="G15" t="n">
        <v>0</v>
      </c>
      <c r="H15" t="n">
        <v>2</v>
      </c>
      <c r="I15" t="n">
        <v>26</v>
      </c>
      <c r="J15" t="n">
        <v>109</v>
      </c>
      <c r="K15" t="n">
        <v>31</v>
      </c>
      <c r="L15" t="n">
        <v>36.3</v>
      </c>
      <c r="M15" t="n">
        <v>17.7</v>
      </c>
      <c r="N15" t="n">
        <v>69</v>
      </c>
      <c r="O15" t="n">
        <v>29</v>
      </c>
    </row>
    <row r="16">
      <c r="A16" t="inlineStr">
        <is>
          <t>Otdar Meanchey</t>
        </is>
      </c>
      <c r="B16" t="n">
        <v>108</v>
      </c>
      <c r="C16" t="n">
        <v>219</v>
      </c>
      <c r="D16" t="n">
        <v>30</v>
      </c>
      <c r="E16" t="n">
        <v>9</v>
      </c>
      <c r="F16" t="n">
        <v>91</v>
      </c>
      <c r="G16" t="n">
        <v>0</v>
      </c>
      <c r="H16" t="n">
        <v>4</v>
      </c>
      <c r="I16" t="n">
        <v>108</v>
      </c>
      <c r="J16" t="n">
        <v>212</v>
      </c>
      <c r="K16" t="n">
        <v>133</v>
      </c>
      <c r="L16" t="n">
        <v>39.6</v>
      </c>
      <c r="M16" t="n">
        <v>18.7</v>
      </c>
      <c r="N16" t="n">
        <v>220</v>
      </c>
      <c r="O16" t="n">
        <v>22</v>
      </c>
    </row>
    <row r="17">
      <c r="A17" t="inlineStr">
        <is>
          <t>Pailin</t>
        </is>
      </c>
      <c r="B17" t="n">
        <v>25</v>
      </c>
      <c r="C17" t="n">
        <v>48</v>
      </c>
      <c r="D17" t="n">
        <v>7</v>
      </c>
      <c r="E17" t="n">
        <v>2</v>
      </c>
      <c r="F17" t="n">
        <v>29</v>
      </c>
      <c r="G17" t="n">
        <v>0</v>
      </c>
      <c r="H17" t="n">
        <v>2</v>
      </c>
      <c r="I17" t="n">
        <v>23</v>
      </c>
      <c r="J17" t="n">
        <v>60</v>
      </c>
      <c r="K17" t="n">
        <v>30</v>
      </c>
      <c r="L17" t="n">
        <v>40</v>
      </c>
      <c r="M17" t="n">
        <v>20.2</v>
      </c>
      <c r="N17" t="n">
        <v>68</v>
      </c>
      <c r="O17" t="n">
        <v>16</v>
      </c>
    </row>
    <row r="18">
      <c r="A18" t="inlineStr">
        <is>
          <t>Phnom Penh</t>
        </is>
      </c>
      <c r="B18" t="n">
        <v>148</v>
      </c>
      <c r="C18" t="n">
        <v>164</v>
      </c>
      <c r="D18" t="n">
        <v>27</v>
      </c>
      <c r="E18" t="n">
        <v>41</v>
      </c>
      <c r="F18" t="n">
        <v>158</v>
      </c>
      <c r="G18" t="n">
        <v>0</v>
      </c>
      <c r="H18" t="n">
        <v>81</v>
      </c>
      <c r="I18" t="n">
        <v>128</v>
      </c>
      <c r="J18" t="n">
        <v>103</v>
      </c>
      <c r="K18" t="n">
        <v>137</v>
      </c>
      <c r="L18" t="n">
        <v>47.6</v>
      </c>
      <c r="M18" t="n">
        <v>28.8</v>
      </c>
      <c r="N18" t="n">
        <v>318</v>
      </c>
      <c r="O18" t="n">
        <v>63</v>
      </c>
    </row>
    <row r="19">
      <c r="A19" t="inlineStr">
        <is>
          <t>Preah Sihanouk</t>
        </is>
      </c>
      <c r="B19" t="n">
        <v>60</v>
      </c>
      <c r="C19" t="n">
        <v>72</v>
      </c>
      <c r="D19" t="n">
        <v>18</v>
      </c>
      <c r="E19" t="n">
        <v>9</v>
      </c>
      <c r="F19" t="n">
        <v>60</v>
      </c>
      <c r="G19" t="n">
        <v>0</v>
      </c>
      <c r="H19" t="n">
        <v>15</v>
      </c>
      <c r="I19" t="n">
        <v>59</v>
      </c>
      <c r="J19" t="n">
        <v>81</v>
      </c>
      <c r="K19" t="n">
        <v>54</v>
      </c>
      <c r="L19" t="n">
        <v>42.5</v>
      </c>
      <c r="M19" t="n">
        <v>23.5</v>
      </c>
      <c r="N19" t="n">
        <v>138</v>
      </c>
      <c r="O19" t="n">
        <v>21</v>
      </c>
    </row>
    <row r="20">
      <c r="A20" t="inlineStr">
        <is>
          <t>Preah Vihear</t>
        </is>
      </c>
      <c r="B20" t="n">
        <v>116</v>
      </c>
      <c r="C20" t="n">
        <v>229</v>
      </c>
      <c r="D20" t="n">
        <v>48</v>
      </c>
      <c r="E20" t="n">
        <v>18</v>
      </c>
      <c r="F20" t="n">
        <v>51</v>
      </c>
      <c r="G20" t="n">
        <v>0</v>
      </c>
      <c r="H20" t="n">
        <v>2</v>
      </c>
      <c r="I20" t="n">
        <v>109</v>
      </c>
      <c r="J20" t="n">
        <v>266</v>
      </c>
      <c r="K20" t="n">
        <v>149</v>
      </c>
      <c r="L20" t="n">
        <v>37.5</v>
      </c>
      <c r="M20" t="n">
        <v>17.5</v>
      </c>
      <c r="N20" t="n">
        <v>270</v>
      </c>
      <c r="O20" t="n">
        <v>69</v>
      </c>
    </row>
    <row r="21">
      <c r="A21" t="inlineStr">
        <is>
          <t>Prey Veng</t>
        </is>
      </c>
      <c r="B21" t="n">
        <v>399</v>
      </c>
      <c r="C21" t="n">
        <v>547</v>
      </c>
      <c r="D21" t="n">
        <v>93</v>
      </c>
      <c r="E21" t="n">
        <v>32</v>
      </c>
      <c r="F21" t="n">
        <v>453</v>
      </c>
      <c r="G21" t="n">
        <v>0</v>
      </c>
      <c r="H21" t="n">
        <v>247</v>
      </c>
      <c r="I21" t="n">
        <v>382</v>
      </c>
      <c r="J21" t="n">
        <v>628</v>
      </c>
      <c r="K21" t="n">
        <v>424</v>
      </c>
      <c r="L21" t="n">
        <v>45.3</v>
      </c>
      <c r="M21" t="n">
        <v>26.2</v>
      </c>
      <c r="N21" t="n">
        <v>689</v>
      </c>
      <c r="O21" t="n">
        <v>117</v>
      </c>
    </row>
    <row r="22">
      <c r="A22" t="inlineStr">
        <is>
          <t>Pursat</t>
        </is>
      </c>
      <c r="B22" t="n">
        <v>185</v>
      </c>
      <c r="C22" t="n">
        <v>306</v>
      </c>
      <c r="D22" t="n">
        <v>44</v>
      </c>
      <c r="E22" t="n">
        <v>16</v>
      </c>
      <c r="F22" t="n">
        <v>208</v>
      </c>
      <c r="G22" t="n">
        <v>12</v>
      </c>
      <c r="H22" t="n">
        <v>10</v>
      </c>
      <c r="I22" t="n">
        <v>164</v>
      </c>
      <c r="J22" t="n">
        <v>419</v>
      </c>
      <c r="K22" t="n">
        <v>177</v>
      </c>
      <c r="L22" t="n">
        <v>43.1</v>
      </c>
      <c r="M22" t="n">
        <v>24.3</v>
      </c>
      <c r="N22" t="n">
        <v>401</v>
      </c>
      <c r="O22" t="n">
        <v>81</v>
      </c>
    </row>
    <row r="23">
      <c r="A23" t="inlineStr">
        <is>
          <t>Ratanak Kiri</t>
        </is>
      </c>
      <c r="B23" t="n">
        <v>68</v>
      </c>
      <c r="C23" t="n">
        <v>226</v>
      </c>
      <c r="D23" t="n">
        <v>22</v>
      </c>
      <c r="E23" t="n">
        <v>12</v>
      </c>
      <c r="F23" t="n">
        <v>132</v>
      </c>
      <c r="G23" t="n">
        <v>0</v>
      </c>
      <c r="H23" t="n">
        <v>6</v>
      </c>
      <c r="I23" t="n">
        <v>67</v>
      </c>
      <c r="J23" t="n">
        <v>195</v>
      </c>
      <c r="K23" t="n">
        <v>106</v>
      </c>
      <c r="L23" t="n">
        <v>34.8</v>
      </c>
      <c r="M23" t="n">
        <v>15.1</v>
      </c>
      <c r="N23" t="n">
        <v>225</v>
      </c>
      <c r="O23" t="n">
        <v>39</v>
      </c>
    </row>
    <row r="24">
      <c r="A24" t="inlineStr">
        <is>
          <t>Siemreap</t>
        </is>
      </c>
      <c r="B24" t="n">
        <v>463</v>
      </c>
      <c r="C24" t="n">
        <v>522</v>
      </c>
      <c r="D24" t="n">
        <v>80</v>
      </c>
      <c r="E24" t="n">
        <v>44</v>
      </c>
      <c r="F24" t="n">
        <v>379</v>
      </c>
      <c r="G24" t="n">
        <v>4</v>
      </c>
      <c r="H24" t="n">
        <v>41</v>
      </c>
      <c r="I24" t="n">
        <v>436</v>
      </c>
      <c r="J24" t="n">
        <v>663</v>
      </c>
      <c r="K24" t="n">
        <v>519</v>
      </c>
      <c r="L24" t="n">
        <v>39.8</v>
      </c>
      <c r="M24" t="n">
        <v>20.1</v>
      </c>
      <c r="N24" t="n">
        <v>773</v>
      </c>
      <c r="O24" t="n">
        <v>256</v>
      </c>
    </row>
    <row r="25">
      <c r="A25" t="inlineStr">
        <is>
          <t>Stung Treng</t>
        </is>
      </c>
      <c r="B25" t="n">
        <v>46</v>
      </c>
      <c r="C25" t="n">
        <v>174</v>
      </c>
      <c r="D25" t="n">
        <v>30</v>
      </c>
      <c r="E25" t="n">
        <v>9</v>
      </c>
      <c r="F25" t="n">
        <v>117</v>
      </c>
      <c r="G25" t="n">
        <v>0</v>
      </c>
      <c r="H25" t="n">
        <v>2</v>
      </c>
      <c r="I25" t="n">
        <v>45</v>
      </c>
      <c r="J25" t="n">
        <v>186</v>
      </c>
      <c r="K25" t="n">
        <v>82</v>
      </c>
      <c r="L25" t="n">
        <v>36.8</v>
      </c>
      <c r="M25" t="n">
        <v>16.9</v>
      </c>
      <c r="N25" t="n">
        <v>159</v>
      </c>
      <c r="O25" t="n">
        <v>49</v>
      </c>
    </row>
    <row r="26">
      <c r="A26" t="inlineStr">
        <is>
          <t>Svay Rieng</t>
        </is>
      </c>
      <c r="B26" t="n">
        <v>175</v>
      </c>
      <c r="C26" t="n">
        <v>262</v>
      </c>
      <c r="D26" t="n">
        <v>53</v>
      </c>
      <c r="E26" t="n">
        <v>21</v>
      </c>
      <c r="F26" t="n">
        <v>156</v>
      </c>
      <c r="G26" t="n">
        <v>0</v>
      </c>
      <c r="H26" t="n">
        <v>89</v>
      </c>
      <c r="I26" t="n">
        <v>169</v>
      </c>
      <c r="J26" t="n">
        <v>356</v>
      </c>
      <c r="K26" t="n">
        <v>215</v>
      </c>
      <c r="L26" t="n">
        <v>45.5</v>
      </c>
      <c r="M26" t="n">
        <v>27.1</v>
      </c>
      <c r="N26" t="n">
        <v>418</v>
      </c>
      <c r="O26" t="n">
        <v>52</v>
      </c>
    </row>
    <row r="27">
      <c r="A27" t="inlineStr">
        <is>
          <t>Takeo</t>
        </is>
      </c>
      <c r="B27" t="n">
        <v>301</v>
      </c>
      <c r="C27" t="n">
        <v>382</v>
      </c>
      <c r="D27" t="n">
        <v>66</v>
      </c>
      <c r="E27" t="n">
        <v>53</v>
      </c>
      <c r="F27" t="n">
        <v>185</v>
      </c>
      <c r="G27" t="n">
        <v>0</v>
      </c>
      <c r="H27" t="n">
        <v>217</v>
      </c>
      <c r="I27" t="n">
        <v>297</v>
      </c>
      <c r="J27" t="n">
        <v>445</v>
      </c>
      <c r="K27" t="n">
        <v>289</v>
      </c>
      <c r="L27" t="n">
        <v>39.9</v>
      </c>
      <c r="M27" t="n">
        <v>28.4</v>
      </c>
      <c r="N27" t="n">
        <v>622</v>
      </c>
      <c r="O27" t="n">
        <v>62</v>
      </c>
    </row>
    <row r="28">
      <c r="A28" t="inlineStr">
        <is>
          <t>Tbaung Khmum</t>
        </is>
      </c>
      <c r="B28" t="n">
        <v>237</v>
      </c>
      <c r="C28" t="n">
        <v>406</v>
      </c>
      <c r="D28" t="n">
        <v>52</v>
      </c>
      <c r="E28" t="n">
        <v>28</v>
      </c>
      <c r="F28" t="n">
        <v>286</v>
      </c>
      <c r="G28" t="n">
        <v>0</v>
      </c>
      <c r="H28" t="n">
        <v>76</v>
      </c>
      <c r="I28" t="n">
        <v>233</v>
      </c>
      <c r="J28" t="n">
        <v>377</v>
      </c>
      <c r="K28" t="n">
        <v>244</v>
      </c>
      <c r="L28" t="n">
        <v>43.8</v>
      </c>
      <c r="M28" t="n">
        <v>22.2</v>
      </c>
      <c r="N28" t="n">
        <v>506</v>
      </c>
      <c r="O28" t="n">
        <v>93</v>
      </c>
    </row>
    <row r="29">
      <c r="A29" t="inlineStr">
        <is>
          <t>Whole Kingdom</t>
        </is>
      </c>
      <c r="B29" t="n">
        <v>4563</v>
      </c>
      <c r="C29" t="n">
        <v>7306</v>
      </c>
      <c r="D29" t="n">
        <v>1253</v>
      </c>
      <c r="E29" t="n">
        <v>559</v>
      </c>
      <c r="F29" t="n">
        <v>4991</v>
      </c>
      <c r="G29" t="n">
        <v>31</v>
      </c>
      <c r="H29" t="n">
        <v>1725</v>
      </c>
      <c r="I29" t="n">
        <v>4330</v>
      </c>
      <c r="J29" t="n">
        <v>8029</v>
      </c>
      <c r="K29" t="n">
        <v>4931</v>
      </c>
      <c r="L29" t="n">
        <v>42.3</v>
      </c>
      <c r="M29" t="n">
        <v>23.5</v>
      </c>
      <c r="N29" t="n">
        <v>9868</v>
      </c>
      <c r="O29" t="n">
        <v>1991</v>
      </c>
    </row>
    <row r="30">
      <c r="A30" t="inlineStr">
        <is>
          <t>-  Urban Area</t>
        </is>
      </c>
      <c r="B30" t="n">
        <v>536</v>
      </c>
      <c r="C30" t="n">
        <v>684</v>
      </c>
      <c r="D30" t="n">
        <v>128</v>
      </c>
      <c r="E30" t="n">
        <v>116</v>
      </c>
      <c r="F30" t="n">
        <v>495</v>
      </c>
      <c r="G30" t="n">
        <v>0</v>
      </c>
      <c r="H30" t="n">
        <v>171</v>
      </c>
      <c r="I30" t="n">
        <v>473</v>
      </c>
      <c r="J30" t="n">
        <v>574</v>
      </c>
      <c r="K30" t="n">
        <v>499</v>
      </c>
      <c r="L30" t="n">
        <v>41.4</v>
      </c>
      <c r="M30" t="n">
        <v>26.5</v>
      </c>
      <c r="N30" t="n">
        <v>1178</v>
      </c>
      <c r="O30" t="n">
        <v>328</v>
      </c>
    </row>
    <row r="31">
      <c r="A31" t="inlineStr">
        <is>
          <t>-  Rural Area</t>
        </is>
      </c>
      <c r="B31" t="n">
        <v>4027</v>
      </c>
      <c r="C31" t="n">
        <v>6622</v>
      </c>
      <c r="D31" t="n">
        <v>1125</v>
      </c>
      <c r="E31" t="n">
        <v>443</v>
      </c>
      <c r="F31" t="n">
        <v>4496</v>
      </c>
      <c r="G31" t="n">
        <v>31</v>
      </c>
      <c r="H31" t="n">
        <v>1554</v>
      </c>
      <c r="I31" t="n">
        <v>3857</v>
      </c>
      <c r="J31" t="n">
        <v>7455</v>
      </c>
      <c r="K31" t="n">
        <v>4432</v>
      </c>
      <c r="L31" t="n">
        <v>42.4</v>
      </c>
      <c r="M31" t="n">
        <v>23.2</v>
      </c>
      <c r="N31" t="n">
        <v>8690</v>
      </c>
      <c r="O31" t="n">
        <v>1663</v>
      </c>
    </row>
  </sheetData>
  <mergeCells count="5">
    <mergeCell ref="A1:P1"/>
    <mergeCell ref="J2:K2"/>
    <mergeCell ref="L2:O2"/>
    <mergeCell ref="A2:A3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28515625" customWidth="1" min="2" max="2"/>
    <col width="9" customWidth="1" min="3" max="3"/>
    <col width="7.7109375" customWidth="1" min="4" max="4"/>
    <col width="8.5703125" customWidth="1" min="13" max="13"/>
  </cols>
  <sheetData>
    <row r="1">
      <c r="A1" t="inlineStr">
        <is>
          <t>Table 11: Number of Schools by Highest Grade Taught</t>
        </is>
      </c>
    </row>
    <row r="2">
      <c r="A2" t="inlineStr">
        <is>
          <t>Province</t>
        </is>
      </c>
      <c r="B2" t="inlineStr">
        <is>
          <t>Pre-school</t>
        </is>
      </c>
      <c r="D2" t="inlineStr">
        <is>
          <t>Primary</t>
        </is>
      </c>
      <c r="J2" t="inlineStr">
        <is>
          <t>College</t>
        </is>
      </c>
      <c r="M2" t="inlineStr">
        <is>
          <t>Lycee</t>
        </is>
      </c>
    </row>
    <row r="3">
      <c r="B3" t="inlineStr">
        <is>
          <t>Total</t>
        </is>
      </c>
      <c r="C3" t="inlineStr">
        <is>
          <t>Mixed Step</t>
        </is>
      </c>
      <c r="D3" t="inlineStr">
        <is>
          <t>Grade 1</t>
        </is>
      </c>
      <c r="E3" t="inlineStr">
        <is>
          <t>Grade 2</t>
        </is>
      </c>
      <c r="F3" t="inlineStr">
        <is>
          <t>Grade 3</t>
        </is>
      </c>
      <c r="G3" t="inlineStr">
        <is>
          <t>Grade 4</t>
        </is>
      </c>
      <c r="H3" t="inlineStr">
        <is>
          <t>Grade 5</t>
        </is>
      </c>
      <c r="I3" t="inlineStr">
        <is>
          <t>Grade 6</t>
        </is>
      </c>
      <c r="J3" t="inlineStr">
        <is>
          <t>Grade 7</t>
        </is>
      </c>
      <c r="K3" t="inlineStr">
        <is>
          <t>Grade 8</t>
        </is>
      </c>
      <c r="L3" t="inlineStr">
        <is>
          <t>Grade 9</t>
        </is>
      </c>
      <c r="M3" t="inlineStr">
        <is>
          <t>Grade 10</t>
        </is>
      </c>
      <c r="N3" t="inlineStr">
        <is>
          <t>Grade 11</t>
        </is>
      </c>
      <c r="O3" t="inlineStr">
        <is>
          <t>Grade 12</t>
        </is>
      </c>
    </row>
    <row r="4">
      <c r="A4" t="inlineStr">
        <is>
          <t>Banteay Meanchey</t>
        </is>
      </c>
      <c r="B4" t="n">
        <v>328</v>
      </c>
      <c r="C4" t="n">
        <v>179</v>
      </c>
      <c r="D4" t="n">
        <v>0</v>
      </c>
      <c r="E4" t="n">
        <v>3</v>
      </c>
      <c r="F4" t="n">
        <v>4</v>
      </c>
      <c r="G4" t="n">
        <v>6</v>
      </c>
      <c r="H4" t="n">
        <v>4</v>
      </c>
      <c r="I4" t="n">
        <v>393</v>
      </c>
      <c r="J4" t="n">
        <v>0</v>
      </c>
      <c r="K4" t="n">
        <v>0</v>
      </c>
      <c r="L4" t="n">
        <v>54</v>
      </c>
      <c r="M4" t="n">
        <v>1</v>
      </c>
      <c r="N4" t="n">
        <v>1</v>
      </c>
      <c r="O4" t="n">
        <v>28</v>
      </c>
    </row>
    <row r="5">
      <c r="A5" t="inlineStr">
        <is>
          <t>Battambang</t>
        </is>
      </c>
      <c r="B5" t="n">
        <v>389</v>
      </c>
      <c r="C5" t="n">
        <v>170</v>
      </c>
      <c r="D5" t="n">
        <v>2</v>
      </c>
      <c r="E5" t="n">
        <v>3</v>
      </c>
      <c r="F5" t="n">
        <v>4</v>
      </c>
      <c r="G5" t="n">
        <v>10</v>
      </c>
      <c r="H5" t="n">
        <v>7</v>
      </c>
      <c r="I5" t="n">
        <v>628</v>
      </c>
      <c r="J5" t="n">
        <v>1</v>
      </c>
      <c r="K5" t="n">
        <v>1</v>
      </c>
      <c r="L5" t="n">
        <v>96</v>
      </c>
      <c r="M5" t="n">
        <v>0</v>
      </c>
      <c r="N5" t="n">
        <v>0</v>
      </c>
      <c r="O5" t="n">
        <v>29</v>
      </c>
    </row>
    <row r="6">
      <c r="A6" t="inlineStr">
        <is>
          <t>Kampong Cham</t>
        </is>
      </c>
      <c r="B6" t="n">
        <v>289</v>
      </c>
      <c r="C6" t="n">
        <v>42</v>
      </c>
      <c r="D6" t="n">
        <v>1</v>
      </c>
      <c r="E6" t="n">
        <v>4</v>
      </c>
      <c r="F6" t="n">
        <v>2</v>
      </c>
      <c r="G6" t="n">
        <v>4</v>
      </c>
      <c r="H6" t="n">
        <v>1</v>
      </c>
      <c r="I6" t="n">
        <v>395</v>
      </c>
      <c r="J6" t="n">
        <v>0</v>
      </c>
      <c r="K6" t="n">
        <v>0</v>
      </c>
      <c r="L6" t="n">
        <v>81</v>
      </c>
      <c r="M6" t="n">
        <v>0</v>
      </c>
      <c r="N6" t="n">
        <v>0</v>
      </c>
      <c r="O6" t="n">
        <v>43</v>
      </c>
    </row>
    <row r="7">
      <c r="A7" t="inlineStr">
        <is>
          <t>Kampong Chhnang</t>
        </is>
      </c>
      <c r="B7" t="n">
        <v>115</v>
      </c>
      <c r="C7" t="n">
        <v>33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276</v>
      </c>
      <c r="J7" t="n">
        <v>0</v>
      </c>
      <c r="K7" t="n">
        <v>1</v>
      </c>
      <c r="L7" t="n">
        <v>61</v>
      </c>
      <c r="M7" t="n">
        <v>0</v>
      </c>
      <c r="N7" t="n">
        <v>0</v>
      </c>
      <c r="O7" t="n">
        <v>16</v>
      </c>
    </row>
    <row r="8">
      <c r="A8" t="inlineStr">
        <is>
          <t>Kampong Speu</t>
        </is>
      </c>
      <c r="B8" t="n">
        <v>218</v>
      </c>
      <c r="C8" t="n">
        <v>66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315</v>
      </c>
      <c r="J8" t="n">
        <v>1</v>
      </c>
      <c r="K8" t="n">
        <v>0</v>
      </c>
      <c r="L8" t="n">
        <v>71</v>
      </c>
      <c r="M8" t="n">
        <v>0</v>
      </c>
      <c r="N8" t="n">
        <v>1</v>
      </c>
      <c r="O8" t="n">
        <v>24</v>
      </c>
    </row>
    <row r="9">
      <c r="A9" t="inlineStr">
        <is>
          <t>Kampong Thom</t>
        </is>
      </c>
      <c r="B9" t="n">
        <v>214</v>
      </c>
      <c r="C9" t="n">
        <v>73</v>
      </c>
      <c r="D9" t="n">
        <v>3</v>
      </c>
      <c r="E9" t="n">
        <v>6</v>
      </c>
      <c r="F9" t="n">
        <v>12</v>
      </c>
      <c r="G9" t="n">
        <v>15</v>
      </c>
      <c r="H9" t="n">
        <v>9</v>
      </c>
      <c r="I9" t="n">
        <v>449</v>
      </c>
      <c r="J9" t="n">
        <v>0</v>
      </c>
      <c r="K9" t="n">
        <v>0</v>
      </c>
      <c r="L9" t="n">
        <v>67</v>
      </c>
      <c r="M9" t="n">
        <v>0</v>
      </c>
      <c r="N9" t="n">
        <v>0</v>
      </c>
      <c r="O9" t="n">
        <v>25</v>
      </c>
    </row>
    <row r="10">
      <c r="A10" t="inlineStr">
        <is>
          <t>Kampot</t>
        </is>
      </c>
      <c r="B10" t="n">
        <v>202</v>
      </c>
      <c r="C10" t="n">
        <v>35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297</v>
      </c>
      <c r="J10" t="n">
        <v>0</v>
      </c>
      <c r="K10" t="n">
        <v>0</v>
      </c>
      <c r="L10" t="n">
        <v>76</v>
      </c>
      <c r="M10" t="n">
        <v>0</v>
      </c>
      <c r="N10" t="n">
        <v>0</v>
      </c>
      <c r="O10" t="n">
        <v>24</v>
      </c>
    </row>
    <row r="11">
      <c r="A11" t="inlineStr">
        <is>
          <t>Kandal</t>
        </is>
      </c>
      <c r="B11" t="n">
        <v>248</v>
      </c>
      <c r="C11" t="n">
        <v>22</v>
      </c>
      <c r="D11" t="n">
        <v>0</v>
      </c>
      <c r="E11" t="n">
        <v>3</v>
      </c>
      <c r="F11" t="n">
        <v>1</v>
      </c>
      <c r="G11" t="n">
        <v>4</v>
      </c>
      <c r="H11" t="n">
        <v>0</v>
      </c>
      <c r="I11" t="n">
        <v>365</v>
      </c>
      <c r="J11" t="n">
        <v>0</v>
      </c>
      <c r="K11" t="n">
        <v>0</v>
      </c>
      <c r="L11" t="n">
        <v>100</v>
      </c>
      <c r="M11" t="n">
        <v>1</v>
      </c>
      <c r="N11" t="n">
        <v>0</v>
      </c>
      <c r="O11" t="n">
        <v>39</v>
      </c>
    </row>
    <row r="12">
      <c r="A12" t="inlineStr">
        <is>
          <t>Kep</t>
        </is>
      </c>
      <c r="B12" t="n">
        <v>22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2</v>
      </c>
    </row>
    <row r="13">
      <c r="A13" t="inlineStr">
        <is>
          <t>Koh Kong</t>
        </is>
      </c>
      <c r="B13" t="n">
        <v>71</v>
      </c>
      <c r="C13" t="n">
        <v>55</v>
      </c>
      <c r="D13" t="n">
        <v>0</v>
      </c>
      <c r="E13" t="n">
        <v>3</v>
      </c>
      <c r="F13" t="n">
        <v>4</v>
      </c>
      <c r="G13" t="n">
        <v>2</v>
      </c>
      <c r="H13" t="n">
        <v>0</v>
      </c>
      <c r="I13" t="n">
        <v>112</v>
      </c>
      <c r="J13" t="n">
        <v>0</v>
      </c>
      <c r="K13" t="n">
        <v>0</v>
      </c>
      <c r="L13" t="n">
        <v>19</v>
      </c>
      <c r="M13" t="n">
        <v>0</v>
      </c>
      <c r="N13" t="n">
        <v>0</v>
      </c>
      <c r="O13" t="n">
        <v>12</v>
      </c>
    </row>
    <row r="14">
      <c r="A14" t="inlineStr">
        <is>
          <t>Kratie</t>
        </is>
      </c>
      <c r="B14" t="n">
        <v>106</v>
      </c>
      <c r="C14" t="n">
        <v>28</v>
      </c>
      <c r="D14" t="n">
        <v>1</v>
      </c>
      <c r="E14" t="n">
        <v>5</v>
      </c>
      <c r="F14" t="n">
        <v>2</v>
      </c>
      <c r="G14" t="n">
        <v>4</v>
      </c>
      <c r="H14" t="n">
        <v>6</v>
      </c>
      <c r="I14" t="n">
        <v>267</v>
      </c>
      <c r="J14" t="n">
        <v>0</v>
      </c>
      <c r="K14" t="n">
        <v>0</v>
      </c>
      <c r="L14" t="n">
        <v>42</v>
      </c>
      <c r="M14" t="n">
        <v>1</v>
      </c>
      <c r="N14" t="n">
        <v>0</v>
      </c>
      <c r="O14" t="n">
        <v>12</v>
      </c>
    </row>
    <row r="15">
      <c r="A15" t="inlineStr">
        <is>
          <t>Mondul Kiri</t>
        </is>
      </c>
      <c r="B15" t="n">
        <v>30</v>
      </c>
      <c r="C15" t="n">
        <v>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88</v>
      </c>
      <c r="J15" t="n">
        <v>0</v>
      </c>
      <c r="K15" t="n">
        <v>0</v>
      </c>
      <c r="L15" t="n">
        <v>8</v>
      </c>
      <c r="M15" t="n">
        <v>0</v>
      </c>
      <c r="N15" t="n">
        <v>1</v>
      </c>
      <c r="O15" t="n">
        <v>5</v>
      </c>
    </row>
    <row r="16">
      <c r="A16" t="inlineStr">
        <is>
          <t>Otdar Meanchey</t>
        </is>
      </c>
      <c r="B16" t="n">
        <v>108</v>
      </c>
      <c r="C16" t="n">
        <v>56</v>
      </c>
      <c r="D16" t="n">
        <v>0</v>
      </c>
      <c r="E16" t="n">
        <v>0</v>
      </c>
      <c r="F16" t="n">
        <v>1</v>
      </c>
      <c r="G16" t="n">
        <v>6</v>
      </c>
      <c r="H16" t="n">
        <v>3</v>
      </c>
      <c r="I16" t="n">
        <v>209</v>
      </c>
      <c r="J16" t="n">
        <v>0</v>
      </c>
      <c r="K16" t="n">
        <v>1</v>
      </c>
      <c r="L16" t="n">
        <v>29</v>
      </c>
      <c r="M16" t="n">
        <v>0</v>
      </c>
      <c r="N16" t="n">
        <v>0</v>
      </c>
      <c r="O16" t="n">
        <v>9</v>
      </c>
    </row>
    <row r="17">
      <c r="A17" t="inlineStr">
        <is>
          <t>Pailin</t>
        </is>
      </c>
      <c r="B17" t="n">
        <v>25</v>
      </c>
      <c r="C17" t="n">
        <v>16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47</v>
      </c>
      <c r="J17" t="n">
        <v>0</v>
      </c>
      <c r="K17" t="n">
        <v>0</v>
      </c>
      <c r="L17" t="n">
        <v>7</v>
      </c>
      <c r="M17" t="n">
        <v>0</v>
      </c>
      <c r="N17" t="n">
        <v>0</v>
      </c>
      <c r="O17" t="n">
        <v>2</v>
      </c>
    </row>
    <row r="18">
      <c r="A18" t="inlineStr">
        <is>
          <t>Phnom Penh</t>
        </is>
      </c>
      <c r="B18" t="n">
        <v>148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162</v>
      </c>
      <c r="J18" t="n">
        <v>0</v>
      </c>
      <c r="K18" t="n">
        <v>1</v>
      </c>
      <c r="L18" t="n">
        <v>26</v>
      </c>
      <c r="M18" t="n">
        <v>0</v>
      </c>
      <c r="N18" t="n">
        <v>0</v>
      </c>
      <c r="O18" t="n">
        <v>41</v>
      </c>
    </row>
    <row r="19">
      <c r="A19" t="inlineStr">
        <is>
          <t>Preah Sihanouk</t>
        </is>
      </c>
      <c r="B19" t="n">
        <v>60</v>
      </c>
      <c r="C19" t="n">
        <v>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72</v>
      </c>
      <c r="J19" t="n">
        <v>0</v>
      </c>
      <c r="K19" t="n">
        <v>0</v>
      </c>
      <c r="L19" t="n">
        <v>18</v>
      </c>
      <c r="M19" t="n">
        <v>0</v>
      </c>
      <c r="N19" t="n">
        <v>0</v>
      </c>
      <c r="O19" t="n">
        <v>9</v>
      </c>
    </row>
    <row r="20">
      <c r="A20" t="inlineStr">
        <is>
          <t>Preah Vihear</t>
        </is>
      </c>
      <c r="B20" t="n">
        <v>116</v>
      </c>
      <c r="C20" t="n">
        <v>81</v>
      </c>
      <c r="D20" t="n">
        <v>0</v>
      </c>
      <c r="E20" t="n">
        <v>2</v>
      </c>
      <c r="F20" t="n">
        <v>5</v>
      </c>
      <c r="G20" t="n">
        <v>2</v>
      </c>
      <c r="H20" t="n">
        <v>4</v>
      </c>
      <c r="I20" t="n">
        <v>216</v>
      </c>
      <c r="J20" t="n">
        <v>1</v>
      </c>
      <c r="K20" t="n">
        <v>1</v>
      </c>
      <c r="L20" t="n">
        <v>46</v>
      </c>
      <c r="M20" t="n">
        <v>0</v>
      </c>
      <c r="N20" t="n">
        <v>2</v>
      </c>
      <c r="O20" t="n">
        <v>16</v>
      </c>
    </row>
    <row r="21">
      <c r="A21" t="inlineStr">
        <is>
          <t>Prey Veng</t>
        </is>
      </c>
      <c r="B21" t="n">
        <v>399</v>
      </c>
      <c r="C21" t="n">
        <v>20</v>
      </c>
      <c r="D21" t="n">
        <v>1</v>
      </c>
      <c r="E21" t="n">
        <v>2</v>
      </c>
      <c r="F21" t="n">
        <v>2</v>
      </c>
      <c r="G21" t="n">
        <v>6</v>
      </c>
      <c r="H21" t="n">
        <v>5</v>
      </c>
      <c r="I21" t="n">
        <v>531</v>
      </c>
      <c r="J21" t="n">
        <v>1</v>
      </c>
      <c r="K21" t="n">
        <v>0</v>
      </c>
      <c r="L21" t="n">
        <v>92</v>
      </c>
      <c r="M21" t="n">
        <v>0</v>
      </c>
      <c r="N21" t="n">
        <v>0</v>
      </c>
      <c r="O21" t="n">
        <v>32</v>
      </c>
    </row>
    <row r="22">
      <c r="A22" t="inlineStr">
        <is>
          <t>Pursat</t>
        </is>
      </c>
      <c r="B22" t="n">
        <v>185</v>
      </c>
      <c r="C22" t="n">
        <v>83</v>
      </c>
      <c r="D22" t="n">
        <v>1</v>
      </c>
      <c r="E22" t="n">
        <v>7</v>
      </c>
      <c r="F22" t="n">
        <v>5</v>
      </c>
      <c r="G22" t="n">
        <v>6</v>
      </c>
      <c r="H22" t="n">
        <v>8</v>
      </c>
      <c r="I22" t="n">
        <v>279</v>
      </c>
      <c r="J22" t="n">
        <v>0</v>
      </c>
      <c r="K22" t="n">
        <v>0</v>
      </c>
      <c r="L22" t="n">
        <v>44</v>
      </c>
      <c r="M22" t="n">
        <v>0</v>
      </c>
      <c r="N22" t="n">
        <v>0</v>
      </c>
      <c r="O22" t="n">
        <v>16</v>
      </c>
    </row>
    <row r="23">
      <c r="A23" t="inlineStr">
        <is>
          <t>Ratanak Kiri</t>
        </is>
      </c>
      <c r="B23" t="n">
        <v>68</v>
      </c>
      <c r="C23" t="n">
        <v>35</v>
      </c>
      <c r="D23" t="n">
        <v>0</v>
      </c>
      <c r="E23" t="n">
        <v>7</v>
      </c>
      <c r="F23" t="n">
        <v>6</v>
      </c>
      <c r="G23" t="n">
        <v>9</v>
      </c>
      <c r="H23" t="n">
        <v>22</v>
      </c>
      <c r="I23" t="n">
        <v>182</v>
      </c>
      <c r="J23" t="n">
        <v>4</v>
      </c>
      <c r="K23" t="n">
        <v>3</v>
      </c>
      <c r="L23" t="n">
        <v>15</v>
      </c>
      <c r="M23" t="n">
        <v>0</v>
      </c>
      <c r="N23" t="n">
        <v>1</v>
      </c>
      <c r="O23" t="n">
        <v>11</v>
      </c>
    </row>
    <row r="24">
      <c r="A24" t="inlineStr">
        <is>
          <t>Siemreap</t>
        </is>
      </c>
      <c r="B24" t="n">
        <v>463</v>
      </c>
      <c r="C24" t="n">
        <v>116</v>
      </c>
      <c r="D24" t="n">
        <v>1</v>
      </c>
      <c r="E24" t="n">
        <v>4</v>
      </c>
      <c r="F24" t="n">
        <v>2</v>
      </c>
      <c r="G24" t="n">
        <v>7</v>
      </c>
      <c r="H24" t="n">
        <v>4</v>
      </c>
      <c r="I24" t="n">
        <v>504</v>
      </c>
      <c r="J24" t="n">
        <v>1</v>
      </c>
      <c r="K24" t="n">
        <v>0</v>
      </c>
      <c r="L24" t="n">
        <v>78</v>
      </c>
      <c r="M24" t="n">
        <v>1</v>
      </c>
      <c r="N24" t="n">
        <v>3</v>
      </c>
      <c r="O24" t="n">
        <v>40</v>
      </c>
    </row>
    <row r="25">
      <c r="A25" t="inlineStr">
        <is>
          <t>Stung Treng</t>
        </is>
      </c>
      <c r="B25" t="n">
        <v>46</v>
      </c>
      <c r="C25" t="n">
        <v>20</v>
      </c>
      <c r="D25" t="n">
        <v>0</v>
      </c>
      <c r="E25" t="n">
        <v>0</v>
      </c>
      <c r="F25" t="n">
        <v>1</v>
      </c>
      <c r="G25" t="n">
        <v>2</v>
      </c>
      <c r="H25" t="n">
        <v>4</v>
      </c>
      <c r="I25" t="n">
        <v>167</v>
      </c>
      <c r="J25" t="n">
        <v>0</v>
      </c>
      <c r="K25" t="n">
        <v>1</v>
      </c>
      <c r="L25" t="n">
        <v>30</v>
      </c>
      <c r="M25" t="n">
        <v>0</v>
      </c>
      <c r="N25" t="n">
        <v>0</v>
      </c>
      <c r="O25" t="n">
        <v>8</v>
      </c>
    </row>
    <row r="26">
      <c r="A26" t="inlineStr">
        <is>
          <t>Svay Rieng</t>
        </is>
      </c>
      <c r="B26" t="n">
        <v>175</v>
      </c>
      <c r="C26" t="n">
        <v>75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258</v>
      </c>
      <c r="J26" t="n">
        <v>0</v>
      </c>
      <c r="K26" t="n">
        <v>0</v>
      </c>
      <c r="L26" t="n">
        <v>53</v>
      </c>
      <c r="M26" t="n">
        <v>1</v>
      </c>
      <c r="N26" t="n">
        <v>0</v>
      </c>
      <c r="O26" t="n">
        <v>20</v>
      </c>
    </row>
    <row r="27">
      <c r="A27" t="inlineStr">
        <is>
          <t>Takeo</t>
        </is>
      </c>
      <c r="B27" t="n">
        <v>301</v>
      </c>
      <c r="C27" t="n">
        <v>44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380</v>
      </c>
      <c r="J27" t="n">
        <v>0</v>
      </c>
      <c r="K27" t="n">
        <v>0</v>
      </c>
      <c r="L27" t="n">
        <v>66</v>
      </c>
      <c r="M27" t="n">
        <v>0</v>
      </c>
      <c r="N27" t="n">
        <v>1</v>
      </c>
      <c r="O27" t="n">
        <v>52</v>
      </c>
    </row>
    <row r="28">
      <c r="A28" t="inlineStr">
        <is>
          <t>Tbaung Khmum</t>
        </is>
      </c>
      <c r="B28" t="n">
        <v>237</v>
      </c>
      <c r="C28" t="n">
        <v>64</v>
      </c>
      <c r="D28" t="n">
        <v>1</v>
      </c>
      <c r="E28" t="n">
        <v>18</v>
      </c>
      <c r="F28" t="n">
        <v>6</v>
      </c>
      <c r="G28" t="n">
        <v>12</v>
      </c>
      <c r="H28" t="n">
        <v>10</v>
      </c>
      <c r="I28" t="n">
        <v>359</v>
      </c>
      <c r="J28" t="n">
        <v>0</v>
      </c>
      <c r="K28" t="n">
        <v>0</v>
      </c>
      <c r="L28" t="n">
        <v>52</v>
      </c>
      <c r="M28" t="n">
        <v>1</v>
      </c>
      <c r="N28" t="n">
        <v>0</v>
      </c>
      <c r="O28" t="n">
        <v>27</v>
      </c>
    </row>
    <row r="29">
      <c r="A29" t="inlineStr">
        <is>
          <t>Whole Kingdom</t>
        </is>
      </c>
      <c r="B29" t="n">
        <v>4563</v>
      </c>
      <c r="C29" t="n">
        <v>1385</v>
      </c>
      <c r="D29" t="n">
        <v>11</v>
      </c>
      <c r="E29" t="n">
        <v>69</v>
      </c>
      <c r="F29" t="n">
        <v>59</v>
      </c>
      <c r="G29" t="n">
        <v>101</v>
      </c>
      <c r="H29" t="n">
        <v>93</v>
      </c>
      <c r="I29" t="n">
        <v>6973</v>
      </c>
      <c r="J29" t="n">
        <v>9</v>
      </c>
      <c r="K29" t="n">
        <v>9</v>
      </c>
      <c r="L29" t="n">
        <v>1235</v>
      </c>
      <c r="M29" t="n">
        <v>6</v>
      </c>
      <c r="N29" t="n">
        <v>10</v>
      </c>
      <c r="O29" t="n">
        <v>542</v>
      </c>
    </row>
    <row r="30">
      <c r="A30" t="inlineStr">
        <is>
          <t>-  Urban Area</t>
        </is>
      </c>
      <c r="B30" t="n">
        <v>536</v>
      </c>
      <c r="C30" t="n">
        <v>131</v>
      </c>
      <c r="D30" t="n">
        <v>0</v>
      </c>
      <c r="E30" t="n">
        <v>3</v>
      </c>
      <c r="F30" t="n">
        <v>6</v>
      </c>
      <c r="G30" t="n">
        <v>6</v>
      </c>
      <c r="H30" t="n">
        <v>3</v>
      </c>
      <c r="I30" t="n">
        <v>666</v>
      </c>
      <c r="J30" t="n">
        <v>1</v>
      </c>
      <c r="K30" t="n">
        <v>1</v>
      </c>
      <c r="L30" t="n">
        <v>126</v>
      </c>
      <c r="M30" t="n">
        <v>0</v>
      </c>
      <c r="N30" t="n">
        <v>1</v>
      </c>
      <c r="O30" t="n">
        <v>115</v>
      </c>
    </row>
    <row r="31">
      <c r="A31" t="inlineStr">
        <is>
          <t>-  Rural Area</t>
        </is>
      </c>
      <c r="B31" t="n">
        <v>4027</v>
      </c>
      <c r="C31" t="n">
        <v>1254</v>
      </c>
      <c r="D31" t="n">
        <v>11</v>
      </c>
      <c r="E31" t="n">
        <v>66</v>
      </c>
      <c r="F31" t="n">
        <v>53</v>
      </c>
      <c r="G31" t="n">
        <v>95</v>
      </c>
      <c r="H31" t="n">
        <v>90</v>
      </c>
      <c r="I31" t="n">
        <v>6307</v>
      </c>
      <c r="J31" t="n">
        <v>8</v>
      </c>
      <c r="K31" t="n">
        <v>8</v>
      </c>
      <c r="L31" t="n">
        <v>1109</v>
      </c>
      <c r="M31" t="n">
        <v>6</v>
      </c>
      <c r="N31" t="n">
        <v>9</v>
      </c>
      <c r="O31" t="n">
        <v>427</v>
      </c>
    </row>
  </sheetData>
  <mergeCells count="6">
    <mergeCell ref="D2:I2"/>
    <mergeCell ref="J2:L2"/>
    <mergeCell ref="B2:C2"/>
    <mergeCell ref="A1:P1"/>
    <mergeCell ref="A2:A3"/>
    <mergeCell ref="M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16: Enrollment and Repeaters by Grade</t>
        </is>
      </c>
    </row>
    <row r="2">
      <c r="A2" t="inlineStr">
        <is>
          <t>Province</t>
        </is>
      </c>
      <c r="B2" t="inlineStr">
        <is>
          <t>Enrollment in Grade 1</t>
        </is>
      </c>
      <c r="D2" t="inlineStr">
        <is>
          <t>Repeaters in Grade 1</t>
        </is>
      </c>
      <c r="F2" t="inlineStr">
        <is>
          <t>Enrollment in Grade 2</t>
        </is>
      </c>
      <c r="H2" t="inlineStr">
        <is>
          <t>Repeaters in Grade 2</t>
        </is>
      </c>
      <c r="J2" t="inlineStr">
        <is>
          <t>Enrollment in Grade 3</t>
        </is>
      </c>
      <c r="L2" t="inlineStr">
        <is>
          <t>Repeaters in Grade 3</t>
        </is>
      </c>
      <c r="N2" t="inlineStr">
        <is>
          <t>Enrollment in Grade 4</t>
        </is>
      </c>
      <c r="P2" t="inlineStr">
        <is>
          <t>Repeaters in Grade 4</t>
        </is>
      </c>
      <c r="R2" t="inlineStr">
        <is>
          <t>Enrollment in Grade 5</t>
        </is>
      </c>
      <c r="T2" t="inlineStr">
        <is>
          <t>Repeaters in Grade 5</t>
        </is>
      </c>
      <c r="V2" t="inlineStr">
        <is>
          <t>Enrollment in Grade 6</t>
        </is>
      </c>
      <c r="X2" t="inlineStr">
        <is>
          <t>Repeaters in Grade 6</t>
        </is>
      </c>
      <c r="Z2" t="inlineStr">
        <is>
          <t>Enrollment in Grade 7</t>
        </is>
      </c>
      <c r="AB2" t="inlineStr">
        <is>
          <t>Repeaters in Grade 7</t>
        </is>
      </c>
      <c r="AD2" t="inlineStr">
        <is>
          <t>Enrollment in Grade 8</t>
        </is>
      </c>
      <c r="AF2" t="inlineStr">
        <is>
          <t>Repeaters in Grade 8</t>
        </is>
      </c>
      <c r="AH2" t="inlineStr">
        <is>
          <t>Enrollment in Grade 9</t>
        </is>
      </c>
      <c r="AJ2" t="inlineStr">
        <is>
          <t>Repeaters in Grade 9</t>
        </is>
      </c>
      <c r="AL2" t="inlineStr">
        <is>
          <t>Enrollment in Grade 10</t>
        </is>
      </c>
      <c r="AN2" t="inlineStr">
        <is>
          <t>Repeaters in Grade 10</t>
        </is>
      </c>
      <c r="AP2" t="inlineStr">
        <is>
          <t>Enrollment in Grade 11</t>
        </is>
      </c>
      <c r="AR2" t="inlineStr">
        <is>
          <t>Repeaters in Grade 11</t>
        </is>
      </c>
      <c r="AT2" t="inlineStr">
        <is>
          <t>Enrollment in Grade 12</t>
        </is>
      </c>
      <c r="AV2" t="inlineStr">
        <is>
          <t>Repeaters in Grade 12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  <c r="L3" t="inlineStr">
        <is>
          <t>Total</t>
        </is>
      </c>
      <c r="M3" t="inlineStr">
        <is>
          <t>Girl</t>
        </is>
      </c>
      <c r="N3" t="inlineStr">
        <is>
          <t>Total</t>
        </is>
      </c>
      <c r="O3" t="inlineStr">
        <is>
          <t>Girl</t>
        </is>
      </c>
      <c r="P3" t="inlineStr">
        <is>
          <t>Total</t>
        </is>
      </c>
      <c r="Q3" t="inlineStr">
        <is>
          <t>Girl</t>
        </is>
      </c>
      <c r="R3" t="inlineStr">
        <is>
          <t>Total</t>
        </is>
      </c>
      <c r="S3" t="inlineStr">
        <is>
          <t>Girl</t>
        </is>
      </c>
      <c r="T3" t="inlineStr">
        <is>
          <t>Total</t>
        </is>
      </c>
      <c r="U3" t="inlineStr">
        <is>
          <t>Girl</t>
        </is>
      </c>
      <c r="V3" t="inlineStr">
        <is>
          <t>Total</t>
        </is>
      </c>
      <c r="W3" t="inlineStr">
        <is>
          <t>Girl</t>
        </is>
      </c>
      <c r="X3" t="inlineStr">
        <is>
          <t>Total</t>
        </is>
      </c>
      <c r="Y3" t="inlineStr">
        <is>
          <t>Girl</t>
        </is>
      </c>
      <c r="Z3" t="inlineStr">
        <is>
          <t>Total</t>
        </is>
      </c>
      <c r="AA3" t="inlineStr">
        <is>
          <t>Girl</t>
        </is>
      </c>
      <c r="AB3" t="inlineStr">
        <is>
          <t>Total</t>
        </is>
      </c>
      <c r="AC3" t="inlineStr">
        <is>
          <t>Girl</t>
        </is>
      </c>
      <c r="AD3" t="inlineStr">
        <is>
          <t>Total</t>
        </is>
      </c>
      <c r="AE3" t="inlineStr">
        <is>
          <t>Girl</t>
        </is>
      </c>
      <c r="AF3" t="inlineStr">
        <is>
          <t>Total</t>
        </is>
      </c>
      <c r="AG3" t="inlineStr">
        <is>
          <t>Girl</t>
        </is>
      </c>
      <c r="AH3" t="inlineStr">
        <is>
          <t>Total</t>
        </is>
      </c>
      <c r="AI3" t="inlineStr">
        <is>
          <t>Girl</t>
        </is>
      </c>
      <c r="AJ3" t="inlineStr">
        <is>
          <t>Total</t>
        </is>
      </c>
      <c r="AK3" t="inlineStr">
        <is>
          <t>Girl</t>
        </is>
      </c>
      <c r="AL3" t="inlineStr">
        <is>
          <t>Total</t>
        </is>
      </c>
      <c r="AM3" t="inlineStr">
        <is>
          <t>Girl</t>
        </is>
      </c>
      <c r="AN3" t="inlineStr">
        <is>
          <t>Total</t>
        </is>
      </c>
      <c r="AO3" t="inlineStr">
        <is>
          <t>Girl</t>
        </is>
      </c>
      <c r="AP3" t="inlineStr">
        <is>
          <t>Total</t>
        </is>
      </c>
      <c r="AQ3" t="inlineStr">
        <is>
          <t>Girl</t>
        </is>
      </c>
      <c r="AR3" t="inlineStr">
        <is>
          <t>Total</t>
        </is>
      </c>
      <c r="AS3" t="inlineStr">
        <is>
          <t>Girl</t>
        </is>
      </c>
      <c r="AT3" t="inlineStr">
        <is>
          <t>Total</t>
        </is>
      </c>
      <c r="AU3" t="inlineStr">
        <is>
          <t>Girl</t>
        </is>
      </c>
      <c r="AV3" t="inlineStr">
        <is>
          <t>Total</t>
        </is>
      </c>
      <c r="AW3" t="inlineStr">
        <is>
          <t>Girl</t>
        </is>
      </c>
    </row>
    <row r="4">
      <c r="A4" t="inlineStr">
        <is>
          <t>Banteay Meanchey</t>
        </is>
      </c>
      <c r="B4" t="n">
        <v>18994</v>
      </c>
      <c r="C4" t="n">
        <v>8921</v>
      </c>
      <c r="D4" t="n">
        <v>1737</v>
      </c>
      <c r="E4" t="n">
        <v>669</v>
      </c>
      <c r="F4" t="n">
        <v>18253</v>
      </c>
      <c r="G4" t="n">
        <v>8782</v>
      </c>
      <c r="H4" t="n">
        <v>1130</v>
      </c>
      <c r="I4" t="n">
        <v>425</v>
      </c>
      <c r="J4" t="n">
        <v>16506</v>
      </c>
      <c r="K4" t="n">
        <v>7837</v>
      </c>
      <c r="L4" t="n">
        <v>790</v>
      </c>
      <c r="M4" t="n">
        <v>271</v>
      </c>
      <c r="N4" t="n">
        <v>16301</v>
      </c>
      <c r="O4" t="n">
        <v>7923</v>
      </c>
      <c r="P4" t="n">
        <v>627</v>
      </c>
      <c r="Q4" t="n">
        <v>206</v>
      </c>
      <c r="R4" t="n">
        <v>15049</v>
      </c>
      <c r="S4" t="n">
        <v>7352</v>
      </c>
      <c r="T4" t="n">
        <v>421</v>
      </c>
      <c r="U4" t="n">
        <v>140</v>
      </c>
      <c r="V4" t="n">
        <v>14844</v>
      </c>
      <c r="W4" t="n">
        <v>7380</v>
      </c>
      <c r="X4" t="n">
        <v>325</v>
      </c>
      <c r="Y4" t="n">
        <v>108</v>
      </c>
      <c r="Z4" t="n">
        <v>12398</v>
      </c>
      <c r="AA4" t="n">
        <v>6475</v>
      </c>
      <c r="AB4" t="n">
        <v>117</v>
      </c>
      <c r="AC4" t="n">
        <v>40</v>
      </c>
      <c r="AD4" t="n">
        <v>10554</v>
      </c>
      <c r="AE4" t="n">
        <v>5648</v>
      </c>
      <c r="AF4" t="n">
        <v>54</v>
      </c>
      <c r="AG4" t="n">
        <v>15</v>
      </c>
      <c r="AH4" t="n">
        <v>8764</v>
      </c>
      <c r="AI4" t="n">
        <v>4738</v>
      </c>
      <c r="AJ4" t="n">
        <v>80</v>
      </c>
      <c r="AK4" t="n">
        <v>28</v>
      </c>
      <c r="AL4" t="n">
        <v>6038</v>
      </c>
      <c r="AM4" t="n">
        <v>3438</v>
      </c>
      <c r="AN4" t="n">
        <v>20</v>
      </c>
      <c r="AO4" t="n">
        <v>12</v>
      </c>
      <c r="AP4" t="n">
        <v>5205</v>
      </c>
      <c r="AQ4" t="n">
        <v>2926</v>
      </c>
      <c r="AR4" t="n">
        <v>8</v>
      </c>
      <c r="AS4" t="n">
        <v>2</v>
      </c>
      <c r="AT4" t="n">
        <v>4515</v>
      </c>
      <c r="AU4" t="n">
        <v>2623</v>
      </c>
      <c r="AV4" t="n">
        <v>82</v>
      </c>
      <c r="AW4" t="n">
        <v>45</v>
      </c>
    </row>
    <row r="5">
      <c r="A5" t="inlineStr">
        <is>
          <t>Battambang</t>
        </is>
      </c>
      <c r="B5" t="n">
        <v>32644</v>
      </c>
      <c r="C5" t="n">
        <v>15287</v>
      </c>
      <c r="D5" t="n">
        <v>4614</v>
      </c>
      <c r="E5" t="n">
        <v>1801</v>
      </c>
      <c r="F5" t="n">
        <v>29477</v>
      </c>
      <c r="G5" t="n">
        <v>13891</v>
      </c>
      <c r="H5" t="n">
        <v>2873</v>
      </c>
      <c r="I5" t="n">
        <v>1098</v>
      </c>
      <c r="J5" t="n">
        <v>27532</v>
      </c>
      <c r="K5" t="n">
        <v>13050</v>
      </c>
      <c r="L5" t="n">
        <v>1994</v>
      </c>
      <c r="M5" t="n">
        <v>763</v>
      </c>
      <c r="N5" t="n">
        <v>26587</v>
      </c>
      <c r="O5" t="n">
        <v>12749</v>
      </c>
      <c r="P5" t="n">
        <v>1282</v>
      </c>
      <c r="Q5" t="n">
        <v>478</v>
      </c>
      <c r="R5" t="n">
        <v>25028</v>
      </c>
      <c r="S5" t="n">
        <v>12316</v>
      </c>
      <c r="T5" t="n">
        <v>936</v>
      </c>
      <c r="U5" t="n">
        <v>307</v>
      </c>
      <c r="V5" t="n">
        <v>23067</v>
      </c>
      <c r="W5" t="n">
        <v>11511</v>
      </c>
      <c r="X5" t="n">
        <v>653</v>
      </c>
      <c r="Y5" t="n">
        <v>239</v>
      </c>
      <c r="Z5" t="n">
        <v>19461</v>
      </c>
      <c r="AA5" t="n">
        <v>10172</v>
      </c>
      <c r="AB5" t="n">
        <v>167</v>
      </c>
      <c r="AC5" t="n">
        <v>58</v>
      </c>
      <c r="AD5" t="n">
        <v>16644</v>
      </c>
      <c r="AE5" t="n">
        <v>8987</v>
      </c>
      <c r="AF5" t="n">
        <v>138</v>
      </c>
      <c r="AG5" t="n">
        <v>65</v>
      </c>
      <c r="AH5" t="n">
        <v>13931</v>
      </c>
      <c r="AI5" t="n">
        <v>7514</v>
      </c>
      <c r="AJ5" t="n">
        <v>252</v>
      </c>
      <c r="AK5" t="n">
        <v>101</v>
      </c>
      <c r="AL5" t="n">
        <v>9524</v>
      </c>
      <c r="AM5" t="n">
        <v>5313</v>
      </c>
      <c r="AN5" t="n">
        <v>53</v>
      </c>
      <c r="AO5" t="n">
        <v>30</v>
      </c>
      <c r="AP5" t="n">
        <v>8071</v>
      </c>
      <c r="AQ5" t="n">
        <v>4452</v>
      </c>
      <c r="AR5" t="n">
        <v>37</v>
      </c>
      <c r="AS5" t="n">
        <v>19</v>
      </c>
      <c r="AT5" t="n">
        <v>7373</v>
      </c>
      <c r="AU5" t="n">
        <v>4112</v>
      </c>
      <c r="AV5" t="n">
        <v>224</v>
      </c>
      <c r="AW5" t="n">
        <v>117</v>
      </c>
    </row>
    <row r="6">
      <c r="A6" t="inlineStr">
        <is>
          <t>Kampong Cham</t>
        </is>
      </c>
      <c r="B6" t="n">
        <v>26921</v>
      </c>
      <c r="C6" t="n">
        <v>12429</v>
      </c>
      <c r="D6" t="n">
        <v>4424</v>
      </c>
      <c r="E6" t="n">
        <v>1663</v>
      </c>
      <c r="F6" t="n">
        <v>25295</v>
      </c>
      <c r="G6" t="n">
        <v>12431</v>
      </c>
      <c r="H6" t="n">
        <v>3017</v>
      </c>
      <c r="I6" t="n">
        <v>1148</v>
      </c>
      <c r="J6" t="n">
        <v>23026</v>
      </c>
      <c r="K6" t="n">
        <v>10869</v>
      </c>
      <c r="L6" t="n">
        <v>2348</v>
      </c>
      <c r="M6" t="n">
        <v>841</v>
      </c>
      <c r="N6" t="n">
        <v>22261</v>
      </c>
      <c r="O6" t="n">
        <v>12865</v>
      </c>
      <c r="P6" t="n">
        <v>1767</v>
      </c>
      <c r="Q6" t="n">
        <v>628</v>
      </c>
      <c r="R6" t="n">
        <v>21037</v>
      </c>
      <c r="S6" t="n">
        <v>13976</v>
      </c>
      <c r="T6" t="n">
        <v>1288</v>
      </c>
      <c r="U6" t="n">
        <v>443</v>
      </c>
      <c r="V6" t="n">
        <v>19977</v>
      </c>
      <c r="W6" t="n">
        <v>9820</v>
      </c>
      <c r="X6" t="n">
        <v>862</v>
      </c>
      <c r="Y6" t="n">
        <v>287</v>
      </c>
      <c r="Z6" t="n">
        <v>16844</v>
      </c>
      <c r="AA6" t="n">
        <v>8991</v>
      </c>
      <c r="AB6" t="n">
        <v>141</v>
      </c>
      <c r="AC6" t="n">
        <v>72</v>
      </c>
      <c r="AD6" t="n">
        <v>14422</v>
      </c>
      <c r="AE6" t="n">
        <v>7846</v>
      </c>
      <c r="AF6" t="n">
        <v>131</v>
      </c>
      <c r="AG6" t="n">
        <v>46</v>
      </c>
      <c r="AH6" t="n">
        <v>12577</v>
      </c>
      <c r="AI6" t="n">
        <v>6878</v>
      </c>
      <c r="AJ6" t="n">
        <v>251</v>
      </c>
      <c r="AK6" t="n">
        <v>97</v>
      </c>
      <c r="AL6" t="n">
        <v>9403</v>
      </c>
      <c r="AM6" t="n">
        <v>5311</v>
      </c>
      <c r="AN6" t="n">
        <v>48</v>
      </c>
      <c r="AO6" t="n">
        <v>24</v>
      </c>
      <c r="AP6" t="n">
        <v>8448</v>
      </c>
      <c r="AQ6" t="n">
        <v>4748</v>
      </c>
      <c r="AR6" t="n">
        <v>63</v>
      </c>
      <c r="AS6" t="n">
        <v>31</v>
      </c>
      <c r="AT6" t="n">
        <v>7491</v>
      </c>
      <c r="AU6" t="n">
        <v>4278</v>
      </c>
      <c r="AV6" t="n">
        <v>209</v>
      </c>
      <c r="AW6" t="n">
        <v>127</v>
      </c>
    </row>
    <row r="7">
      <c r="A7" t="inlineStr">
        <is>
          <t>Kampong Chhnang</t>
        </is>
      </c>
      <c r="B7" t="n">
        <v>14183</v>
      </c>
      <c r="C7" t="n">
        <v>6774</v>
      </c>
      <c r="D7" t="n">
        <v>1930</v>
      </c>
      <c r="E7" t="n">
        <v>746</v>
      </c>
      <c r="F7" t="n">
        <v>13382</v>
      </c>
      <c r="G7" t="n">
        <v>6424</v>
      </c>
      <c r="H7" t="n">
        <v>1325</v>
      </c>
      <c r="I7" t="n">
        <v>450</v>
      </c>
      <c r="J7" t="n">
        <v>12271</v>
      </c>
      <c r="K7" t="n">
        <v>5847</v>
      </c>
      <c r="L7" t="n">
        <v>1079</v>
      </c>
      <c r="M7" t="n">
        <v>326</v>
      </c>
      <c r="N7" t="n">
        <v>11813</v>
      </c>
      <c r="O7" t="n">
        <v>6099</v>
      </c>
      <c r="P7" t="n">
        <v>798</v>
      </c>
      <c r="Q7" t="n">
        <v>242</v>
      </c>
      <c r="R7" t="n">
        <v>11284</v>
      </c>
      <c r="S7" t="n">
        <v>6292</v>
      </c>
      <c r="T7" t="n">
        <v>647</v>
      </c>
      <c r="U7" t="n">
        <v>201</v>
      </c>
      <c r="V7" t="n">
        <v>10817</v>
      </c>
      <c r="W7" t="n">
        <v>5443</v>
      </c>
      <c r="X7" t="n">
        <v>383</v>
      </c>
      <c r="Y7" t="n">
        <v>101</v>
      </c>
      <c r="Z7" t="n">
        <v>9783</v>
      </c>
      <c r="AA7" t="n">
        <v>5297</v>
      </c>
      <c r="AB7" t="n">
        <v>54</v>
      </c>
      <c r="AC7" t="n">
        <v>24</v>
      </c>
      <c r="AD7" t="n">
        <v>8517</v>
      </c>
      <c r="AE7" t="n">
        <v>4623</v>
      </c>
      <c r="AF7" t="n">
        <v>60</v>
      </c>
      <c r="AG7" t="n">
        <v>20</v>
      </c>
      <c r="AH7" t="n">
        <v>7020</v>
      </c>
      <c r="AI7" t="n">
        <v>3842</v>
      </c>
      <c r="AJ7" t="n">
        <v>60</v>
      </c>
      <c r="AK7" t="n">
        <v>27</v>
      </c>
      <c r="AL7" t="n">
        <v>4856</v>
      </c>
      <c r="AM7" t="n">
        <v>2752</v>
      </c>
      <c r="AN7" t="n">
        <v>7</v>
      </c>
      <c r="AO7" t="n">
        <v>2</v>
      </c>
      <c r="AP7" t="n">
        <v>4148</v>
      </c>
      <c r="AQ7" t="n">
        <v>2276</v>
      </c>
      <c r="AR7" t="n">
        <v>3</v>
      </c>
      <c r="AS7" t="n">
        <v>1</v>
      </c>
      <c r="AT7" t="n">
        <v>3749</v>
      </c>
      <c r="AU7" t="n">
        <v>2150</v>
      </c>
      <c r="AV7" t="n">
        <v>134</v>
      </c>
      <c r="AW7" t="n">
        <v>70</v>
      </c>
    </row>
    <row r="8">
      <c r="A8" t="inlineStr">
        <is>
          <t>Kampong Speu</t>
        </is>
      </c>
      <c r="B8" t="n">
        <v>19207</v>
      </c>
      <c r="C8" t="n">
        <v>9013</v>
      </c>
      <c r="D8" t="n">
        <v>2057</v>
      </c>
      <c r="E8" t="n">
        <v>846</v>
      </c>
      <c r="F8" t="n">
        <v>18981</v>
      </c>
      <c r="G8" t="n">
        <v>9253</v>
      </c>
      <c r="H8" t="n">
        <v>1189</v>
      </c>
      <c r="I8" t="n">
        <v>481</v>
      </c>
      <c r="J8" t="n">
        <v>18125</v>
      </c>
      <c r="K8" t="n">
        <v>8613</v>
      </c>
      <c r="L8" t="n">
        <v>1092</v>
      </c>
      <c r="M8" t="n">
        <v>446</v>
      </c>
      <c r="N8" t="n">
        <v>17017</v>
      </c>
      <c r="O8" t="n">
        <v>8193</v>
      </c>
      <c r="P8" t="n">
        <v>867</v>
      </c>
      <c r="Q8" t="n">
        <v>335</v>
      </c>
      <c r="R8" t="n">
        <v>16776</v>
      </c>
      <c r="S8" t="n">
        <v>8084</v>
      </c>
      <c r="T8" t="n">
        <v>591</v>
      </c>
      <c r="U8" t="n">
        <v>228</v>
      </c>
      <c r="V8" t="n">
        <v>16371</v>
      </c>
      <c r="W8" t="n">
        <v>7988</v>
      </c>
      <c r="X8" t="n">
        <v>464</v>
      </c>
      <c r="Y8" t="n">
        <v>169</v>
      </c>
      <c r="Z8" t="n">
        <v>14031</v>
      </c>
      <c r="AA8" t="n">
        <v>7349</v>
      </c>
      <c r="AB8" t="n">
        <v>64</v>
      </c>
      <c r="AC8" t="n">
        <v>13</v>
      </c>
      <c r="AD8" t="n">
        <v>11429</v>
      </c>
      <c r="AE8" t="n">
        <v>5943</v>
      </c>
      <c r="AF8" t="n">
        <v>54</v>
      </c>
      <c r="AG8" t="n">
        <v>19</v>
      </c>
      <c r="AH8" t="n">
        <v>9190</v>
      </c>
      <c r="AI8" t="n">
        <v>4759</v>
      </c>
      <c r="AJ8" t="n">
        <v>135</v>
      </c>
      <c r="AK8" t="n">
        <v>35</v>
      </c>
      <c r="AL8" t="n">
        <v>5900</v>
      </c>
      <c r="AM8" t="n">
        <v>3098</v>
      </c>
      <c r="AN8" t="n">
        <v>36</v>
      </c>
      <c r="AO8" t="n">
        <v>8</v>
      </c>
      <c r="AP8" t="n">
        <v>4937</v>
      </c>
      <c r="AQ8" t="n">
        <v>2577</v>
      </c>
      <c r="AR8" t="n">
        <v>27</v>
      </c>
      <c r="AS8" t="n">
        <v>19</v>
      </c>
      <c r="AT8" t="n">
        <v>4226</v>
      </c>
      <c r="AU8" t="n">
        <v>2279</v>
      </c>
      <c r="AV8" t="n">
        <v>48</v>
      </c>
      <c r="AW8" t="n">
        <v>21</v>
      </c>
    </row>
    <row r="9">
      <c r="A9" t="inlineStr">
        <is>
          <t>Kampong Thom</t>
        </is>
      </c>
      <c r="B9" t="n">
        <v>20594</v>
      </c>
      <c r="C9" t="n">
        <v>9975</v>
      </c>
      <c r="D9" t="n">
        <v>3077</v>
      </c>
      <c r="E9" t="n">
        <v>1254</v>
      </c>
      <c r="F9" t="n">
        <v>19597</v>
      </c>
      <c r="G9" t="n">
        <v>9108</v>
      </c>
      <c r="H9" t="n">
        <v>1580</v>
      </c>
      <c r="I9" t="n">
        <v>578</v>
      </c>
      <c r="J9" t="n">
        <v>17053</v>
      </c>
      <c r="K9" t="n">
        <v>8140</v>
      </c>
      <c r="L9" t="n">
        <v>1347</v>
      </c>
      <c r="M9" t="n">
        <v>478</v>
      </c>
      <c r="N9" t="n">
        <v>16157</v>
      </c>
      <c r="O9" t="n">
        <v>9508</v>
      </c>
      <c r="P9" t="n">
        <v>864</v>
      </c>
      <c r="Q9" t="n">
        <v>315</v>
      </c>
      <c r="R9" t="n">
        <v>14283</v>
      </c>
      <c r="S9" t="n">
        <v>9443</v>
      </c>
      <c r="T9" t="n">
        <v>566</v>
      </c>
      <c r="U9" t="n">
        <v>189</v>
      </c>
      <c r="V9" t="n">
        <v>13610</v>
      </c>
      <c r="W9" t="n">
        <v>6983</v>
      </c>
      <c r="X9" t="n">
        <v>426</v>
      </c>
      <c r="Y9" t="n">
        <v>139</v>
      </c>
      <c r="Z9" t="n">
        <v>11644</v>
      </c>
      <c r="AA9" t="n">
        <v>6234</v>
      </c>
      <c r="AB9" t="n">
        <v>85</v>
      </c>
      <c r="AC9" t="n">
        <v>34</v>
      </c>
      <c r="AD9" t="n">
        <v>10016</v>
      </c>
      <c r="AE9" t="n">
        <v>5484</v>
      </c>
      <c r="AF9" t="n">
        <v>47</v>
      </c>
      <c r="AG9" t="n">
        <v>9</v>
      </c>
      <c r="AH9" t="n">
        <v>8662</v>
      </c>
      <c r="AI9" t="n">
        <v>4605</v>
      </c>
      <c r="AJ9" t="n">
        <v>107</v>
      </c>
      <c r="AK9" t="n">
        <v>34</v>
      </c>
      <c r="AL9" t="n">
        <v>6441</v>
      </c>
      <c r="AM9" t="n">
        <v>3703</v>
      </c>
      <c r="AN9" t="n">
        <v>26</v>
      </c>
      <c r="AO9" t="n">
        <v>4</v>
      </c>
      <c r="AP9" t="n">
        <v>5743</v>
      </c>
      <c r="AQ9" t="n">
        <v>3162</v>
      </c>
      <c r="AR9" t="n">
        <v>9</v>
      </c>
      <c r="AS9" t="n">
        <v>2</v>
      </c>
      <c r="AT9" t="n">
        <v>4964</v>
      </c>
      <c r="AU9" t="n">
        <v>2818</v>
      </c>
      <c r="AV9" t="n">
        <v>90</v>
      </c>
      <c r="AW9" t="n">
        <v>32</v>
      </c>
    </row>
    <row r="10">
      <c r="A10" t="inlineStr">
        <is>
          <t>Kampot</t>
        </is>
      </c>
      <c r="B10" t="n">
        <v>14818</v>
      </c>
      <c r="C10" t="n">
        <v>6860</v>
      </c>
      <c r="D10" t="n">
        <v>1593</v>
      </c>
      <c r="E10" t="n">
        <v>631</v>
      </c>
      <c r="F10" t="n">
        <v>13809</v>
      </c>
      <c r="G10" t="n">
        <v>6571</v>
      </c>
      <c r="H10" t="n">
        <v>860</v>
      </c>
      <c r="I10" t="n">
        <v>278</v>
      </c>
      <c r="J10" t="n">
        <v>12471</v>
      </c>
      <c r="K10" t="n">
        <v>5798</v>
      </c>
      <c r="L10" t="n">
        <v>600</v>
      </c>
      <c r="M10" t="n">
        <v>181</v>
      </c>
      <c r="N10" t="n">
        <v>11982</v>
      </c>
      <c r="O10" t="n">
        <v>5751</v>
      </c>
      <c r="P10" t="n">
        <v>422</v>
      </c>
      <c r="Q10" t="n">
        <v>153</v>
      </c>
      <c r="R10" t="n">
        <v>11282</v>
      </c>
      <c r="S10" t="n">
        <v>5425</v>
      </c>
      <c r="T10" t="n">
        <v>285</v>
      </c>
      <c r="U10" t="n">
        <v>86</v>
      </c>
      <c r="V10" t="n">
        <v>11154</v>
      </c>
      <c r="W10" t="n">
        <v>5394</v>
      </c>
      <c r="X10" t="n">
        <v>260</v>
      </c>
      <c r="Y10" t="n">
        <v>79</v>
      </c>
      <c r="Z10" t="n">
        <v>10392</v>
      </c>
      <c r="AA10" t="n">
        <v>5331</v>
      </c>
      <c r="AB10" t="n">
        <v>143</v>
      </c>
      <c r="AC10" t="n">
        <v>56</v>
      </c>
      <c r="AD10" t="n">
        <v>9057</v>
      </c>
      <c r="AE10" t="n">
        <v>4815</v>
      </c>
      <c r="AF10" t="n">
        <v>72</v>
      </c>
      <c r="AG10" t="n">
        <v>32</v>
      </c>
      <c r="AH10" t="n">
        <v>7982</v>
      </c>
      <c r="AI10" t="n">
        <v>4156</v>
      </c>
      <c r="AJ10" t="n">
        <v>199</v>
      </c>
      <c r="AK10" t="n">
        <v>51</v>
      </c>
      <c r="AL10" t="n">
        <v>5526</v>
      </c>
      <c r="AM10" t="n">
        <v>2953</v>
      </c>
      <c r="AN10" t="n">
        <v>43</v>
      </c>
      <c r="AO10" t="n">
        <v>17</v>
      </c>
      <c r="AP10" t="n">
        <v>5312</v>
      </c>
      <c r="AQ10" t="n">
        <v>2788</v>
      </c>
      <c r="AR10" t="n">
        <v>34</v>
      </c>
      <c r="AS10" t="n">
        <v>18</v>
      </c>
      <c r="AT10" t="n">
        <v>4629</v>
      </c>
      <c r="AU10" t="n">
        <v>2473</v>
      </c>
      <c r="AV10" t="n">
        <v>102</v>
      </c>
      <c r="AW10" t="n">
        <v>44</v>
      </c>
    </row>
    <row r="11">
      <c r="A11" t="inlineStr">
        <is>
          <t>Kandal</t>
        </is>
      </c>
      <c r="B11" t="n">
        <v>31962</v>
      </c>
      <c r="C11" t="n">
        <v>14772</v>
      </c>
      <c r="D11" t="n">
        <v>5786</v>
      </c>
      <c r="E11" t="n">
        <v>2239</v>
      </c>
      <c r="F11" t="n">
        <v>29303</v>
      </c>
      <c r="G11" t="n">
        <v>13751</v>
      </c>
      <c r="H11" t="n">
        <v>3874</v>
      </c>
      <c r="I11" t="n">
        <v>1452</v>
      </c>
      <c r="J11" t="n">
        <v>27449</v>
      </c>
      <c r="K11" t="n">
        <v>12960</v>
      </c>
      <c r="L11" t="n">
        <v>3247</v>
      </c>
      <c r="M11" t="n">
        <v>1215</v>
      </c>
      <c r="N11" t="n">
        <v>25903</v>
      </c>
      <c r="O11" t="n">
        <v>12553</v>
      </c>
      <c r="P11" t="n">
        <v>2570</v>
      </c>
      <c r="Q11" t="n">
        <v>910</v>
      </c>
      <c r="R11" t="n">
        <v>24049</v>
      </c>
      <c r="S11" t="n">
        <v>11469</v>
      </c>
      <c r="T11" t="n">
        <v>1989</v>
      </c>
      <c r="U11" t="n">
        <v>670</v>
      </c>
      <c r="V11" t="n">
        <v>23034</v>
      </c>
      <c r="W11" t="n">
        <v>11198</v>
      </c>
      <c r="X11" t="n">
        <v>1344</v>
      </c>
      <c r="Y11" t="n">
        <v>491</v>
      </c>
      <c r="Z11" t="n">
        <v>20965</v>
      </c>
      <c r="AA11" t="n">
        <v>10761</v>
      </c>
      <c r="AB11" t="n">
        <v>193</v>
      </c>
      <c r="AC11" t="n">
        <v>79</v>
      </c>
      <c r="AD11" t="n">
        <v>18850</v>
      </c>
      <c r="AE11" t="n">
        <v>9905</v>
      </c>
      <c r="AF11" t="n">
        <v>199</v>
      </c>
      <c r="AG11" t="n">
        <v>76</v>
      </c>
      <c r="AH11" t="n">
        <v>15976</v>
      </c>
      <c r="AI11" t="n">
        <v>8308</v>
      </c>
      <c r="AJ11" t="n">
        <v>186</v>
      </c>
      <c r="AK11" t="n">
        <v>47</v>
      </c>
      <c r="AL11" t="n">
        <v>11393</v>
      </c>
      <c r="AM11" t="n">
        <v>6220</v>
      </c>
      <c r="AN11" t="n">
        <v>77</v>
      </c>
      <c r="AO11" t="n">
        <v>28</v>
      </c>
      <c r="AP11" t="n">
        <v>10235</v>
      </c>
      <c r="AQ11" t="n">
        <v>5614</v>
      </c>
      <c r="AR11" t="n">
        <v>33</v>
      </c>
      <c r="AS11" t="n">
        <v>8</v>
      </c>
      <c r="AT11" t="n">
        <v>8845</v>
      </c>
      <c r="AU11" t="n">
        <v>4970</v>
      </c>
      <c r="AV11" t="n">
        <v>163</v>
      </c>
      <c r="AW11" t="n">
        <v>71</v>
      </c>
    </row>
    <row r="12">
      <c r="A12" t="inlineStr">
        <is>
          <t>Kep</t>
        </is>
      </c>
      <c r="B12" t="n">
        <v>1079</v>
      </c>
      <c r="C12" t="n">
        <v>499</v>
      </c>
      <c r="D12" t="n">
        <v>136</v>
      </c>
      <c r="E12" t="n">
        <v>51</v>
      </c>
      <c r="F12" t="n">
        <v>1055</v>
      </c>
      <c r="G12" t="n">
        <v>508</v>
      </c>
      <c r="H12" t="n">
        <v>78</v>
      </c>
      <c r="I12" t="n">
        <v>23</v>
      </c>
      <c r="J12" t="n">
        <v>948</v>
      </c>
      <c r="K12" t="n">
        <v>466</v>
      </c>
      <c r="L12" t="n">
        <v>40</v>
      </c>
      <c r="M12" t="n">
        <v>12</v>
      </c>
      <c r="N12" t="n">
        <v>881</v>
      </c>
      <c r="O12" t="n">
        <v>423</v>
      </c>
      <c r="P12" t="n">
        <v>21</v>
      </c>
      <c r="Q12" t="n">
        <v>4</v>
      </c>
      <c r="R12" t="n">
        <v>798</v>
      </c>
      <c r="S12" t="n">
        <v>381</v>
      </c>
      <c r="T12" t="n">
        <v>21</v>
      </c>
      <c r="U12" t="n">
        <v>7</v>
      </c>
      <c r="V12" t="n">
        <v>720</v>
      </c>
      <c r="W12" t="n">
        <v>344</v>
      </c>
      <c r="X12" t="n">
        <v>9</v>
      </c>
      <c r="Y12" t="n">
        <v>2</v>
      </c>
      <c r="Z12" t="n">
        <v>646</v>
      </c>
      <c r="AA12" t="n">
        <v>367</v>
      </c>
      <c r="AB12" t="n">
        <v>4</v>
      </c>
      <c r="AC12" t="n">
        <v>1</v>
      </c>
      <c r="AD12" t="n">
        <v>571</v>
      </c>
      <c r="AE12" t="n">
        <v>290</v>
      </c>
      <c r="AF12" t="n">
        <v>3</v>
      </c>
      <c r="AG12" t="n">
        <v>0</v>
      </c>
      <c r="AH12" t="n">
        <v>516</v>
      </c>
      <c r="AI12" t="n">
        <v>261</v>
      </c>
      <c r="AJ12" t="n">
        <v>37</v>
      </c>
      <c r="AK12" t="n">
        <v>10</v>
      </c>
      <c r="AL12" t="n">
        <v>329</v>
      </c>
      <c r="AM12" t="n">
        <v>184</v>
      </c>
      <c r="AN12" t="n">
        <v>0</v>
      </c>
      <c r="AO12" t="n">
        <v>0</v>
      </c>
      <c r="AP12" t="n">
        <v>335</v>
      </c>
      <c r="AQ12" t="n">
        <v>184</v>
      </c>
      <c r="AR12" t="n">
        <v>0</v>
      </c>
      <c r="AS12" t="n">
        <v>0</v>
      </c>
      <c r="AT12" t="n">
        <v>319</v>
      </c>
      <c r="AU12" t="n">
        <v>153</v>
      </c>
      <c r="AV12" t="n">
        <v>1</v>
      </c>
      <c r="AW12" t="n">
        <v>1</v>
      </c>
    </row>
    <row r="13">
      <c r="A13" t="inlineStr">
        <is>
          <t>Koh Kong</t>
        </is>
      </c>
      <c r="B13" t="n">
        <v>3590</v>
      </c>
      <c r="C13" t="n">
        <v>1763</v>
      </c>
      <c r="D13" t="n">
        <v>366</v>
      </c>
      <c r="E13" t="n">
        <v>154</v>
      </c>
      <c r="F13" t="n">
        <v>3371</v>
      </c>
      <c r="G13" t="n">
        <v>1571</v>
      </c>
      <c r="H13" t="n">
        <v>233</v>
      </c>
      <c r="I13" t="n">
        <v>88</v>
      </c>
      <c r="J13" t="n">
        <v>2816</v>
      </c>
      <c r="K13" t="n">
        <v>1330</v>
      </c>
      <c r="L13" t="n">
        <v>123</v>
      </c>
      <c r="M13" t="n">
        <v>44</v>
      </c>
      <c r="N13" t="n">
        <v>2628</v>
      </c>
      <c r="O13" t="n">
        <v>1259</v>
      </c>
      <c r="P13" t="n">
        <v>61</v>
      </c>
      <c r="Q13" t="n">
        <v>21</v>
      </c>
      <c r="R13" t="n">
        <v>2438</v>
      </c>
      <c r="S13" t="n">
        <v>1178</v>
      </c>
      <c r="T13" t="n">
        <v>69</v>
      </c>
      <c r="U13" t="n">
        <v>25</v>
      </c>
      <c r="V13" t="n">
        <v>2362</v>
      </c>
      <c r="W13" t="n">
        <v>1144</v>
      </c>
      <c r="X13" t="n">
        <v>35</v>
      </c>
      <c r="Y13" t="n">
        <v>9</v>
      </c>
      <c r="Z13" t="n">
        <v>2144</v>
      </c>
      <c r="AA13" t="n">
        <v>1085</v>
      </c>
      <c r="AB13" t="n">
        <v>21</v>
      </c>
      <c r="AC13" t="n">
        <v>9</v>
      </c>
      <c r="AD13" t="n">
        <v>1873</v>
      </c>
      <c r="AE13" t="n">
        <v>1008</v>
      </c>
      <c r="AF13" t="n">
        <v>25</v>
      </c>
      <c r="AG13" t="n">
        <v>7</v>
      </c>
      <c r="AH13" t="n">
        <v>1690</v>
      </c>
      <c r="AI13" t="n">
        <v>841</v>
      </c>
      <c r="AJ13" t="n">
        <v>46</v>
      </c>
      <c r="AK13" t="n">
        <v>12</v>
      </c>
      <c r="AL13" t="n">
        <v>1243</v>
      </c>
      <c r="AM13" t="n">
        <v>643</v>
      </c>
      <c r="AN13" t="n">
        <v>4</v>
      </c>
      <c r="AO13" t="n">
        <v>1</v>
      </c>
      <c r="AP13" t="n">
        <v>1048</v>
      </c>
      <c r="AQ13" t="n">
        <v>540</v>
      </c>
      <c r="AR13" t="n">
        <v>1</v>
      </c>
      <c r="AS13" t="n">
        <v>0</v>
      </c>
      <c r="AT13" t="n">
        <v>840</v>
      </c>
      <c r="AU13" t="n">
        <v>438</v>
      </c>
      <c r="AV13" t="n">
        <v>11</v>
      </c>
      <c r="AW13" t="n">
        <v>6</v>
      </c>
    </row>
    <row r="14">
      <c r="A14" t="inlineStr">
        <is>
          <t>Kratie</t>
        </is>
      </c>
      <c r="B14" t="n">
        <v>13526</v>
      </c>
      <c r="C14" t="n">
        <v>6401</v>
      </c>
      <c r="D14" t="n">
        <v>2434</v>
      </c>
      <c r="E14" t="n">
        <v>1003</v>
      </c>
      <c r="F14" t="n">
        <v>12639</v>
      </c>
      <c r="G14" t="n">
        <v>6112</v>
      </c>
      <c r="H14" t="n">
        <v>1440</v>
      </c>
      <c r="I14" t="n">
        <v>552</v>
      </c>
      <c r="J14" t="n">
        <v>10818</v>
      </c>
      <c r="K14" t="n">
        <v>5547</v>
      </c>
      <c r="L14" t="n">
        <v>1003</v>
      </c>
      <c r="M14" t="n">
        <v>400</v>
      </c>
      <c r="N14" t="n">
        <v>10237</v>
      </c>
      <c r="O14" t="n">
        <v>5906</v>
      </c>
      <c r="P14" t="n">
        <v>742</v>
      </c>
      <c r="Q14" t="n">
        <v>275</v>
      </c>
      <c r="R14" t="n">
        <v>8909</v>
      </c>
      <c r="S14" t="n">
        <v>5192</v>
      </c>
      <c r="T14" t="n">
        <v>454</v>
      </c>
      <c r="U14" t="n">
        <v>167</v>
      </c>
      <c r="V14" t="n">
        <v>7875</v>
      </c>
      <c r="W14" t="n">
        <v>4050</v>
      </c>
      <c r="X14" t="n">
        <v>304</v>
      </c>
      <c r="Y14" t="n">
        <v>135</v>
      </c>
      <c r="Z14" t="n">
        <v>5908</v>
      </c>
      <c r="AA14" t="n">
        <v>3239</v>
      </c>
      <c r="AB14" t="n">
        <v>50</v>
      </c>
      <c r="AC14" t="n">
        <v>16</v>
      </c>
      <c r="AD14" t="n">
        <v>4668</v>
      </c>
      <c r="AE14" t="n">
        <v>2535</v>
      </c>
      <c r="AF14" t="n">
        <v>24</v>
      </c>
      <c r="AG14" t="n">
        <v>4</v>
      </c>
      <c r="AH14" t="n">
        <v>3804</v>
      </c>
      <c r="AI14" t="n">
        <v>2013</v>
      </c>
      <c r="AJ14" t="n">
        <v>104</v>
      </c>
      <c r="AK14" t="n">
        <v>26</v>
      </c>
      <c r="AL14" t="n">
        <v>2515</v>
      </c>
      <c r="AM14" t="n">
        <v>1414</v>
      </c>
      <c r="AN14" t="n">
        <v>1</v>
      </c>
      <c r="AO14" t="n">
        <v>1</v>
      </c>
      <c r="AP14" t="n">
        <v>2193</v>
      </c>
      <c r="AQ14" t="n">
        <v>1240</v>
      </c>
      <c r="AR14" t="n">
        <v>1</v>
      </c>
      <c r="AS14" t="n">
        <v>1</v>
      </c>
      <c r="AT14" t="n">
        <v>1948</v>
      </c>
      <c r="AU14" t="n">
        <v>1052</v>
      </c>
      <c r="AV14" t="n">
        <v>23</v>
      </c>
      <c r="AW14" t="n">
        <v>11</v>
      </c>
    </row>
    <row r="15">
      <c r="A15" t="inlineStr">
        <is>
          <t>Mondul Kiri</t>
        </is>
      </c>
      <c r="B15" t="n">
        <v>3166</v>
      </c>
      <c r="C15" t="n">
        <v>1515</v>
      </c>
      <c r="D15" t="n">
        <v>356</v>
      </c>
      <c r="E15" t="n">
        <v>151</v>
      </c>
      <c r="F15" t="n">
        <v>2861</v>
      </c>
      <c r="G15" t="n">
        <v>1395</v>
      </c>
      <c r="H15" t="n">
        <v>264</v>
      </c>
      <c r="I15" t="n">
        <v>87</v>
      </c>
      <c r="J15" t="n">
        <v>2654</v>
      </c>
      <c r="K15" t="n">
        <v>1411</v>
      </c>
      <c r="L15" t="n">
        <v>218</v>
      </c>
      <c r="M15" t="n">
        <v>97</v>
      </c>
      <c r="N15" t="n">
        <v>2457</v>
      </c>
      <c r="O15" t="n">
        <v>1321</v>
      </c>
      <c r="P15" t="n">
        <v>85</v>
      </c>
      <c r="Q15" t="n">
        <v>36</v>
      </c>
      <c r="R15" t="n">
        <v>2170</v>
      </c>
      <c r="S15" t="n">
        <v>1166</v>
      </c>
      <c r="T15" t="n">
        <v>86</v>
      </c>
      <c r="U15" t="n">
        <v>27</v>
      </c>
      <c r="V15" t="n">
        <v>1917</v>
      </c>
      <c r="W15" t="n">
        <v>1051</v>
      </c>
      <c r="X15" t="n">
        <v>52</v>
      </c>
      <c r="Y15" t="n">
        <v>11</v>
      </c>
      <c r="Z15" t="n">
        <v>1562</v>
      </c>
      <c r="AA15" t="n">
        <v>793</v>
      </c>
      <c r="AB15" t="n">
        <v>27</v>
      </c>
      <c r="AC15" t="n">
        <v>3</v>
      </c>
      <c r="AD15" t="n">
        <v>1166</v>
      </c>
      <c r="AE15" t="n">
        <v>639</v>
      </c>
      <c r="AF15" t="n">
        <v>19</v>
      </c>
      <c r="AG15" t="n">
        <v>2</v>
      </c>
      <c r="AH15" t="n">
        <v>993</v>
      </c>
      <c r="AI15" t="n">
        <v>529</v>
      </c>
      <c r="AJ15" t="n">
        <v>33</v>
      </c>
      <c r="AK15" t="n">
        <v>15</v>
      </c>
      <c r="AL15" t="n">
        <v>744</v>
      </c>
      <c r="AM15" t="n">
        <v>400</v>
      </c>
      <c r="AN15" t="n">
        <v>5</v>
      </c>
      <c r="AO15" t="n">
        <v>3</v>
      </c>
      <c r="AP15" t="n">
        <v>669</v>
      </c>
      <c r="AQ15" t="n">
        <v>364</v>
      </c>
      <c r="AR15" t="n">
        <v>1</v>
      </c>
      <c r="AS15" t="n">
        <v>0</v>
      </c>
      <c r="AT15" t="n">
        <v>504</v>
      </c>
      <c r="AU15" t="n">
        <v>277</v>
      </c>
      <c r="AV15" t="n">
        <v>15</v>
      </c>
      <c r="AW15" t="n">
        <v>7</v>
      </c>
    </row>
    <row r="16">
      <c r="A16" t="inlineStr">
        <is>
          <t>Otdar Meanchey</t>
        </is>
      </c>
      <c r="B16" t="n">
        <v>8162</v>
      </c>
      <c r="C16" t="n">
        <v>3768</v>
      </c>
      <c r="D16" t="n">
        <v>1255</v>
      </c>
      <c r="E16" t="n">
        <v>471</v>
      </c>
      <c r="F16" t="n">
        <v>7126</v>
      </c>
      <c r="G16" t="n">
        <v>3281</v>
      </c>
      <c r="H16" t="n">
        <v>750</v>
      </c>
      <c r="I16" t="n">
        <v>277</v>
      </c>
      <c r="J16" t="n">
        <v>6572</v>
      </c>
      <c r="K16" t="n">
        <v>3080</v>
      </c>
      <c r="L16" t="n">
        <v>532</v>
      </c>
      <c r="M16" t="n">
        <v>187</v>
      </c>
      <c r="N16" t="n">
        <v>5880</v>
      </c>
      <c r="O16" t="n">
        <v>2735</v>
      </c>
      <c r="P16" t="n">
        <v>386</v>
      </c>
      <c r="Q16" t="n">
        <v>139</v>
      </c>
      <c r="R16" t="n">
        <v>5386</v>
      </c>
      <c r="S16" t="n">
        <v>2702</v>
      </c>
      <c r="T16" t="n">
        <v>203</v>
      </c>
      <c r="U16" t="n">
        <v>85</v>
      </c>
      <c r="V16" t="n">
        <v>4916</v>
      </c>
      <c r="W16" t="n">
        <v>2514</v>
      </c>
      <c r="X16" t="n">
        <v>116</v>
      </c>
      <c r="Y16" t="n">
        <v>45</v>
      </c>
      <c r="Z16" t="n">
        <v>4239</v>
      </c>
      <c r="AA16" t="n">
        <v>2248</v>
      </c>
      <c r="AB16" t="n">
        <v>84</v>
      </c>
      <c r="AC16" t="n">
        <v>37</v>
      </c>
      <c r="AD16" t="n">
        <v>3564</v>
      </c>
      <c r="AE16" t="n">
        <v>1916</v>
      </c>
      <c r="AF16" t="n">
        <v>50</v>
      </c>
      <c r="AG16" t="n">
        <v>14</v>
      </c>
      <c r="AH16" t="n">
        <v>2938</v>
      </c>
      <c r="AI16" t="n">
        <v>1615</v>
      </c>
      <c r="AJ16" t="n">
        <v>53</v>
      </c>
      <c r="AK16" t="n">
        <v>14</v>
      </c>
      <c r="AL16" t="n">
        <v>2126</v>
      </c>
      <c r="AM16" t="n">
        <v>1087</v>
      </c>
      <c r="AN16" t="n">
        <v>41</v>
      </c>
      <c r="AO16" t="n">
        <v>15</v>
      </c>
      <c r="AP16" t="n">
        <v>1763</v>
      </c>
      <c r="AQ16" t="n">
        <v>938</v>
      </c>
      <c r="AR16" t="n">
        <v>19</v>
      </c>
      <c r="AS16" t="n">
        <v>10</v>
      </c>
      <c r="AT16" t="n">
        <v>1460</v>
      </c>
      <c r="AU16" t="n">
        <v>779</v>
      </c>
      <c r="AV16" t="n">
        <v>58</v>
      </c>
      <c r="AW16" t="n">
        <v>24</v>
      </c>
    </row>
    <row r="17">
      <c r="A17" t="inlineStr">
        <is>
          <t>Pailin</t>
        </is>
      </c>
      <c r="B17" t="n">
        <v>2114</v>
      </c>
      <c r="C17" t="n">
        <v>1015</v>
      </c>
      <c r="D17" t="n">
        <v>341</v>
      </c>
      <c r="E17" t="n">
        <v>131</v>
      </c>
      <c r="F17" t="n">
        <v>1716</v>
      </c>
      <c r="G17" t="n">
        <v>811</v>
      </c>
      <c r="H17" t="n">
        <v>159</v>
      </c>
      <c r="I17" t="n">
        <v>66</v>
      </c>
      <c r="J17" t="n">
        <v>1705</v>
      </c>
      <c r="K17" t="n">
        <v>839</v>
      </c>
      <c r="L17" t="n">
        <v>138</v>
      </c>
      <c r="M17" t="n">
        <v>55</v>
      </c>
      <c r="N17" t="n">
        <v>1593</v>
      </c>
      <c r="O17" t="n">
        <v>774</v>
      </c>
      <c r="P17" t="n">
        <v>93</v>
      </c>
      <c r="Q17" t="n">
        <v>39</v>
      </c>
      <c r="R17" t="n">
        <v>1441</v>
      </c>
      <c r="S17" t="n">
        <v>737</v>
      </c>
      <c r="T17" t="n">
        <v>83</v>
      </c>
      <c r="U17" t="n">
        <v>31</v>
      </c>
      <c r="V17" t="n">
        <v>1312</v>
      </c>
      <c r="W17" t="n">
        <v>652</v>
      </c>
      <c r="X17" t="n">
        <v>18</v>
      </c>
      <c r="Y17" t="n">
        <v>10</v>
      </c>
      <c r="Z17" t="n">
        <v>1354</v>
      </c>
      <c r="AA17" t="n">
        <v>714</v>
      </c>
      <c r="AB17" t="n">
        <v>20</v>
      </c>
      <c r="AC17" t="n">
        <v>4</v>
      </c>
      <c r="AD17" t="n">
        <v>1203</v>
      </c>
      <c r="AE17" t="n">
        <v>631</v>
      </c>
      <c r="AF17" t="n">
        <v>9</v>
      </c>
      <c r="AG17" t="n">
        <v>2</v>
      </c>
      <c r="AH17" t="n">
        <v>1007</v>
      </c>
      <c r="AI17" t="n">
        <v>553</v>
      </c>
      <c r="AJ17" t="n">
        <v>47</v>
      </c>
      <c r="AK17" t="n">
        <v>21</v>
      </c>
      <c r="AL17" t="n">
        <v>696</v>
      </c>
      <c r="AM17" t="n">
        <v>417</v>
      </c>
      <c r="AN17" t="n">
        <v>15</v>
      </c>
      <c r="AO17" t="n">
        <v>5</v>
      </c>
      <c r="AP17" t="n">
        <v>649</v>
      </c>
      <c r="AQ17" t="n">
        <v>351</v>
      </c>
      <c r="AR17" t="n">
        <v>5</v>
      </c>
      <c r="AS17" t="n">
        <v>1</v>
      </c>
      <c r="AT17" t="n">
        <v>513</v>
      </c>
      <c r="AU17" t="n">
        <v>288</v>
      </c>
      <c r="AV17" t="n">
        <v>19</v>
      </c>
      <c r="AW17" t="n">
        <v>10</v>
      </c>
    </row>
    <row r="18">
      <c r="A18" t="inlineStr">
        <is>
          <t>Phnom Penh</t>
        </is>
      </c>
      <c r="B18" t="n">
        <v>27221</v>
      </c>
      <c r="C18" t="n">
        <v>12592</v>
      </c>
      <c r="D18" t="n">
        <v>2802</v>
      </c>
      <c r="E18" t="n">
        <v>1117</v>
      </c>
      <c r="F18" t="n">
        <v>23087</v>
      </c>
      <c r="G18" t="n">
        <v>11019</v>
      </c>
      <c r="H18" t="n">
        <v>1684</v>
      </c>
      <c r="I18" t="n">
        <v>665</v>
      </c>
      <c r="J18" t="n">
        <v>22053</v>
      </c>
      <c r="K18" t="n">
        <v>10201</v>
      </c>
      <c r="L18" t="n">
        <v>1287</v>
      </c>
      <c r="M18" t="n">
        <v>462</v>
      </c>
      <c r="N18" t="n">
        <v>22636</v>
      </c>
      <c r="O18" t="n">
        <v>10941</v>
      </c>
      <c r="P18" t="n">
        <v>931</v>
      </c>
      <c r="Q18" t="n">
        <v>356</v>
      </c>
      <c r="R18" t="n">
        <v>20740</v>
      </c>
      <c r="S18" t="n">
        <v>10032</v>
      </c>
      <c r="T18" t="n">
        <v>583</v>
      </c>
      <c r="U18" t="n">
        <v>199</v>
      </c>
      <c r="V18" t="n">
        <v>19818</v>
      </c>
      <c r="W18" t="n">
        <v>9527</v>
      </c>
      <c r="X18" t="n">
        <v>407</v>
      </c>
      <c r="Y18" t="n">
        <v>155</v>
      </c>
      <c r="Z18" t="n">
        <v>20889</v>
      </c>
      <c r="AA18" t="n">
        <v>10281</v>
      </c>
      <c r="AB18" t="n">
        <v>259</v>
      </c>
      <c r="AC18" t="n">
        <v>119</v>
      </c>
      <c r="AD18" t="n">
        <v>19952</v>
      </c>
      <c r="AE18" t="n">
        <v>9921</v>
      </c>
      <c r="AF18" t="n">
        <v>318</v>
      </c>
      <c r="AG18" t="n">
        <v>144</v>
      </c>
      <c r="AH18" t="n">
        <v>18114</v>
      </c>
      <c r="AI18" t="n">
        <v>9050</v>
      </c>
      <c r="AJ18" t="n">
        <v>488</v>
      </c>
      <c r="AK18" t="n">
        <v>176</v>
      </c>
      <c r="AL18" t="n">
        <v>13448</v>
      </c>
      <c r="AM18" t="n">
        <v>6896</v>
      </c>
      <c r="AN18" t="n">
        <v>30</v>
      </c>
      <c r="AO18" t="n">
        <v>15</v>
      </c>
      <c r="AP18" t="n">
        <v>13790</v>
      </c>
      <c r="AQ18" t="n">
        <v>6988</v>
      </c>
      <c r="AR18" t="n">
        <v>17</v>
      </c>
      <c r="AS18" t="n">
        <v>5</v>
      </c>
      <c r="AT18" t="n">
        <v>13865</v>
      </c>
      <c r="AU18" t="n">
        <v>6958</v>
      </c>
      <c r="AV18" t="n">
        <v>664</v>
      </c>
      <c r="AW18" t="n">
        <v>286</v>
      </c>
    </row>
    <row r="19">
      <c r="A19" t="inlineStr">
        <is>
          <t>Preah Sihanouk</t>
        </is>
      </c>
      <c r="B19" t="n">
        <v>6219</v>
      </c>
      <c r="C19" t="n">
        <v>2900</v>
      </c>
      <c r="D19" t="n">
        <v>941</v>
      </c>
      <c r="E19" t="n">
        <v>395</v>
      </c>
      <c r="F19" t="n">
        <v>5248</v>
      </c>
      <c r="G19" t="n">
        <v>2491</v>
      </c>
      <c r="H19" t="n">
        <v>590</v>
      </c>
      <c r="I19" t="n">
        <v>244</v>
      </c>
      <c r="J19" t="n">
        <v>4753</v>
      </c>
      <c r="K19" t="n">
        <v>2251</v>
      </c>
      <c r="L19" t="n">
        <v>355</v>
      </c>
      <c r="M19" t="n">
        <v>142</v>
      </c>
      <c r="N19" t="n">
        <v>4332</v>
      </c>
      <c r="O19" t="n">
        <v>2086</v>
      </c>
      <c r="P19" t="n">
        <v>258</v>
      </c>
      <c r="Q19" t="n">
        <v>85</v>
      </c>
      <c r="R19" t="n">
        <v>4032</v>
      </c>
      <c r="S19" t="n">
        <v>1981</v>
      </c>
      <c r="T19" t="n">
        <v>139</v>
      </c>
      <c r="U19" t="n">
        <v>32</v>
      </c>
      <c r="V19" t="n">
        <v>3656</v>
      </c>
      <c r="W19" t="n">
        <v>1817</v>
      </c>
      <c r="X19" t="n">
        <v>136</v>
      </c>
      <c r="Y19" t="n">
        <v>41</v>
      </c>
      <c r="Z19" t="n">
        <v>3587</v>
      </c>
      <c r="AA19" t="n">
        <v>1870</v>
      </c>
      <c r="AB19" t="n">
        <v>55</v>
      </c>
      <c r="AC19" t="n">
        <v>15</v>
      </c>
      <c r="AD19" t="n">
        <v>2979</v>
      </c>
      <c r="AE19" t="n">
        <v>1541</v>
      </c>
      <c r="AF19" t="n">
        <v>18</v>
      </c>
      <c r="AG19" t="n">
        <v>8</v>
      </c>
      <c r="AH19" t="n">
        <v>2652</v>
      </c>
      <c r="AI19" t="n">
        <v>1284</v>
      </c>
      <c r="AJ19" t="n">
        <v>81</v>
      </c>
      <c r="AK19" t="n">
        <v>31</v>
      </c>
      <c r="AL19" t="n">
        <v>1798</v>
      </c>
      <c r="AM19" t="n">
        <v>965</v>
      </c>
      <c r="AN19" t="n">
        <v>6</v>
      </c>
      <c r="AO19" t="n">
        <v>2</v>
      </c>
      <c r="AP19" t="n">
        <v>1651</v>
      </c>
      <c r="AQ19" t="n">
        <v>844</v>
      </c>
      <c r="AR19" t="n">
        <v>1</v>
      </c>
      <c r="AS19" t="n">
        <v>0</v>
      </c>
      <c r="AT19" t="n">
        <v>1372</v>
      </c>
      <c r="AU19" t="n">
        <v>741</v>
      </c>
      <c r="AV19" t="n">
        <v>12</v>
      </c>
      <c r="AW19" t="n">
        <v>3</v>
      </c>
    </row>
    <row r="20">
      <c r="A20" t="inlineStr">
        <is>
          <t>Preah Vihear</t>
        </is>
      </c>
      <c r="B20" t="n">
        <v>8149</v>
      </c>
      <c r="C20" t="n">
        <v>3908</v>
      </c>
      <c r="D20" t="n">
        <v>1792</v>
      </c>
      <c r="E20" t="n">
        <v>748</v>
      </c>
      <c r="F20" t="n">
        <v>7142</v>
      </c>
      <c r="G20" t="n">
        <v>3513</v>
      </c>
      <c r="H20" t="n">
        <v>957</v>
      </c>
      <c r="I20" t="n">
        <v>381</v>
      </c>
      <c r="J20" t="n">
        <v>6755</v>
      </c>
      <c r="K20" t="n">
        <v>3193</v>
      </c>
      <c r="L20" t="n">
        <v>684</v>
      </c>
      <c r="M20" t="n">
        <v>282</v>
      </c>
      <c r="N20" t="n">
        <v>5957</v>
      </c>
      <c r="O20" t="n">
        <v>3012</v>
      </c>
      <c r="P20" t="n">
        <v>441</v>
      </c>
      <c r="Q20" t="n">
        <v>158</v>
      </c>
      <c r="R20" t="n">
        <v>5198</v>
      </c>
      <c r="S20" t="n">
        <v>2650</v>
      </c>
      <c r="T20" t="n">
        <v>246</v>
      </c>
      <c r="U20" t="n">
        <v>98</v>
      </c>
      <c r="V20" t="n">
        <v>4704</v>
      </c>
      <c r="W20" t="n">
        <v>2466</v>
      </c>
      <c r="X20" t="n">
        <v>113</v>
      </c>
      <c r="Y20" t="n">
        <v>37</v>
      </c>
      <c r="Z20" t="n">
        <v>4110</v>
      </c>
      <c r="AA20" t="n">
        <v>2185</v>
      </c>
      <c r="AB20" t="n">
        <v>24</v>
      </c>
      <c r="AC20" t="n">
        <v>7</v>
      </c>
      <c r="AD20" t="n">
        <v>3480</v>
      </c>
      <c r="AE20" t="n">
        <v>1938</v>
      </c>
      <c r="AF20" t="n">
        <v>8</v>
      </c>
      <c r="AG20" t="n">
        <v>1</v>
      </c>
      <c r="AH20" t="n">
        <v>3081</v>
      </c>
      <c r="AI20" t="n">
        <v>1710</v>
      </c>
      <c r="AJ20" t="n">
        <v>18</v>
      </c>
      <c r="AK20" t="n">
        <v>9</v>
      </c>
      <c r="AL20" t="n">
        <v>2286</v>
      </c>
      <c r="AM20" t="n">
        <v>1296</v>
      </c>
      <c r="AN20" t="n">
        <v>13</v>
      </c>
      <c r="AO20" t="n">
        <v>9</v>
      </c>
      <c r="AP20" t="n">
        <v>1857</v>
      </c>
      <c r="AQ20" t="n">
        <v>1014</v>
      </c>
      <c r="AR20" t="n">
        <v>1</v>
      </c>
      <c r="AS20" t="n">
        <v>0</v>
      </c>
      <c r="AT20" t="n">
        <v>1561</v>
      </c>
      <c r="AU20" t="n">
        <v>861</v>
      </c>
      <c r="AV20" t="n">
        <v>14</v>
      </c>
      <c r="AW20" t="n">
        <v>7</v>
      </c>
    </row>
    <row r="21">
      <c r="A21" t="inlineStr">
        <is>
          <t>Prey Veng</t>
        </is>
      </c>
      <c r="B21" t="n">
        <v>27569</v>
      </c>
      <c r="C21" t="n">
        <v>12717</v>
      </c>
      <c r="D21" t="n">
        <v>3678</v>
      </c>
      <c r="E21" t="n">
        <v>1440</v>
      </c>
      <c r="F21" t="n">
        <v>26244</v>
      </c>
      <c r="G21" t="n">
        <v>12069</v>
      </c>
      <c r="H21" t="n">
        <v>2346</v>
      </c>
      <c r="I21" t="n">
        <v>847</v>
      </c>
      <c r="J21" t="n">
        <v>24337</v>
      </c>
      <c r="K21" t="n">
        <v>11298</v>
      </c>
      <c r="L21" t="n">
        <v>2076</v>
      </c>
      <c r="M21" t="n">
        <v>693</v>
      </c>
      <c r="N21" t="n">
        <v>23802</v>
      </c>
      <c r="O21" t="n">
        <v>11119</v>
      </c>
      <c r="P21" t="n">
        <v>1579</v>
      </c>
      <c r="Q21" t="n">
        <v>534</v>
      </c>
      <c r="R21" t="n">
        <v>23661</v>
      </c>
      <c r="S21" t="n">
        <v>11070</v>
      </c>
      <c r="T21" t="n">
        <v>1261</v>
      </c>
      <c r="U21" t="n">
        <v>437</v>
      </c>
      <c r="V21" t="n">
        <v>23118</v>
      </c>
      <c r="W21" t="n">
        <v>11147</v>
      </c>
      <c r="X21" t="n">
        <v>959</v>
      </c>
      <c r="Y21" t="n">
        <v>303</v>
      </c>
      <c r="Z21" t="n">
        <v>19676</v>
      </c>
      <c r="AA21" t="n">
        <v>10175</v>
      </c>
      <c r="AB21" t="n">
        <v>35</v>
      </c>
      <c r="AC21" t="n">
        <v>16</v>
      </c>
      <c r="AD21" t="n">
        <v>16992</v>
      </c>
      <c r="AE21" t="n">
        <v>8931</v>
      </c>
      <c r="AF21" t="n">
        <v>17</v>
      </c>
      <c r="AG21" t="n">
        <v>8</v>
      </c>
      <c r="AH21" t="n">
        <v>14153</v>
      </c>
      <c r="AI21" t="n">
        <v>7425</v>
      </c>
      <c r="AJ21" t="n">
        <v>150</v>
      </c>
      <c r="AK21" t="n">
        <v>63</v>
      </c>
      <c r="AL21" t="n">
        <v>9818</v>
      </c>
      <c r="AM21" t="n">
        <v>5310</v>
      </c>
      <c r="AN21" t="n">
        <v>15</v>
      </c>
      <c r="AO21" t="n">
        <v>3</v>
      </c>
      <c r="AP21" t="n">
        <v>8395</v>
      </c>
      <c r="AQ21" t="n">
        <v>4498</v>
      </c>
      <c r="AR21" t="n">
        <v>15</v>
      </c>
      <c r="AS21" t="n">
        <v>10</v>
      </c>
      <c r="AT21" t="n">
        <v>7503</v>
      </c>
      <c r="AU21" t="n">
        <v>4135</v>
      </c>
      <c r="AV21" t="n">
        <v>201</v>
      </c>
      <c r="AW21" t="n">
        <v>85</v>
      </c>
    </row>
    <row r="22">
      <c r="A22" t="inlineStr">
        <is>
          <t>Pursat</t>
        </is>
      </c>
      <c r="B22" t="n">
        <v>14645</v>
      </c>
      <c r="C22" t="n">
        <v>6862</v>
      </c>
      <c r="D22" t="n">
        <v>2586</v>
      </c>
      <c r="E22" t="n">
        <v>1074</v>
      </c>
      <c r="F22" t="n">
        <v>15203</v>
      </c>
      <c r="G22" t="n">
        <v>8279</v>
      </c>
      <c r="H22" t="n">
        <v>1408</v>
      </c>
      <c r="I22" t="n">
        <v>550</v>
      </c>
      <c r="J22" t="n">
        <v>11668</v>
      </c>
      <c r="K22" t="n">
        <v>5810</v>
      </c>
      <c r="L22" t="n">
        <v>1129</v>
      </c>
      <c r="M22" t="n">
        <v>452</v>
      </c>
      <c r="N22" t="n">
        <v>10882</v>
      </c>
      <c r="O22" t="n">
        <v>5956</v>
      </c>
      <c r="P22" t="n">
        <v>677</v>
      </c>
      <c r="Q22" t="n">
        <v>233</v>
      </c>
      <c r="R22" t="n">
        <v>10156</v>
      </c>
      <c r="S22" t="n">
        <v>6233</v>
      </c>
      <c r="T22" t="n">
        <v>491</v>
      </c>
      <c r="U22" t="n">
        <v>163</v>
      </c>
      <c r="V22" t="n">
        <v>9534</v>
      </c>
      <c r="W22" t="n">
        <v>4876</v>
      </c>
      <c r="X22" t="n">
        <v>322</v>
      </c>
      <c r="Y22" t="n">
        <v>99</v>
      </c>
      <c r="Z22" t="n">
        <v>7979</v>
      </c>
      <c r="AA22" t="n">
        <v>4304</v>
      </c>
      <c r="AB22" t="n">
        <v>12</v>
      </c>
      <c r="AC22" t="n">
        <v>5</v>
      </c>
      <c r="AD22" t="n">
        <v>6750</v>
      </c>
      <c r="AE22" t="n">
        <v>3663</v>
      </c>
      <c r="AF22" t="n">
        <v>12</v>
      </c>
      <c r="AG22" t="n">
        <v>4</v>
      </c>
      <c r="AH22" t="n">
        <v>5811</v>
      </c>
      <c r="AI22" t="n">
        <v>3068</v>
      </c>
      <c r="AJ22" t="n">
        <v>39</v>
      </c>
      <c r="AK22" t="n">
        <v>17</v>
      </c>
      <c r="AL22" t="n">
        <v>4157</v>
      </c>
      <c r="AM22" t="n">
        <v>2345</v>
      </c>
      <c r="AN22" t="n">
        <v>0</v>
      </c>
      <c r="AO22" t="n">
        <v>0</v>
      </c>
      <c r="AP22" t="n">
        <v>3601</v>
      </c>
      <c r="AQ22" t="n">
        <v>1926</v>
      </c>
      <c r="AR22" t="n">
        <v>0</v>
      </c>
      <c r="AS22" t="n">
        <v>0</v>
      </c>
      <c r="AT22" t="n">
        <v>3062</v>
      </c>
      <c r="AU22" t="n">
        <v>1678</v>
      </c>
      <c r="AV22" t="n">
        <v>111</v>
      </c>
      <c r="AW22" t="n">
        <v>49</v>
      </c>
    </row>
    <row r="23">
      <c r="A23" t="inlineStr">
        <is>
          <t>Ratanak Kiri</t>
        </is>
      </c>
      <c r="B23" t="n">
        <v>7631</v>
      </c>
      <c r="C23" t="n">
        <v>3713</v>
      </c>
      <c r="D23" t="n">
        <v>736</v>
      </c>
      <c r="E23" t="n">
        <v>321</v>
      </c>
      <c r="F23" t="n">
        <v>7369</v>
      </c>
      <c r="G23" t="n">
        <v>3474</v>
      </c>
      <c r="H23" t="n">
        <v>503</v>
      </c>
      <c r="I23" t="n">
        <v>207</v>
      </c>
      <c r="J23" t="n">
        <v>6939</v>
      </c>
      <c r="K23" t="n">
        <v>3327</v>
      </c>
      <c r="L23" t="n">
        <v>384</v>
      </c>
      <c r="M23" t="n">
        <v>141</v>
      </c>
      <c r="N23" t="n">
        <v>6513</v>
      </c>
      <c r="O23" t="n">
        <v>3188</v>
      </c>
      <c r="P23" t="n">
        <v>281</v>
      </c>
      <c r="Q23" t="n">
        <v>118</v>
      </c>
      <c r="R23" t="n">
        <v>6002</v>
      </c>
      <c r="S23" t="n">
        <v>3158</v>
      </c>
      <c r="T23" t="n">
        <v>174</v>
      </c>
      <c r="U23" t="n">
        <v>72</v>
      </c>
      <c r="V23" t="n">
        <v>5205</v>
      </c>
      <c r="W23" t="n">
        <v>2664</v>
      </c>
      <c r="X23" t="n">
        <v>116</v>
      </c>
      <c r="Y23" t="n">
        <v>40</v>
      </c>
      <c r="Z23" t="n">
        <v>3795</v>
      </c>
      <c r="AA23" t="n">
        <v>1912</v>
      </c>
      <c r="AB23" t="n">
        <v>5</v>
      </c>
      <c r="AC23" t="n">
        <v>1</v>
      </c>
      <c r="AD23" t="n">
        <v>3021</v>
      </c>
      <c r="AE23" t="n">
        <v>1657</v>
      </c>
      <c r="AF23" t="n">
        <v>1</v>
      </c>
      <c r="AG23" t="n">
        <v>1</v>
      </c>
      <c r="AH23" t="n">
        <v>2519</v>
      </c>
      <c r="AI23" t="n">
        <v>1276</v>
      </c>
      <c r="AJ23" t="n">
        <v>71</v>
      </c>
      <c r="AK23" t="n">
        <v>22</v>
      </c>
      <c r="AL23" t="n">
        <v>1789</v>
      </c>
      <c r="AM23" t="n">
        <v>889</v>
      </c>
      <c r="AN23" t="n">
        <v>6</v>
      </c>
      <c r="AO23" t="n">
        <v>4</v>
      </c>
      <c r="AP23" t="n">
        <v>1643</v>
      </c>
      <c r="AQ23" t="n">
        <v>825</v>
      </c>
      <c r="AR23" t="n">
        <v>0</v>
      </c>
      <c r="AS23" t="n">
        <v>0</v>
      </c>
      <c r="AT23" t="n">
        <v>1303</v>
      </c>
      <c r="AU23" t="n">
        <v>663</v>
      </c>
      <c r="AV23" t="n">
        <v>17</v>
      </c>
      <c r="AW23" t="n">
        <v>7</v>
      </c>
    </row>
    <row r="24">
      <c r="A24" t="inlineStr">
        <is>
          <t>Siemreap</t>
        </is>
      </c>
      <c r="B24" t="n">
        <v>34550</v>
      </c>
      <c r="C24" t="n">
        <v>16027</v>
      </c>
      <c r="D24" t="n">
        <v>6005</v>
      </c>
      <c r="E24" t="n">
        <v>2321</v>
      </c>
      <c r="F24" t="n">
        <v>30146</v>
      </c>
      <c r="G24" t="n">
        <v>15413</v>
      </c>
      <c r="H24" t="n">
        <v>3428</v>
      </c>
      <c r="I24" t="n">
        <v>1248</v>
      </c>
      <c r="J24" t="n">
        <v>27342</v>
      </c>
      <c r="K24" t="n">
        <v>12964</v>
      </c>
      <c r="L24" t="n">
        <v>2573</v>
      </c>
      <c r="M24" t="n">
        <v>853</v>
      </c>
      <c r="N24" t="n">
        <v>25934</v>
      </c>
      <c r="O24" t="n">
        <v>13054</v>
      </c>
      <c r="P24" t="n">
        <v>1714</v>
      </c>
      <c r="Q24" t="n">
        <v>537</v>
      </c>
      <c r="R24" t="n">
        <v>24001</v>
      </c>
      <c r="S24" t="n">
        <v>12472</v>
      </c>
      <c r="T24" t="n">
        <v>1400</v>
      </c>
      <c r="U24" t="n">
        <v>476</v>
      </c>
      <c r="V24" t="n">
        <v>23049</v>
      </c>
      <c r="W24" t="n">
        <v>11687</v>
      </c>
      <c r="X24" t="n">
        <v>874</v>
      </c>
      <c r="Y24" t="n">
        <v>271</v>
      </c>
      <c r="Z24" t="n">
        <v>20759</v>
      </c>
      <c r="AA24" t="n">
        <v>11164</v>
      </c>
      <c r="AB24" t="n">
        <v>525</v>
      </c>
      <c r="AC24" t="n">
        <v>167</v>
      </c>
      <c r="AD24" t="n">
        <v>17794</v>
      </c>
      <c r="AE24" t="n">
        <v>9855</v>
      </c>
      <c r="AF24" t="n">
        <v>348</v>
      </c>
      <c r="AG24" t="n">
        <v>141</v>
      </c>
      <c r="AH24" t="n">
        <v>15240</v>
      </c>
      <c r="AI24" t="n">
        <v>8442</v>
      </c>
      <c r="AJ24" t="n">
        <v>317</v>
      </c>
      <c r="AK24" t="n">
        <v>92</v>
      </c>
      <c r="AL24" t="n">
        <v>11788</v>
      </c>
      <c r="AM24" t="n">
        <v>6806</v>
      </c>
      <c r="AN24" t="n">
        <v>134</v>
      </c>
      <c r="AO24" t="n">
        <v>46</v>
      </c>
      <c r="AP24" t="n">
        <v>10630</v>
      </c>
      <c r="AQ24" t="n">
        <v>5949</v>
      </c>
      <c r="AR24" t="n">
        <v>87</v>
      </c>
      <c r="AS24" t="n">
        <v>33</v>
      </c>
      <c r="AT24" t="n">
        <v>9022</v>
      </c>
      <c r="AU24" t="n">
        <v>5271</v>
      </c>
      <c r="AV24" t="n">
        <v>165</v>
      </c>
      <c r="AW24" t="n">
        <v>102</v>
      </c>
    </row>
    <row r="25">
      <c r="A25" t="inlineStr">
        <is>
          <t>Stung Treng</t>
        </is>
      </c>
      <c r="B25" t="n">
        <v>6482</v>
      </c>
      <c r="C25" t="n">
        <v>3103</v>
      </c>
      <c r="D25" t="n">
        <v>1469</v>
      </c>
      <c r="E25" t="n">
        <v>641</v>
      </c>
      <c r="F25" t="n">
        <v>5398</v>
      </c>
      <c r="G25" t="n">
        <v>2542</v>
      </c>
      <c r="H25" t="n">
        <v>806</v>
      </c>
      <c r="I25" t="n">
        <v>343</v>
      </c>
      <c r="J25" t="n">
        <v>4832</v>
      </c>
      <c r="K25" t="n">
        <v>2398</v>
      </c>
      <c r="L25" t="n">
        <v>522</v>
      </c>
      <c r="M25" t="n">
        <v>230</v>
      </c>
      <c r="N25" t="n">
        <v>4185</v>
      </c>
      <c r="O25" t="n">
        <v>2208</v>
      </c>
      <c r="P25" t="n">
        <v>361</v>
      </c>
      <c r="Q25" t="n">
        <v>144</v>
      </c>
      <c r="R25" t="n">
        <v>3701</v>
      </c>
      <c r="S25" t="n">
        <v>2059</v>
      </c>
      <c r="T25" t="n">
        <v>223</v>
      </c>
      <c r="U25" t="n">
        <v>89</v>
      </c>
      <c r="V25" t="n">
        <v>3283</v>
      </c>
      <c r="W25" t="n">
        <v>1729</v>
      </c>
      <c r="X25" t="n">
        <v>142</v>
      </c>
      <c r="Y25" t="n">
        <v>68</v>
      </c>
      <c r="Z25" t="n">
        <v>2371</v>
      </c>
      <c r="AA25" t="n">
        <v>1298</v>
      </c>
      <c r="AB25" t="n">
        <v>18</v>
      </c>
      <c r="AC25" t="n">
        <v>6</v>
      </c>
      <c r="AD25" t="n">
        <v>1939</v>
      </c>
      <c r="AE25" t="n">
        <v>1051</v>
      </c>
      <c r="AF25" t="n">
        <v>9</v>
      </c>
      <c r="AG25" t="n">
        <v>2</v>
      </c>
      <c r="AH25" t="n">
        <v>1594</v>
      </c>
      <c r="AI25" t="n">
        <v>804</v>
      </c>
      <c r="AJ25" t="n">
        <v>13</v>
      </c>
      <c r="AK25" t="n">
        <v>5</v>
      </c>
      <c r="AL25" t="n">
        <v>1055</v>
      </c>
      <c r="AM25" t="n">
        <v>572</v>
      </c>
      <c r="AN25" t="n">
        <v>1</v>
      </c>
      <c r="AO25" t="n">
        <v>1</v>
      </c>
      <c r="AP25" t="n">
        <v>1003</v>
      </c>
      <c r="AQ25" t="n">
        <v>567</v>
      </c>
      <c r="AR25" t="n">
        <v>1</v>
      </c>
      <c r="AS25" t="n">
        <v>0</v>
      </c>
      <c r="AT25" t="n">
        <v>801</v>
      </c>
      <c r="AU25" t="n">
        <v>423</v>
      </c>
      <c r="AV25" t="n">
        <v>11</v>
      </c>
      <c r="AW25" t="n">
        <v>3</v>
      </c>
    </row>
    <row r="26">
      <c r="A26" t="inlineStr">
        <is>
          <t>Svay Rieng</t>
        </is>
      </c>
      <c r="B26" t="n">
        <v>14565</v>
      </c>
      <c r="C26" t="n">
        <v>6866</v>
      </c>
      <c r="D26" t="n">
        <v>1664</v>
      </c>
      <c r="E26" t="n">
        <v>633</v>
      </c>
      <c r="F26" t="n">
        <v>14123</v>
      </c>
      <c r="G26" t="n">
        <v>6426</v>
      </c>
      <c r="H26" t="n">
        <v>868</v>
      </c>
      <c r="I26" t="n">
        <v>299</v>
      </c>
      <c r="J26" t="n">
        <v>12580</v>
      </c>
      <c r="K26" t="n">
        <v>6102</v>
      </c>
      <c r="L26" t="n">
        <v>639</v>
      </c>
      <c r="M26" t="n">
        <v>211</v>
      </c>
      <c r="N26" t="n">
        <v>11848</v>
      </c>
      <c r="O26" t="n">
        <v>5643</v>
      </c>
      <c r="P26" t="n">
        <v>545</v>
      </c>
      <c r="Q26" t="n">
        <v>175</v>
      </c>
      <c r="R26" t="n">
        <v>11257</v>
      </c>
      <c r="S26" t="n">
        <v>5458</v>
      </c>
      <c r="T26" t="n">
        <v>368</v>
      </c>
      <c r="U26" t="n">
        <v>112</v>
      </c>
      <c r="V26" t="n">
        <v>11069</v>
      </c>
      <c r="W26" t="n">
        <v>5433</v>
      </c>
      <c r="X26" t="n">
        <v>288</v>
      </c>
      <c r="Y26" t="n">
        <v>87</v>
      </c>
      <c r="Z26" t="n">
        <v>10601</v>
      </c>
      <c r="AA26" t="n">
        <v>5413</v>
      </c>
      <c r="AB26" t="n">
        <v>50</v>
      </c>
      <c r="AC26" t="n">
        <v>17</v>
      </c>
      <c r="AD26" t="n">
        <v>8648</v>
      </c>
      <c r="AE26" t="n">
        <v>4414</v>
      </c>
      <c r="AF26" t="n">
        <v>25</v>
      </c>
      <c r="AG26" t="n">
        <v>8</v>
      </c>
      <c r="AH26" t="n">
        <v>7091</v>
      </c>
      <c r="AI26" t="n">
        <v>3454</v>
      </c>
      <c r="AJ26" t="n">
        <v>65</v>
      </c>
      <c r="AK26" t="n">
        <v>16</v>
      </c>
      <c r="AL26" t="n">
        <v>4743</v>
      </c>
      <c r="AM26" t="n">
        <v>2492</v>
      </c>
      <c r="AN26" t="n">
        <v>1</v>
      </c>
      <c r="AO26" t="n">
        <v>0</v>
      </c>
      <c r="AP26" t="n">
        <v>4169</v>
      </c>
      <c r="AQ26" t="n">
        <v>2138</v>
      </c>
      <c r="AR26" t="n">
        <v>2</v>
      </c>
      <c r="AS26" t="n">
        <v>0</v>
      </c>
      <c r="AT26" t="n">
        <v>3740</v>
      </c>
      <c r="AU26" t="n">
        <v>1980</v>
      </c>
      <c r="AV26" t="n">
        <v>45</v>
      </c>
      <c r="AW26" t="n">
        <v>16</v>
      </c>
    </row>
    <row r="27">
      <c r="A27" t="inlineStr">
        <is>
          <t>Takeo</t>
        </is>
      </c>
      <c r="B27" t="n">
        <v>21344</v>
      </c>
      <c r="C27" t="n">
        <v>9958</v>
      </c>
      <c r="D27" t="n">
        <v>2696</v>
      </c>
      <c r="E27" t="n">
        <v>1027</v>
      </c>
      <c r="F27" t="n">
        <v>20503</v>
      </c>
      <c r="G27" t="n">
        <v>9666</v>
      </c>
      <c r="H27" t="n">
        <v>1819</v>
      </c>
      <c r="I27" t="n">
        <v>634</v>
      </c>
      <c r="J27" t="n">
        <v>18695</v>
      </c>
      <c r="K27" t="n">
        <v>8914</v>
      </c>
      <c r="L27" t="n">
        <v>1507</v>
      </c>
      <c r="M27" t="n">
        <v>526</v>
      </c>
      <c r="N27" t="n">
        <v>18210</v>
      </c>
      <c r="O27" t="n">
        <v>8682</v>
      </c>
      <c r="P27" t="n">
        <v>1137</v>
      </c>
      <c r="Q27" t="n">
        <v>408</v>
      </c>
      <c r="R27" t="n">
        <v>17550</v>
      </c>
      <c r="S27" t="n">
        <v>8460</v>
      </c>
      <c r="T27" t="n">
        <v>941</v>
      </c>
      <c r="U27" t="n">
        <v>299</v>
      </c>
      <c r="V27" t="n">
        <v>17600</v>
      </c>
      <c r="W27" t="n">
        <v>8559</v>
      </c>
      <c r="X27" t="n">
        <v>791</v>
      </c>
      <c r="Y27" t="n">
        <v>216</v>
      </c>
      <c r="Z27" t="n">
        <v>16847</v>
      </c>
      <c r="AA27" t="n">
        <v>8623</v>
      </c>
      <c r="AB27" t="n">
        <v>208</v>
      </c>
      <c r="AC27" t="n">
        <v>95</v>
      </c>
      <c r="AD27" t="n">
        <v>15317</v>
      </c>
      <c r="AE27" t="n">
        <v>7900</v>
      </c>
      <c r="AF27" t="n">
        <v>289</v>
      </c>
      <c r="AG27" t="n">
        <v>131</v>
      </c>
      <c r="AH27" t="n">
        <v>13436</v>
      </c>
      <c r="AI27" t="n">
        <v>6869</v>
      </c>
      <c r="AJ27" t="n">
        <v>165</v>
      </c>
      <c r="AK27" t="n">
        <v>47</v>
      </c>
      <c r="AL27" t="n">
        <v>10057</v>
      </c>
      <c r="AM27" t="n">
        <v>5271</v>
      </c>
      <c r="AN27" t="n">
        <v>38</v>
      </c>
      <c r="AO27" t="n">
        <v>20</v>
      </c>
      <c r="AP27" t="n">
        <v>9788</v>
      </c>
      <c r="AQ27" t="n">
        <v>5090</v>
      </c>
      <c r="AR27" t="n">
        <v>29</v>
      </c>
      <c r="AS27" t="n">
        <v>18</v>
      </c>
      <c r="AT27" t="n">
        <v>8633</v>
      </c>
      <c r="AU27" t="n">
        <v>4623</v>
      </c>
      <c r="AV27" t="n">
        <v>188</v>
      </c>
      <c r="AW27" t="n">
        <v>101</v>
      </c>
    </row>
    <row r="28">
      <c r="A28" t="inlineStr">
        <is>
          <t>Tbaung Khmum</t>
        </is>
      </c>
      <c r="B28" t="n">
        <v>21338</v>
      </c>
      <c r="C28" t="n">
        <v>9970</v>
      </c>
      <c r="D28" t="n">
        <v>3249</v>
      </c>
      <c r="E28" t="n">
        <v>1301</v>
      </c>
      <c r="F28" t="n">
        <v>20082</v>
      </c>
      <c r="G28" t="n">
        <v>9583</v>
      </c>
      <c r="H28" t="n">
        <v>2116</v>
      </c>
      <c r="I28" t="n">
        <v>791</v>
      </c>
      <c r="J28" t="n">
        <v>18704</v>
      </c>
      <c r="K28" t="n">
        <v>8795</v>
      </c>
      <c r="L28" t="n">
        <v>1605</v>
      </c>
      <c r="M28" t="n">
        <v>597</v>
      </c>
      <c r="N28" t="n">
        <v>17816</v>
      </c>
      <c r="O28" t="n">
        <v>8643</v>
      </c>
      <c r="P28" t="n">
        <v>1119</v>
      </c>
      <c r="Q28" t="n">
        <v>403</v>
      </c>
      <c r="R28" t="n">
        <v>16536</v>
      </c>
      <c r="S28" t="n">
        <v>8241</v>
      </c>
      <c r="T28" t="n">
        <v>857</v>
      </c>
      <c r="U28" t="n">
        <v>314</v>
      </c>
      <c r="V28" t="n">
        <v>14992</v>
      </c>
      <c r="W28" t="n">
        <v>7449</v>
      </c>
      <c r="X28" t="n">
        <v>518</v>
      </c>
      <c r="Y28" t="n">
        <v>179</v>
      </c>
      <c r="Z28" t="n">
        <v>12657</v>
      </c>
      <c r="AA28" t="n">
        <v>6778</v>
      </c>
      <c r="AB28" t="n">
        <v>125</v>
      </c>
      <c r="AC28" t="n">
        <v>43</v>
      </c>
      <c r="AD28" t="n">
        <v>10489</v>
      </c>
      <c r="AE28" t="n">
        <v>5616</v>
      </c>
      <c r="AF28" t="n">
        <v>66</v>
      </c>
      <c r="AG28" t="n">
        <v>25</v>
      </c>
      <c r="AH28" t="n">
        <v>8828</v>
      </c>
      <c r="AI28" t="n">
        <v>4827</v>
      </c>
      <c r="AJ28" t="n">
        <v>245</v>
      </c>
      <c r="AK28" t="n">
        <v>100</v>
      </c>
      <c r="AL28" t="n">
        <v>5787</v>
      </c>
      <c r="AM28" t="n">
        <v>3264</v>
      </c>
      <c r="AN28" t="n">
        <v>31</v>
      </c>
      <c r="AO28" t="n">
        <v>12</v>
      </c>
      <c r="AP28" t="n">
        <v>5266</v>
      </c>
      <c r="AQ28" t="n">
        <v>2945</v>
      </c>
      <c r="AR28" t="n">
        <v>18</v>
      </c>
      <c r="AS28" t="n">
        <v>8</v>
      </c>
      <c r="AT28" t="n">
        <v>4370</v>
      </c>
      <c r="AU28" t="n">
        <v>2468</v>
      </c>
      <c r="AV28" t="n">
        <v>124</v>
      </c>
      <c r="AW28" t="n">
        <v>55</v>
      </c>
    </row>
    <row r="29">
      <c r="A29" t="inlineStr">
        <is>
          <t>Whole Kingdom</t>
        </is>
      </c>
      <c r="B29" t="n">
        <v>400673</v>
      </c>
      <c r="C29" t="n">
        <v>187608</v>
      </c>
      <c r="D29" t="n">
        <v>57724</v>
      </c>
      <c r="E29" t="n">
        <v>22828</v>
      </c>
      <c r="F29" t="n">
        <v>382709</v>
      </c>
      <c r="G29" t="n">
        <v>183111</v>
      </c>
      <c r="H29" t="n">
        <v>35297</v>
      </c>
      <c r="I29" t="n">
        <v>13212</v>
      </c>
      <c r="J29" t="n">
        <v>338604</v>
      </c>
      <c r="K29" t="n">
        <v>162495</v>
      </c>
      <c r="L29" t="n">
        <v>27312</v>
      </c>
      <c r="M29" t="n">
        <v>9905</v>
      </c>
      <c r="N29" t="n">
        <v>323812</v>
      </c>
      <c r="O29" t="n">
        <v>163375</v>
      </c>
      <c r="P29" t="n">
        <v>19628</v>
      </c>
      <c r="Q29" t="n">
        <v>6932</v>
      </c>
      <c r="R29" t="n">
        <v>302764</v>
      </c>
      <c r="S29" t="n">
        <v>159001</v>
      </c>
      <c r="T29" t="n">
        <v>14322</v>
      </c>
      <c r="U29" t="n">
        <v>4897</v>
      </c>
      <c r="V29" t="n">
        <v>288004</v>
      </c>
      <c r="W29" t="n">
        <v>142826</v>
      </c>
      <c r="X29" t="n">
        <v>9917</v>
      </c>
      <c r="Y29" t="n">
        <v>3321</v>
      </c>
      <c r="Z29" t="n">
        <v>254642</v>
      </c>
      <c r="AA29" t="n">
        <v>133059</v>
      </c>
      <c r="AB29" t="n">
        <v>2486</v>
      </c>
      <c r="AC29" t="n">
        <v>937</v>
      </c>
      <c r="AD29" t="n">
        <v>219895</v>
      </c>
      <c r="AE29" t="n">
        <v>116757</v>
      </c>
      <c r="AF29" t="n">
        <v>1996</v>
      </c>
      <c r="AG29" t="n">
        <v>784</v>
      </c>
      <c r="AH29" t="n">
        <v>187569</v>
      </c>
      <c r="AI29" t="n">
        <v>98821</v>
      </c>
      <c r="AJ29" t="n">
        <v>3242</v>
      </c>
      <c r="AK29" t="n">
        <v>1096</v>
      </c>
      <c r="AL29" t="n">
        <v>133460</v>
      </c>
      <c r="AM29" t="n">
        <v>73039</v>
      </c>
      <c r="AN29" t="n">
        <v>651</v>
      </c>
      <c r="AO29" t="n">
        <v>262</v>
      </c>
      <c r="AP29" t="n">
        <v>120549</v>
      </c>
      <c r="AQ29" t="n">
        <v>64944</v>
      </c>
      <c r="AR29" t="n">
        <v>412</v>
      </c>
      <c r="AS29" t="n">
        <v>186</v>
      </c>
      <c r="AT29" t="n">
        <v>106608</v>
      </c>
      <c r="AU29" t="n">
        <v>58491</v>
      </c>
      <c r="AV29" t="n">
        <v>2731</v>
      </c>
      <c r="AW29" t="n">
        <v>1300</v>
      </c>
    </row>
    <row r="30">
      <c r="A30" t="inlineStr">
        <is>
          <t>-  Urban Area</t>
        </is>
      </c>
      <c r="B30" t="n">
        <v>72448</v>
      </c>
      <c r="C30" t="n">
        <v>33599</v>
      </c>
      <c r="D30" t="n">
        <v>10623</v>
      </c>
      <c r="E30" t="n">
        <v>4257</v>
      </c>
      <c r="F30" t="n">
        <v>62938</v>
      </c>
      <c r="G30" t="n">
        <v>30002</v>
      </c>
      <c r="H30" t="n">
        <v>5772</v>
      </c>
      <c r="I30" t="n">
        <v>2277</v>
      </c>
      <c r="J30" t="n">
        <v>56591</v>
      </c>
      <c r="K30" t="n">
        <v>26867</v>
      </c>
      <c r="L30" t="n">
        <v>4129</v>
      </c>
      <c r="M30" t="n">
        <v>1549</v>
      </c>
      <c r="N30" t="n">
        <v>55952</v>
      </c>
      <c r="O30" t="n">
        <v>27821</v>
      </c>
      <c r="P30" t="n">
        <v>2808</v>
      </c>
      <c r="Q30" t="n">
        <v>1003</v>
      </c>
      <c r="R30" t="n">
        <v>50997</v>
      </c>
      <c r="S30" t="n">
        <v>25739</v>
      </c>
      <c r="T30" t="n">
        <v>1810</v>
      </c>
      <c r="U30" t="n">
        <v>623</v>
      </c>
      <c r="V30" t="n">
        <v>48868</v>
      </c>
      <c r="W30" t="n">
        <v>23851</v>
      </c>
      <c r="X30" t="n">
        <v>1161</v>
      </c>
      <c r="Y30" t="n">
        <v>399</v>
      </c>
      <c r="Z30" t="n">
        <v>51066</v>
      </c>
      <c r="AA30" t="n">
        <v>25806</v>
      </c>
      <c r="AB30" t="n">
        <v>767</v>
      </c>
      <c r="AC30" t="n">
        <v>295</v>
      </c>
      <c r="AD30" t="n">
        <v>46652</v>
      </c>
      <c r="AE30" t="n">
        <v>23929</v>
      </c>
      <c r="AF30" t="n">
        <v>615</v>
      </c>
      <c r="AG30" t="n">
        <v>266</v>
      </c>
      <c r="AH30" t="n">
        <v>42576</v>
      </c>
      <c r="AI30" t="n">
        <v>21706</v>
      </c>
      <c r="AJ30" t="n">
        <v>1048</v>
      </c>
      <c r="AK30" t="n">
        <v>375</v>
      </c>
      <c r="AL30" t="n">
        <v>36365</v>
      </c>
      <c r="AM30" t="n">
        <v>19202</v>
      </c>
      <c r="AN30" t="n">
        <v>223</v>
      </c>
      <c r="AO30" t="n">
        <v>77</v>
      </c>
      <c r="AP30" t="n">
        <v>35666</v>
      </c>
      <c r="AQ30" t="n">
        <v>18711</v>
      </c>
      <c r="AR30" t="n">
        <v>117</v>
      </c>
      <c r="AS30" t="n">
        <v>50</v>
      </c>
      <c r="AT30" t="n">
        <v>34116</v>
      </c>
      <c r="AU30" t="n">
        <v>17999</v>
      </c>
      <c r="AV30" t="n">
        <v>1175</v>
      </c>
      <c r="AW30" t="n">
        <v>530</v>
      </c>
    </row>
    <row r="31">
      <c r="A31" t="inlineStr">
        <is>
          <t>-  Rural Area</t>
        </is>
      </c>
      <c r="B31" t="n">
        <v>328225</v>
      </c>
      <c r="C31" t="n">
        <v>154009</v>
      </c>
      <c r="D31" t="n">
        <v>47101</v>
      </c>
      <c r="E31" t="n">
        <v>18571</v>
      </c>
      <c r="F31" t="n">
        <v>319771</v>
      </c>
      <c r="G31" t="n">
        <v>153109</v>
      </c>
      <c r="H31" t="n">
        <v>29525</v>
      </c>
      <c r="I31" t="n">
        <v>10935</v>
      </c>
      <c r="J31" t="n">
        <v>282013</v>
      </c>
      <c r="K31" t="n">
        <v>135628</v>
      </c>
      <c r="L31" t="n">
        <v>23183</v>
      </c>
      <c r="M31" t="n">
        <v>8356</v>
      </c>
      <c r="N31" t="n">
        <v>267860</v>
      </c>
      <c r="O31" t="n">
        <v>135554</v>
      </c>
      <c r="P31" t="n">
        <v>16820</v>
      </c>
      <c r="Q31" t="n">
        <v>5929</v>
      </c>
      <c r="R31" t="n">
        <v>251767</v>
      </c>
      <c r="S31" t="n">
        <v>133262</v>
      </c>
      <c r="T31" t="n">
        <v>12512</v>
      </c>
      <c r="U31" t="n">
        <v>4274</v>
      </c>
      <c r="V31" t="n">
        <v>239136</v>
      </c>
      <c r="W31" t="n">
        <v>118975</v>
      </c>
      <c r="X31" t="n">
        <v>8756</v>
      </c>
      <c r="Y31" t="n">
        <v>2922</v>
      </c>
      <c r="Z31" t="n">
        <v>203576</v>
      </c>
      <c r="AA31" t="n">
        <v>107253</v>
      </c>
      <c r="AB31" t="n">
        <v>1719</v>
      </c>
      <c r="AC31" t="n">
        <v>642</v>
      </c>
      <c r="AD31" t="n">
        <v>173243</v>
      </c>
      <c r="AE31" t="n">
        <v>92828</v>
      </c>
      <c r="AF31" t="n">
        <v>1381</v>
      </c>
      <c r="AG31" t="n">
        <v>518</v>
      </c>
      <c r="AH31" t="n">
        <v>144993</v>
      </c>
      <c r="AI31" t="n">
        <v>77115</v>
      </c>
      <c r="AJ31" t="n">
        <v>2194</v>
      </c>
      <c r="AK31" t="n">
        <v>721</v>
      </c>
      <c r="AL31" t="n">
        <v>97095</v>
      </c>
      <c r="AM31" t="n">
        <v>53837</v>
      </c>
      <c r="AN31" t="n">
        <v>428</v>
      </c>
      <c r="AO31" t="n">
        <v>185</v>
      </c>
      <c r="AP31" t="n">
        <v>84883</v>
      </c>
      <c r="AQ31" t="n">
        <v>46233</v>
      </c>
      <c r="AR31" t="n">
        <v>295</v>
      </c>
      <c r="AS31" t="n">
        <v>136</v>
      </c>
      <c r="AT31" t="n">
        <v>72492</v>
      </c>
      <c r="AU31" t="n">
        <v>40492</v>
      </c>
      <c r="AV31" t="n">
        <v>1556</v>
      </c>
      <c r="AW31" t="n">
        <v>770</v>
      </c>
    </row>
  </sheetData>
  <mergeCells count="26">
    <mergeCell ref="L2:M2"/>
    <mergeCell ref="V2:W2"/>
    <mergeCell ref="X2:Y2"/>
    <mergeCell ref="AJ2:AK2"/>
    <mergeCell ref="AL2:AM2"/>
    <mergeCell ref="A1:N1"/>
    <mergeCell ref="B2:C2"/>
    <mergeCell ref="D2:E2"/>
    <mergeCell ref="N2:O2"/>
    <mergeCell ref="AV2:AW2"/>
    <mergeCell ref="P2:Q2"/>
    <mergeCell ref="A2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7109375" customWidth="1" min="2" max="2"/>
    <col width="7.42578125" customWidth="1" min="3" max="3"/>
    <col width="8.85546875" customWidth="1" min="5" max="5"/>
    <col width="7.42578125" customWidth="1" min="6" max="6"/>
    <col width="8.85546875" customWidth="1" min="11" max="11"/>
    <col width="7.85546875" customWidth="1" min="13" max="13"/>
    <col width="8.5703125" customWidth="1" min="14" max="14"/>
  </cols>
  <sheetData>
    <row r="1">
      <c r="A1" t="inlineStr">
        <is>
          <t>Table 13: Enrollment by Level of Education, 2020 - 2021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Pre-school</t>
        </is>
      </c>
      <c r="E2" t="inlineStr">
        <is>
          <t>Primary</t>
        </is>
      </c>
      <c r="G2" t="inlineStr">
        <is>
          <t>Lower Sec.</t>
        </is>
      </c>
      <c r="I2" t="inlineStr">
        <is>
          <t>Upper Sec.</t>
        </is>
      </c>
      <c r="K2" t="inlineStr">
        <is>
          <t>Total</t>
        </is>
      </c>
      <c r="M2" t="inlineStr">
        <is>
          <t>% Female</t>
        </is>
      </c>
    </row>
    <row r="3">
      <c r="B3" t="inlineStr">
        <is>
          <t>Schools</t>
        </is>
      </c>
      <c r="C3" t="inlineStr">
        <is>
          <t>Total</t>
        </is>
      </c>
      <c r="D3" t="inlineStr">
        <is>
          <t>Girl</t>
        </is>
      </c>
      <c r="E3" t="inlineStr">
        <is>
          <t>Total</t>
        </is>
      </c>
      <c r="F3" t="inlineStr">
        <is>
          <t>Girl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Girl</t>
        </is>
      </c>
      <c r="M3" t="inlineStr">
        <is>
          <t>Primary</t>
        </is>
      </c>
      <c r="N3" t="inlineStr">
        <is>
          <t>All Level</t>
        </is>
      </c>
    </row>
    <row r="4">
      <c r="A4" t="inlineStr">
        <is>
          <t>Banteay Meanchey</t>
        </is>
      </c>
      <c r="B4" t="n">
        <v>815</v>
      </c>
      <c r="C4" t="n">
        <v>17293</v>
      </c>
      <c r="D4" t="n">
        <v>8699</v>
      </c>
      <c r="E4" t="n">
        <v>98608</v>
      </c>
      <c r="F4" t="n">
        <v>47624</v>
      </c>
      <c r="G4" t="n">
        <v>29470</v>
      </c>
      <c r="H4" t="n">
        <v>15878</v>
      </c>
      <c r="I4" t="n">
        <v>14593</v>
      </c>
      <c r="J4" t="n">
        <v>8308</v>
      </c>
      <c r="K4" t="n">
        <v>159964</v>
      </c>
      <c r="L4" t="n">
        <v>80509</v>
      </c>
      <c r="M4" t="n">
        <v>48.3</v>
      </c>
      <c r="N4" t="n">
        <v>50.3</v>
      </c>
    </row>
    <row r="5">
      <c r="A5" t="inlineStr">
        <is>
          <t>Battambang</t>
        </is>
      </c>
      <c r="B5" t="n">
        <v>1164</v>
      </c>
      <c r="C5" t="n">
        <v>18470</v>
      </c>
      <c r="D5" t="n">
        <v>9375</v>
      </c>
      <c r="E5" t="n">
        <v>165957</v>
      </c>
      <c r="F5" t="n">
        <v>79323</v>
      </c>
      <c r="G5" t="n">
        <v>47208</v>
      </c>
      <c r="H5" t="n">
        <v>25375</v>
      </c>
      <c r="I5" t="n">
        <v>23700</v>
      </c>
      <c r="J5" t="n">
        <v>13174</v>
      </c>
      <c r="K5" t="n">
        <v>255335</v>
      </c>
      <c r="L5" t="n">
        <v>127247</v>
      </c>
      <c r="M5" t="n">
        <v>47.8</v>
      </c>
      <c r="N5" t="n">
        <v>49.8</v>
      </c>
    </row>
    <row r="6">
      <c r="A6" t="inlineStr">
        <is>
          <t>Kampong Cham</t>
        </is>
      </c>
      <c r="B6" t="n">
        <v>821</v>
      </c>
      <c r="C6" t="n">
        <v>16370</v>
      </c>
      <c r="D6" t="n">
        <v>8105</v>
      </c>
      <c r="E6" t="n">
        <v>139013</v>
      </c>
      <c r="F6" t="n">
        <v>65929</v>
      </c>
      <c r="G6" t="n">
        <v>42206</v>
      </c>
      <c r="H6" t="n">
        <v>22810</v>
      </c>
      <c r="I6" t="n">
        <v>24768</v>
      </c>
      <c r="J6" t="n">
        <v>14078</v>
      </c>
      <c r="K6" t="n">
        <v>222357</v>
      </c>
      <c r="L6" t="n">
        <v>110922</v>
      </c>
      <c r="M6" t="n">
        <v>47.4</v>
      </c>
      <c r="N6" t="n">
        <v>49.9</v>
      </c>
    </row>
    <row r="7">
      <c r="A7" t="inlineStr">
        <is>
          <t>Kampong Chhnang</t>
        </is>
      </c>
      <c r="B7" t="n">
        <v>472</v>
      </c>
      <c r="C7" t="n">
        <v>6893</v>
      </c>
      <c r="D7" t="n">
        <v>3517</v>
      </c>
      <c r="E7" t="n">
        <v>73007</v>
      </c>
      <c r="F7" t="n">
        <v>35450</v>
      </c>
      <c r="G7" t="n">
        <v>24674</v>
      </c>
      <c r="H7" t="n">
        <v>13555</v>
      </c>
      <c r="I7" t="n">
        <v>12964</v>
      </c>
      <c r="J7" t="n">
        <v>7321</v>
      </c>
      <c r="K7" t="n">
        <v>117538</v>
      </c>
      <c r="L7" t="n">
        <v>59843</v>
      </c>
      <c r="M7" t="n">
        <v>48.6</v>
      </c>
      <c r="N7" t="n">
        <v>50.9</v>
      </c>
    </row>
    <row r="8">
      <c r="A8" t="inlineStr">
        <is>
          <t>Kampong Speu</t>
        </is>
      </c>
      <c r="B8" t="n">
        <v>625</v>
      </c>
      <c r="C8" t="n">
        <v>9691</v>
      </c>
      <c r="D8" t="n">
        <v>4853</v>
      </c>
      <c r="E8" t="n">
        <v>107169</v>
      </c>
      <c r="F8" t="n">
        <v>51622</v>
      </c>
      <c r="G8" t="n">
        <v>33888</v>
      </c>
      <c r="H8" t="n">
        <v>17983</v>
      </c>
      <c r="I8" t="n">
        <v>15595</v>
      </c>
      <c r="J8" t="n">
        <v>8307</v>
      </c>
      <c r="K8" t="n">
        <v>166343</v>
      </c>
      <c r="L8" t="n">
        <v>82765</v>
      </c>
      <c r="M8" t="n">
        <v>48.2</v>
      </c>
      <c r="N8" t="n">
        <v>49.8</v>
      </c>
    </row>
    <row r="9">
      <c r="A9" t="inlineStr">
        <is>
          <t>Kampong Thom</t>
        </is>
      </c>
      <c r="B9" t="n">
        <v>795</v>
      </c>
      <c r="C9" t="n">
        <v>10263</v>
      </c>
      <c r="D9" t="n">
        <v>5201</v>
      </c>
      <c r="E9" t="n">
        <v>98836</v>
      </c>
      <c r="F9" t="n">
        <v>48229</v>
      </c>
      <c r="G9" t="n">
        <v>30186</v>
      </c>
      <c r="H9" t="n">
        <v>16533</v>
      </c>
      <c r="I9" t="n">
        <v>16648</v>
      </c>
      <c r="J9" t="n">
        <v>9344</v>
      </c>
      <c r="K9" t="n">
        <v>155933</v>
      </c>
      <c r="L9" t="n">
        <v>79307</v>
      </c>
      <c r="M9" t="n">
        <v>48.8</v>
      </c>
      <c r="N9" t="n">
        <v>50.9</v>
      </c>
    </row>
    <row r="10">
      <c r="A10" t="inlineStr">
        <is>
          <t>Kampot</t>
        </is>
      </c>
      <c r="B10" t="n">
        <v>612</v>
      </c>
      <c r="C10" t="n">
        <v>7680</v>
      </c>
      <c r="D10" t="n">
        <v>3730</v>
      </c>
      <c r="E10" t="n">
        <v>77244</v>
      </c>
      <c r="F10" t="n">
        <v>36512</v>
      </c>
      <c r="G10" t="n">
        <v>26772</v>
      </c>
      <c r="H10" t="n">
        <v>14091</v>
      </c>
      <c r="I10" t="n">
        <v>15922</v>
      </c>
      <c r="J10" t="n">
        <v>8410</v>
      </c>
      <c r="K10" t="n">
        <v>127618</v>
      </c>
      <c r="L10" t="n">
        <v>62743</v>
      </c>
      <c r="M10" t="n">
        <v>47.3</v>
      </c>
      <c r="N10" t="n">
        <v>49.2</v>
      </c>
    </row>
    <row r="11">
      <c r="A11" t="inlineStr">
        <is>
          <t>Kandal</t>
        </is>
      </c>
      <c r="B11" t="n">
        <v>756</v>
      </c>
      <c r="C11" t="n">
        <v>16684</v>
      </c>
      <c r="D11" t="n">
        <v>8344</v>
      </c>
      <c r="E11" t="n">
        <v>159100</v>
      </c>
      <c r="F11" t="n">
        <v>75098</v>
      </c>
      <c r="G11" t="n">
        <v>52803</v>
      </c>
      <c r="H11" t="n">
        <v>27752</v>
      </c>
      <c r="I11" t="n">
        <v>29874</v>
      </c>
      <c r="J11" t="n">
        <v>16683</v>
      </c>
      <c r="K11" t="n">
        <v>258461</v>
      </c>
      <c r="L11" t="n">
        <v>127877</v>
      </c>
      <c r="M11" t="n">
        <v>47.2</v>
      </c>
      <c r="N11" t="n">
        <v>49.5</v>
      </c>
    </row>
    <row r="12">
      <c r="A12" t="inlineStr">
        <is>
          <t>Kep</t>
        </is>
      </c>
      <c r="B12" t="n">
        <v>50</v>
      </c>
      <c r="C12" t="n">
        <v>891</v>
      </c>
      <c r="D12" t="n">
        <v>458</v>
      </c>
      <c r="E12" t="n">
        <v>5489</v>
      </c>
      <c r="F12" t="n">
        <v>2668</v>
      </c>
      <c r="G12" t="n">
        <v>1577</v>
      </c>
      <c r="H12" t="n">
        <v>821</v>
      </c>
      <c r="I12" t="n">
        <v>1009</v>
      </c>
      <c r="J12" t="n">
        <v>531</v>
      </c>
      <c r="K12" t="n">
        <v>8966</v>
      </c>
      <c r="L12" t="n">
        <v>4478</v>
      </c>
      <c r="M12" t="n">
        <v>48.6</v>
      </c>
      <c r="N12" t="n">
        <v>49.9</v>
      </c>
    </row>
    <row r="13">
      <c r="A13" t="inlineStr">
        <is>
          <t>Koh Kong</t>
        </is>
      </c>
      <c r="B13" t="n">
        <v>223</v>
      </c>
      <c r="C13" t="n">
        <v>2296</v>
      </c>
      <c r="D13" t="n">
        <v>1162</v>
      </c>
      <c r="E13" t="n">
        <v>16585</v>
      </c>
      <c r="F13" t="n">
        <v>7858</v>
      </c>
      <c r="G13" t="n">
        <v>5406</v>
      </c>
      <c r="H13" t="n">
        <v>2812</v>
      </c>
      <c r="I13" t="n">
        <v>2975</v>
      </c>
      <c r="J13" t="n">
        <v>1517</v>
      </c>
      <c r="K13" t="n">
        <v>27262</v>
      </c>
      <c r="L13" t="n">
        <v>13349</v>
      </c>
      <c r="M13" t="n">
        <v>47.4</v>
      </c>
      <c r="N13" t="n">
        <v>49</v>
      </c>
    </row>
    <row r="14">
      <c r="A14" t="inlineStr">
        <is>
          <t>Kratie</t>
        </is>
      </c>
      <c r="B14" t="n">
        <v>443</v>
      </c>
      <c r="C14" t="n">
        <v>4908</v>
      </c>
      <c r="D14" t="n">
        <v>2536</v>
      </c>
      <c r="E14" t="n">
        <v>62931</v>
      </c>
      <c r="F14" t="n">
        <v>30434</v>
      </c>
      <c r="G14" t="n">
        <v>13685</v>
      </c>
      <c r="H14" t="n">
        <v>7384</v>
      </c>
      <c r="I14" t="n">
        <v>6484</v>
      </c>
      <c r="J14" t="n">
        <v>3610</v>
      </c>
      <c r="K14" t="n">
        <v>88008</v>
      </c>
      <c r="L14" t="n">
        <v>43964</v>
      </c>
      <c r="M14" t="n">
        <v>48.4</v>
      </c>
      <c r="N14" t="n">
        <v>50</v>
      </c>
    </row>
    <row r="15">
      <c r="A15" t="inlineStr">
        <is>
          <t>Mondul Kiri</t>
        </is>
      </c>
      <c r="B15" t="n">
        <v>130</v>
      </c>
      <c r="C15" t="n">
        <v>1016</v>
      </c>
      <c r="D15" t="n">
        <v>509</v>
      </c>
      <c r="E15" t="n">
        <v>14689</v>
      </c>
      <c r="F15" t="n">
        <v>7397</v>
      </c>
      <c r="G15" t="n">
        <v>3411</v>
      </c>
      <c r="H15" t="n">
        <v>1825</v>
      </c>
      <c r="I15" t="n">
        <v>1706</v>
      </c>
      <c r="J15" t="n">
        <v>931</v>
      </c>
      <c r="K15" t="n">
        <v>20822</v>
      </c>
      <c r="L15" t="n">
        <v>10662</v>
      </c>
      <c r="M15" t="n">
        <v>50.4</v>
      </c>
      <c r="N15" t="n">
        <v>51.2</v>
      </c>
    </row>
    <row r="16">
      <c r="A16" t="inlineStr">
        <is>
          <t>Otdar Meanchey</t>
        </is>
      </c>
      <c r="B16" t="n">
        <v>364</v>
      </c>
      <c r="C16" t="n">
        <v>3894</v>
      </c>
      <c r="D16" t="n">
        <v>1965</v>
      </c>
      <c r="E16" t="n">
        <v>37041</v>
      </c>
      <c r="F16" t="n">
        <v>17683</v>
      </c>
      <c r="G16" t="n">
        <v>10301</v>
      </c>
      <c r="H16" t="n">
        <v>5469</v>
      </c>
      <c r="I16" t="n">
        <v>5106</v>
      </c>
      <c r="J16" t="n">
        <v>2706</v>
      </c>
      <c r="K16" t="n">
        <v>56342</v>
      </c>
      <c r="L16" t="n">
        <v>27823</v>
      </c>
      <c r="M16" t="n">
        <v>47.7</v>
      </c>
      <c r="N16" t="n">
        <v>49.4</v>
      </c>
    </row>
    <row r="17">
      <c r="A17" t="inlineStr">
        <is>
          <t>Pailin</t>
        </is>
      </c>
      <c r="B17" t="n">
        <v>82</v>
      </c>
      <c r="C17" t="n">
        <v>973</v>
      </c>
      <c r="D17" t="n">
        <v>491</v>
      </c>
      <c r="E17" t="n">
        <v>9944</v>
      </c>
      <c r="F17" t="n">
        <v>4822</v>
      </c>
      <c r="G17" t="n">
        <v>3504</v>
      </c>
      <c r="H17" t="n">
        <v>1877</v>
      </c>
      <c r="I17" t="n">
        <v>1814</v>
      </c>
      <c r="J17" t="n">
        <v>985</v>
      </c>
      <c r="K17" t="n">
        <v>16235</v>
      </c>
      <c r="L17" t="n">
        <v>8175</v>
      </c>
      <c r="M17" t="n">
        <v>48.5</v>
      </c>
      <c r="N17" t="n">
        <v>50.4</v>
      </c>
    </row>
    <row r="18">
      <c r="A18" t="inlineStr">
        <is>
          <t>Phnom Penh</t>
        </is>
      </c>
      <c r="B18" t="n">
        <v>381</v>
      </c>
      <c r="C18" t="n">
        <v>11498</v>
      </c>
      <c r="D18" t="n">
        <v>5735</v>
      </c>
      <c r="E18" t="n">
        <v>136498</v>
      </c>
      <c r="F18" t="n">
        <v>64987</v>
      </c>
      <c r="G18" t="n">
        <v>55118</v>
      </c>
      <c r="H18" t="n">
        <v>27732</v>
      </c>
      <c r="I18" t="n">
        <v>39061</v>
      </c>
      <c r="J18" t="n">
        <v>19938</v>
      </c>
      <c r="K18" t="n">
        <v>242175</v>
      </c>
      <c r="L18" t="n">
        <v>118392</v>
      </c>
      <c r="M18" t="n">
        <v>47.6</v>
      </c>
      <c r="N18" t="n">
        <v>48.9</v>
      </c>
    </row>
    <row r="19">
      <c r="A19" t="inlineStr">
        <is>
          <t>Preah Sihanouk</t>
        </is>
      </c>
      <c r="B19" t="n">
        <v>158</v>
      </c>
      <c r="C19" t="n">
        <v>2522</v>
      </c>
      <c r="D19" t="n">
        <v>1294</v>
      </c>
      <c r="E19" t="n">
        <v>27447</v>
      </c>
      <c r="F19" t="n">
        <v>13406</v>
      </c>
      <c r="G19" t="n">
        <v>8482</v>
      </c>
      <c r="H19" t="n">
        <v>4331</v>
      </c>
      <c r="I19" t="n">
        <v>4520</v>
      </c>
      <c r="J19" t="n">
        <v>2383</v>
      </c>
      <c r="K19" t="n">
        <v>42971</v>
      </c>
      <c r="L19" t="n">
        <v>21414</v>
      </c>
      <c r="M19" t="n">
        <v>48.8</v>
      </c>
      <c r="N19" t="n">
        <v>49.8</v>
      </c>
    </row>
    <row r="20">
      <c r="A20" t="inlineStr">
        <is>
          <t>Preah Vihear</t>
        </is>
      </c>
      <c r="B20" t="n">
        <v>408</v>
      </c>
      <c r="C20" t="n">
        <v>4284</v>
      </c>
      <c r="D20" t="n">
        <v>2247</v>
      </c>
      <c r="E20" t="n">
        <v>37390</v>
      </c>
      <c r="F20" t="n">
        <v>18405</v>
      </c>
      <c r="G20" t="n">
        <v>10346</v>
      </c>
      <c r="H20" t="n">
        <v>5803</v>
      </c>
      <c r="I20" t="n">
        <v>5586</v>
      </c>
      <c r="J20" t="n">
        <v>3012</v>
      </c>
      <c r="K20" t="n">
        <v>57606</v>
      </c>
      <c r="L20" t="n">
        <v>29467</v>
      </c>
      <c r="M20" t="n">
        <v>49.2</v>
      </c>
      <c r="N20" t="n">
        <v>51.2</v>
      </c>
    </row>
    <row r="21">
      <c r="A21" t="inlineStr">
        <is>
          <t>Prey Veng</t>
        </is>
      </c>
      <c r="B21" t="n">
        <v>1063</v>
      </c>
      <c r="C21" t="n">
        <v>17310</v>
      </c>
      <c r="D21" t="n">
        <v>8613</v>
      </c>
      <c r="E21" t="n">
        <v>148207</v>
      </c>
      <c r="F21" t="n">
        <v>69679</v>
      </c>
      <c r="G21" t="n">
        <v>48554</v>
      </c>
      <c r="H21" t="n">
        <v>25737</v>
      </c>
      <c r="I21" t="n">
        <v>25135</v>
      </c>
      <c r="J21" t="n">
        <v>13695</v>
      </c>
      <c r="K21" t="n">
        <v>239206</v>
      </c>
      <c r="L21" t="n">
        <v>117724</v>
      </c>
      <c r="M21" t="n">
        <v>47</v>
      </c>
      <c r="N21" t="n">
        <v>49.2</v>
      </c>
    </row>
    <row r="22">
      <c r="A22" t="inlineStr">
        <is>
          <t>Pursat</t>
        </is>
      </c>
      <c r="B22" t="n">
        <v>548</v>
      </c>
      <c r="C22" t="n">
        <v>8542</v>
      </c>
      <c r="D22" t="n">
        <v>4247</v>
      </c>
      <c r="E22" t="n">
        <v>68226</v>
      </c>
      <c r="F22" t="n">
        <v>33122</v>
      </c>
      <c r="G22" t="n">
        <v>19380</v>
      </c>
      <c r="H22" t="n">
        <v>10404</v>
      </c>
      <c r="I22" t="n">
        <v>10343</v>
      </c>
      <c r="J22" t="n">
        <v>5754</v>
      </c>
      <c r="K22" t="n">
        <v>106491</v>
      </c>
      <c r="L22" t="n">
        <v>53527</v>
      </c>
      <c r="M22" t="n">
        <v>48.5</v>
      </c>
      <c r="N22" t="n">
        <v>50.3</v>
      </c>
    </row>
    <row r="23">
      <c r="A23" t="inlineStr">
        <is>
          <t>Ratanak Kiri</t>
        </is>
      </c>
      <c r="B23" t="n">
        <v>319</v>
      </c>
      <c r="C23" t="n">
        <v>2840</v>
      </c>
      <c r="D23" t="n">
        <v>1461</v>
      </c>
      <c r="E23" t="n">
        <v>39569</v>
      </c>
      <c r="F23" t="n">
        <v>19109</v>
      </c>
      <c r="G23" t="n">
        <v>8611</v>
      </c>
      <c r="H23" t="n">
        <v>4399</v>
      </c>
      <c r="I23" t="n">
        <v>4534</v>
      </c>
      <c r="J23" t="n">
        <v>2202</v>
      </c>
      <c r="K23" t="n">
        <v>55554</v>
      </c>
      <c r="L23" t="n">
        <v>27171</v>
      </c>
      <c r="M23" t="n">
        <v>48.3</v>
      </c>
      <c r="N23" t="n">
        <v>48.9</v>
      </c>
    </row>
    <row r="24">
      <c r="A24" t="inlineStr">
        <is>
          <t>Siemreap</t>
        </is>
      </c>
      <c r="B24" t="n">
        <v>1090</v>
      </c>
      <c r="C24" t="n">
        <v>28323</v>
      </c>
      <c r="D24" t="n">
        <v>14242</v>
      </c>
      <c r="E24" t="n">
        <v>163544</v>
      </c>
      <c r="F24" t="n">
        <v>78986</v>
      </c>
      <c r="G24" t="n">
        <v>51355</v>
      </c>
      <c r="H24" t="n">
        <v>28084</v>
      </c>
      <c r="I24" t="n">
        <v>29830</v>
      </c>
      <c r="J24" t="n">
        <v>16992</v>
      </c>
      <c r="K24" t="n">
        <v>273052</v>
      </c>
      <c r="L24" t="n">
        <v>138304</v>
      </c>
      <c r="M24" t="n">
        <v>48.3</v>
      </c>
      <c r="N24" t="n">
        <v>50.7</v>
      </c>
    </row>
    <row r="25">
      <c r="A25" t="inlineStr">
        <is>
          <t>Stung Treng</t>
        </is>
      </c>
      <c r="B25" t="n">
        <v>253</v>
      </c>
      <c r="C25" t="n">
        <v>1375</v>
      </c>
      <c r="D25" t="n">
        <v>732</v>
      </c>
      <c r="E25" t="n">
        <v>26340</v>
      </c>
      <c r="F25" t="n">
        <v>12926</v>
      </c>
      <c r="G25" t="n">
        <v>5572</v>
      </c>
      <c r="H25" t="n">
        <v>2930</v>
      </c>
      <c r="I25" t="n">
        <v>2726</v>
      </c>
      <c r="J25" t="n">
        <v>1418</v>
      </c>
      <c r="K25" t="n">
        <v>36013</v>
      </c>
      <c r="L25" t="n">
        <v>18006</v>
      </c>
      <c r="M25" t="n">
        <v>49.1</v>
      </c>
      <c r="N25" t="n">
        <v>50</v>
      </c>
    </row>
    <row r="26">
      <c r="A26" t="inlineStr">
        <is>
          <t>Svay Rieng</t>
        </is>
      </c>
      <c r="B26" t="n">
        <v>509</v>
      </c>
      <c r="C26" t="n">
        <v>7701</v>
      </c>
      <c r="D26" t="n">
        <v>3848</v>
      </c>
      <c r="E26" t="n">
        <v>73501</v>
      </c>
      <c r="F26" t="n">
        <v>35382</v>
      </c>
      <c r="G26" t="n">
        <v>25481</v>
      </c>
      <c r="H26" t="n">
        <v>13164</v>
      </c>
      <c r="I26" t="n">
        <v>12957</v>
      </c>
      <c r="J26" t="n">
        <v>6877</v>
      </c>
      <c r="K26" t="n">
        <v>119640</v>
      </c>
      <c r="L26" t="n">
        <v>59271</v>
      </c>
      <c r="M26" t="n">
        <v>48.1</v>
      </c>
      <c r="N26" t="n">
        <v>49.5</v>
      </c>
    </row>
    <row r="27">
      <c r="A27" t="inlineStr">
        <is>
          <t>Takeo</t>
        </is>
      </c>
      <c r="B27" t="n">
        <v>799</v>
      </c>
      <c r="C27" t="n">
        <v>13168</v>
      </c>
      <c r="D27" t="n">
        <v>6440</v>
      </c>
      <c r="E27" t="n">
        <v>113675</v>
      </c>
      <c r="F27" t="n">
        <v>54408</v>
      </c>
      <c r="G27" t="n">
        <v>44174</v>
      </c>
      <c r="H27" t="n">
        <v>22837</v>
      </c>
      <c r="I27" t="n">
        <v>28928</v>
      </c>
      <c r="J27" t="n">
        <v>15307</v>
      </c>
      <c r="K27" t="n">
        <v>199945</v>
      </c>
      <c r="L27" t="n">
        <v>98992</v>
      </c>
      <c r="M27" t="n">
        <v>47.9</v>
      </c>
      <c r="N27" t="n">
        <v>49.5</v>
      </c>
    </row>
    <row r="28">
      <c r="A28" t="inlineStr">
        <is>
          <t>Tbaung Khmum</t>
        </is>
      </c>
      <c r="B28" t="n">
        <v>717</v>
      </c>
      <c r="C28" t="n">
        <v>14207</v>
      </c>
      <c r="D28" t="n">
        <v>7170</v>
      </c>
      <c r="E28" t="n">
        <v>110276</v>
      </c>
      <c r="F28" t="n">
        <v>53093</v>
      </c>
      <c r="G28" t="n">
        <v>30139</v>
      </c>
      <c r="H28" t="n">
        <v>16386</v>
      </c>
      <c r="I28" t="n">
        <v>15016</v>
      </c>
      <c r="J28" t="n">
        <v>8490</v>
      </c>
      <c r="K28" t="n">
        <v>169638</v>
      </c>
      <c r="L28" t="n">
        <v>85139</v>
      </c>
      <c r="M28" t="n">
        <v>48.1</v>
      </c>
      <c r="N28" t="n">
        <v>50.2</v>
      </c>
    </row>
    <row r="29">
      <c r="A29" t="inlineStr">
        <is>
          <t>Whole Kingdom</t>
        </is>
      </c>
      <c r="B29" t="n">
        <v>13597</v>
      </c>
      <c r="C29" t="n">
        <v>229092</v>
      </c>
      <c r="D29" t="n">
        <v>114974</v>
      </c>
      <c r="E29" t="n">
        <v>2010286</v>
      </c>
      <c r="F29" t="n">
        <v>964152</v>
      </c>
      <c r="G29" t="n">
        <v>632303</v>
      </c>
      <c r="H29" t="n">
        <v>335972</v>
      </c>
      <c r="I29" t="n">
        <v>351794</v>
      </c>
      <c r="J29" t="n">
        <v>191973</v>
      </c>
      <c r="K29" t="n">
        <v>3223475</v>
      </c>
      <c r="L29" t="n">
        <v>1607071</v>
      </c>
      <c r="M29" t="n">
        <v>48</v>
      </c>
      <c r="N29" t="n">
        <v>49.9</v>
      </c>
    </row>
    <row r="30">
      <c r="A30" t="inlineStr">
        <is>
          <t>-  Urban Area</t>
        </is>
      </c>
      <c r="B30" t="n">
        <v>1458</v>
      </c>
      <c r="C30" t="n">
        <v>40641</v>
      </c>
      <c r="D30" t="n">
        <v>20321</v>
      </c>
      <c r="E30" t="n">
        <v>345361</v>
      </c>
      <c r="F30" t="n">
        <v>165081</v>
      </c>
      <c r="G30" t="n">
        <v>131738</v>
      </c>
      <c r="H30" t="n">
        <v>67614</v>
      </c>
      <c r="I30" t="n">
        <v>103082</v>
      </c>
      <c r="J30" t="n">
        <v>54331</v>
      </c>
      <c r="K30" t="n">
        <v>620822</v>
      </c>
      <c r="L30" t="n">
        <v>307347</v>
      </c>
      <c r="M30" t="n">
        <v>47.8</v>
      </c>
      <c r="N30" t="n">
        <v>49.5</v>
      </c>
    </row>
    <row r="31">
      <c r="A31" t="inlineStr">
        <is>
          <t>-  Rural Area</t>
        </is>
      </c>
      <c r="B31" t="n">
        <v>12139</v>
      </c>
      <c r="C31" t="n">
        <v>188451</v>
      </c>
      <c r="D31" t="n">
        <v>94653</v>
      </c>
      <c r="E31" t="n">
        <v>1664925</v>
      </c>
      <c r="F31" t="n">
        <v>799071</v>
      </c>
      <c r="G31" t="n">
        <v>500565</v>
      </c>
      <c r="H31" t="n">
        <v>268358</v>
      </c>
      <c r="I31" t="n">
        <v>248712</v>
      </c>
      <c r="J31" t="n">
        <v>137642</v>
      </c>
      <c r="K31" t="n">
        <v>2602653</v>
      </c>
      <c r="L31" t="n">
        <v>1299724</v>
      </c>
      <c r="M31" t="n">
        <v>48</v>
      </c>
      <c r="N31" t="n">
        <v>49.9</v>
      </c>
    </row>
  </sheetData>
  <mergeCells count="8">
    <mergeCell ref="M2:N2"/>
    <mergeCell ref="C2:D2"/>
    <mergeCell ref="G2:H2"/>
    <mergeCell ref="E2:F2"/>
    <mergeCell ref="K2:L2"/>
    <mergeCell ref="I2:J2"/>
    <mergeCell ref="A1:O1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7109375" customWidth="1" min="2" max="2"/>
    <col width="7.42578125" customWidth="1" min="3" max="3"/>
    <col width="8.85546875" customWidth="1" min="5" max="5"/>
    <col width="7.42578125" customWidth="1" min="6" max="6"/>
    <col width="8.85546875" customWidth="1" min="11" max="11"/>
    <col width="7.85546875" customWidth="1" min="13" max="13"/>
    <col width="8.5703125" customWidth="1" min="14" max="14"/>
  </cols>
  <sheetData>
    <row r="1">
      <c r="A1" t="inlineStr">
        <is>
          <t>Table 14: Enrollment by Level of Education, 2021 - 2022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Pre-school</t>
        </is>
      </c>
      <c r="E2" t="inlineStr">
        <is>
          <t>Primary</t>
        </is>
      </c>
      <c r="G2" t="inlineStr">
        <is>
          <t>Lower Sec.</t>
        </is>
      </c>
      <c r="I2" t="inlineStr">
        <is>
          <t>Upper Sec.</t>
        </is>
      </c>
      <c r="K2" t="inlineStr">
        <is>
          <t>Total</t>
        </is>
      </c>
      <c r="M2" t="inlineStr">
        <is>
          <t>% Female</t>
        </is>
      </c>
    </row>
    <row r="3">
      <c r="B3" t="inlineStr">
        <is>
          <t>Schools</t>
        </is>
      </c>
      <c r="C3" t="inlineStr">
        <is>
          <t>Total</t>
        </is>
      </c>
      <c r="D3" t="inlineStr">
        <is>
          <t>Girl</t>
        </is>
      </c>
      <c r="E3" t="inlineStr">
        <is>
          <t>Total</t>
        </is>
      </c>
      <c r="F3" t="inlineStr">
        <is>
          <t>Girl</t>
        </is>
      </c>
      <c r="G3" t="inlineStr">
        <is>
          <t>Total</t>
        </is>
      </c>
      <c r="H3" t="inlineStr">
        <is>
          <t>Girl</t>
        </is>
      </c>
      <c r="I3" t="inlineStr">
        <is>
          <t>Total</t>
        </is>
      </c>
      <c r="J3" t="inlineStr">
        <is>
          <t>Girl</t>
        </is>
      </c>
      <c r="K3" t="inlineStr">
        <is>
          <t>Total</t>
        </is>
      </c>
      <c r="L3" t="inlineStr">
        <is>
          <t>Girl</t>
        </is>
      </c>
      <c r="M3" t="inlineStr">
        <is>
          <t>Primary</t>
        </is>
      </c>
      <c r="N3" t="inlineStr">
        <is>
          <t>All Level</t>
        </is>
      </c>
    </row>
    <row r="4">
      <c r="A4" t="inlineStr">
        <is>
          <t>Banteay Meanchey</t>
        </is>
      </c>
      <c r="B4" t="n">
        <v>822</v>
      </c>
      <c r="C4" t="n">
        <v>16738</v>
      </c>
      <c r="D4" t="n">
        <v>8453</v>
      </c>
      <c r="E4" t="n">
        <v>99947</v>
      </c>
      <c r="F4" t="n">
        <v>48195</v>
      </c>
      <c r="G4" t="n">
        <v>31716</v>
      </c>
      <c r="H4" t="n">
        <v>16861</v>
      </c>
      <c r="I4" t="n">
        <v>15758</v>
      </c>
      <c r="J4" t="n">
        <v>8987</v>
      </c>
      <c r="K4" t="n">
        <v>164159</v>
      </c>
      <c r="L4" t="n">
        <v>82496</v>
      </c>
      <c r="M4" t="n">
        <v>48.2</v>
      </c>
      <c r="N4" t="n">
        <v>50.3</v>
      </c>
    </row>
    <row r="5">
      <c r="A5" t="inlineStr">
        <is>
          <t>Battambang</t>
        </is>
      </c>
      <c r="B5" t="n">
        <v>1170</v>
      </c>
      <c r="C5" t="n">
        <v>17777</v>
      </c>
      <c r="D5" t="n">
        <v>8958</v>
      </c>
      <c r="E5" t="n">
        <v>164335</v>
      </c>
      <c r="F5" t="n">
        <v>78804</v>
      </c>
      <c r="G5" t="n">
        <v>50036</v>
      </c>
      <c r="H5" t="n">
        <v>26673</v>
      </c>
      <c r="I5" t="n">
        <v>24968</v>
      </c>
      <c r="J5" t="n">
        <v>13877</v>
      </c>
      <c r="K5" t="n">
        <v>257116</v>
      </c>
      <c r="L5" t="n">
        <v>128312</v>
      </c>
      <c r="M5" t="n">
        <v>48</v>
      </c>
      <c r="N5" t="n">
        <v>49.9</v>
      </c>
    </row>
    <row r="6">
      <c r="A6" t="inlineStr">
        <is>
          <t>Kampong Cham</t>
        </is>
      </c>
      <c r="B6" t="n">
        <v>820</v>
      </c>
      <c r="C6" t="n">
        <v>15659</v>
      </c>
      <c r="D6" t="n">
        <v>7771</v>
      </c>
      <c r="E6" t="n">
        <v>138517</v>
      </c>
      <c r="F6" t="n">
        <v>72390</v>
      </c>
      <c r="G6" t="n">
        <v>43843</v>
      </c>
      <c r="H6" t="n">
        <v>23715</v>
      </c>
      <c r="I6" t="n">
        <v>25342</v>
      </c>
      <c r="J6" t="n">
        <v>14337</v>
      </c>
      <c r="K6" t="n">
        <v>223361</v>
      </c>
      <c r="L6" t="n">
        <v>118213</v>
      </c>
      <c r="M6" t="n">
        <v>52.3</v>
      </c>
      <c r="N6" t="n">
        <v>52.9</v>
      </c>
    </row>
    <row r="7">
      <c r="A7" t="inlineStr">
        <is>
          <t>Kampong Chhnang</t>
        </is>
      </c>
      <c r="B7" t="n">
        <v>472</v>
      </c>
      <c r="C7" t="n">
        <v>6560</v>
      </c>
      <c r="D7" t="n">
        <v>3271</v>
      </c>
      <c r="E7" t="n">
        <v>73750</v>
      </c>
      <c r="F7" t="n">
        <v>36879</v>
      </c>
      <c r="G7" t="n">
        <v>25320</v>
      </c>
      <c r="H7" t="n">
        <v>13762</v>
      </c>
      <c r="I7" t="n">
        <v>12753</v>
      </c>
      <c r="J7" t="n">
        <v>7178</v>
      </c>
      <c r="K7" t="n">
        <v>118383</v>
      </c>
      <c r="L7" t="n">
        <v>61090</v>
      </c>
      <c r="M7" t="n">
        <v>50</v>
      </c>
      <c r="N7" t="n">
        <v>51.6</v>
      </c>
    </row>
    <row r="8">
      <c r="A8" t="inlineStr">
        <is>
          <t>Kampong Speu</t>
        </is>
      </c>
      <c r="B8" t="n">
        <v>631</v>
      </c>
      <c r="C8" t="n">
        <v>9294</v>
      </c>
      <c r="D8" t="n">
        <v>4660</v>
      </c>
      <c r="E8" t="n">
        <v>106477</v>
      </c>
      <c r="F8" t="n">
        <v>51144</v>
      </c>
      <c r="G8" t="n">
        <v>34650</v>
      </c>
      <c r="H8" t="n">
        <v>18051</v>
      </c>
      <c r="I8" t="n">
        <v>15063</v>
      </c>
      <c r="J8" t="n">
        <v>7954</v>
      </c>
      <c r="K8" t="n">
        <v>165484</v>
      </c>
      <c r="L8" t="n">
        <v>81809</v>
      </c>
      <c r="M8" t="n">
        <v>48</v>
      </c>
      <c r="N8" t="n">
        <v>49.4</v>
      </c>
    </row>
    <row r="9">
      <c r="A9" t="inlineStr">
        <is>
          <t>Kampong Thom</t>
        </is>
      </c>
      <c r="B9" t="n">
        <v>800</v>
      </c>
      <c r="C9" t="n">
        <v>9931</v>
      </c>
      <c r="D9" t="n">
        <v>5077</v>
      </c>
      <c r="E9" t="n">
        <v>101294</v>
      </c>
      <c r="F9" t="n">
        <v>53157</v>
      </c>
      <c r="G9" t="n">
        <v>30322</v>
      </c>
      <c r="H9" t="n">
        <v>16323</v>
      </c>
      <c r="I9" t="n">
        <v>17148</v>
      </c>
      <c r="J9" t="n">
        <v>9683</v>
      </c>
      <c r="K9" t="n">
        <v>158695</v>
      </c>
      <c r="L9" t="n">
        <v>84240</v>
      </c>
      <c r="M9" t="n">
        <v>52.5</v>
      </c>
      <c r="N9" t="n">
        <v>53.1</v>
      </c>
    </row>
    <row r="10">
      <c r="A10" t="inlineStr">
        <is>
          <t>Kampot</t>
        </is>
      </c>
      <c r="B10" t="n">
        <v>612</v>
      </c>
      <c r="C10" t="n">
        <v>7042</v>
      </c>
      <c r="D10" t="n">
        <v>3451</v>
      </c>
      <c r="E10" t="n">
        <v>75516</v>
      </c>
      <c r="F10" t="n">
        <v>35799</v>
      </c>
      <c r="G10" t="n">
        <v>27431</v>
      </c>
      <c r="H10" t="n">
        <v>14302</v>
      </c>
      <c r="I10" t="n">
        <v>15467</v>
      </c>
      <c r="J10" t="n">
        <v>8214</v>
      </c>
      <c r="K10" t="n">
        <v>125456</v>
      </c>
      <c r="L10" t="n">
        <v>61766</v>
      </c>
      <c r="M10" t="n">
        <v>47.4</v>
      </c>
      <c r="N10" t="n">
        <v>49.2</v>
      </c>
    </row>
    <row r="11">
      <c r="A11" t="inlineStr">
        <is>
          <t>Kandal</t>
        </is>
      </c>
      <c r="B11" t="n">
        <v>761</v>
      </c>
      <c r="C11" t="n">
        <v>15822</v>
      </c>
      <c r="D11" t="n">
        <v>7875</v>
      </c>
      <c r="E11" t="n">
        <v>161700</v>
      </c>
      <c r="F11" t="n">
        <v>76703</v>
      </c>
      <c r="G11" t="n">
        <v>55791</v>
      </c>
      <c r="H11" t="n">
        <v>28974</v>
      </c>
      <c r="I11" t="n">
        <v>30473</v>
      </c>
      <c r="J11" t="n">
        <v>16804</v>
      </c>
      <c r="K11" t="n">
        <v>263786</v>
      </c>
      <c r="L11" t="n">
        <v>130356</v>
      </c>
      <c r="M11" t="n">
        <v>47.4</v>
      </c>
      <c r="N11" t="n">
        <v>49.4</v>
      </c>
    </row>
    <row r="12">
      <c r="A12" t="inlineStr">
        <is>
          <t>Kep</t>
        </is>
      </c>
      <c r="B12" t="n">
        <v>50</v>
      </c>
      <c r="C12" t="n">
        <v>817</v>
      </c>
      <c r="D12" t="n">
        <v>417</v>
      </c>
      <c r="E12" t="n">
        <v>5481</v>
      </c>
      <c r="F12" t="n">
        <v>2621</v>
      </c>
      <c r="G12" t="n">
        <v>1733</v>
      </c>
      <c r="H12" t="n">
        <v>918</v>
      </c>
      <c r="I12" t="n">
        <v>983</v>
      </c>
      <c r="J12" t="n">
        <v>521</v>
      </c>
      <c r="K12" t="n">
        <v>9014</v>
      </c>
      <c r="L12" t="n">
        <v>4477</v>
      </c>
      <c r="M12" t="n">
        <v>47.8</v>
      </c>
      <c r="N12" t="n">
        <v>49.7</v>
      </c>
    </row>
    <row r="13">
      <c r="A13" t="inlineStr">
        <is>
          <t>Koh Kong</t>
        </is>
      </c>
      <c r="B13" t="n">
        <v>223</v>
      </c>
      <c r="C13" t="n">
        <v>2070</v>
      </c>
      <c r="D13" t="n">
        <v>1068</v>
      </c>
      <c r="E13" t="n">
        <v>17205</v>
      </c>
      <c r="F13" t="n">
        <v>8245</v>
      </c>
      <c r="G13" t="n">
        <v>5707</v>
      </c>
      <c r="H13" t="n">
        <v>2934</v>
      </c>
      <c r="I13" t="n">
        <v>3131</v>
      </c>
      <c r="J13" t="n">
        <v>1621</v>
      </c>
      <c r="K13" t="n">
        <v>28113</v>
      </c>
      <c r="L13" t="n">
        <v>13868</v>
      </c>
      <c r="M13" t="n">
        <v>47.9</v>
      </c>
      <c r="N13" t="n">
        <v>49.3</v>
      </c>
    </row>
    <row r="14">
      <c r="A14" t="inlineStr">
        <is>
          <t>Kratie</t>
        </is>
      </c>
      <c r="B14" t="n">
        <v>446</v>
      </c>
      <c r="C14" t="n">
        <v>4507</v>
      </c>
      <c r="D14" t="n">
        <v>2316</v>
      </c>
      <c r="E14" t="n">
        <v>64004</v>
      </c>
      <c r="F14" t="n">
        <v>33208</v>
      </c>
      <c r="G14" t="n">
        <v>14380</v>
      </c>
      <c r="H14" t="n">
        <v>7787</v>
      </c>
      <c r="I14" t="n">
        <v>6656</v>
      </c>
      <c r="J14" t="n">
        <v>3706</v>
      </c>
      <c r="K14" t="n">
        <v>89547</v>
      </c>
      <c r="L14" t="n">
        <v>47017</v>
      </c>
      <c r="M14" t="n">
        <v>51.9</v>
      </c>
      <c r="N14" t="n">
        <v>52.5</v>
      </c>
    </row>
    <row r="15">
      <c r="A15" t="inlineStr">
        <is>
          <t>Mondul Kiri</t>
        </is>
      </c>
      <c r="B15" t="n">
        <v>132</v>
      </c>
      <c r="C15" t="n">
        <v>1182</v>
      </c>
      <c r="D15" t="n">
        <v>604</v>
      </c>
      <c r="E15" t="n">
        <v>15225</v>
      </c>
      <c r="F15" t="n">
        <v>7859</v>
      </c>
      <c r="G15" t="n">
        <v>3721</v>
      </c>
      <c r="H15" t="n">
        <v>1961</v>
      </c>
      <c r="I15" t="n">
        <v>1917</v>
      </c>
      <c r="J15" t="n">
        <v>1041</v>
      </c>
      <c r="K15" t="n">
        <v>22045</v>
      </c>
      <c r="L15" t="n">
        <v>11465</v>
      </c>
      <c r="M15" t="n">
        <v>51.6</v>
      </c>
      <c r="N15" t="n">
        <v>52</v>
      </c>
    </row>
    <row r="16">
      <c r="A16" t="inlineStr">
        <is>
          <t>Otdar Meanchey</t>
        </is>
      </c>
      <c r="B16" t="n">
        <v>366</v>
      </c>
      <c r="C16" t="n">
        <v>3486</v>
      </c>
      <c r="D16" t="n">
        <v>1816</v>
      </c>
      <c r="E16" t="n">
        <v>38042</v>
      </c>
      <c r="F16" t="n">
        <v>18080</v>
      </c>
      <c r="G16" t="n">
        <v>10741</v>
      </c>
      <c r="H16" t="n">
        <v>5779</v>
      </c>
      <c r="I16" t="n">
        <v>5349</v>
      </c>
      <c r="J16" t="n">
        <v>2804</v>
      </c>
      <c r="K16" t="n">
        <v>57618</v>
      </c>
      <c r="L16" t="n">
        <v>28479</v>
      </c>
      <c r="M16" t="n">
        <v>47.5</v>
      </c>
      <c r="N16" t="n">
        <v>49.4</v>
      </c>
    </row>
    <row r="17">
      <c r="A17" t="inlineStr">
        <is>
          <t>Pailin</t>
        </is>
      </c>
      <c r="B17" t="n">
        <v>82</v>
      </c>
      <c r="C17" t="n">
        <v>980</v>
      </c>
      <c r="D17" t="n">
        <v>496</v>
      </c>
      <c r="E17" t="n">
        <v>9881</v>
      </c>
      <c r="F17" t="n">
        <v>4828</v>
      </c>
      <c r="G17" t="n">
        <v>3564</v>
      </c>
      <c r="H17" t="n">
        <v>1898</v>
      </c>
      <c r="I17" t="n">
        <v>1858</v>
      </c>
      <c r="J17" t="n">
        <v>1056</v>
      </c>
      <c r="K17" t="n">
        <v>16283</v>
      </c>
      <c r="L17" t="n">
        <v>8278</v>
      </c>
      <c r="M17" t="n">
        <v>48.9</v>
      </c>
      <c r="N17" t="n">
        <v>50.8</v>
      </c>
    </row>
    <row r="18">
      <c r="A18" t="inlineStr">
        <is>
          <t>Phnom Penh</t>
        </is>
      </c>
      <c r="B18" t="n">
        <v>380</v>
      </c>
      <c r="C18" t="n">
        <v>9743</v>
      </c>
      <c r="D18" t="n">
        <v>4696</v>
      </c>
      <c r="E18" t="n">
        <v>135555</v>
      </c>
      <c r="F18" t="n">
        <v>64312</v>
      </c>
      <c r="G18" t="n">
        <v>58955</v>
      </c>
      <c r="H18" t="n">
        <v>29252</v>
      </c>
      <c r="I18" t="n">
        <v>41103</v>
      </c>
      <c r="J18" t="n">
        <v>20842</v>
      </c>
      <c r="K18" t="n">
        <v>245356</v>
      </c>
      <c r="L18" t="n">
        <v>119102</v>
      </c>
      <c r="M18" t="n">
        <v>47.4</v>
      </c>
      <c r="N18" t="n">
        <v>48.5</v>
      </c>
    </row>
    <row r="19">
      <c r="A19" t="inlineStr">
        <is>
          <t>Preah Sihanouk</t>
        </is>
      </c>
      <c r="B19" t="n">
        <v>159</v>
      </c>
      <c r="C19" t="n">
        <v>1983</v>
      </c>
      <c r="D19" t="n">
        <v>987</v>
      </c>
      <c r="E19" t="n">
        <v>28240</v>
      </c>
      <c r="F19" t="n">
        <v>13526</v>
      </c>
      <c r="G19" t="n">
        <v>9218</v>
      </c>
      <c r="H19" t="n">
        <v>4695</v>
      </c>
      <c r="I19" t="n">
        <v>4821</v>
      </c>
      <c r="J19" t="n">
        <v>2550</v>
      </c>
      <c r="K19" t="n">
        <v>44262</v>
      </c>
      <c r="L19" t="n">
        <v>21758</v>
      </c>
      <c r="M19" t="n">
        <v>47.9</v>
      </c>
      <c r="N19" t="n">
        <v>49.2</v>
      </c>
    </row>
    <row r="20">
      <c r="A20" t="inlineStr">
        <is>
          <t>Preah Vihear</t>
        </is>
      </c>
      <c r="B20" t="n">
        <v>411</v>
      </c>
      <c r="C20" t="n">
        <v>4169</v>
      </c>
      <c r="D20" t="n">
        <v>2092</v>
      </c>
      <c r="E20" t="n">
        <v>37905</v>
      </c>
      <c r="F20" t="n">
        <v>18742</v>
      </c>
      <c r="G20" t="n">
        <v>10671</v>
      </c>
      <c r="H20" t="n">
        <v>5833</v>
      </c>
      <c r="I20" t="n">
        <v>5704</v>
      </c>
      <c r="J20" t="n">
        <v>3171</v>
      </c>
      <c r="K20" t="n">
        <v>58449</v>
      </c>
      <c r="L20" t="n">
        <v>29838</v>
      </c>
      <c r="M20" t="n">
        <v>49.4</v>
      </c>
      <c r="N20" t="n">
        <v>51</v>
      </c>
    </row>
    <row r="21">
      <c r="A21" t="inlineStr">
        <is>
          <t>Prey Veng</t>
        </is>
      </c>
      <c r="B21" t="n">
        <v>1071</v>
      </c>
      <c r="C21" t="n">
        <v>16663</v>
      </c>
      <c r="D21" t="n">
        <v>8228</v>
      </c>
      <c r="E21" t="n">
        <v>148731</v>
      </c>
      <c r="F21" t="n">
        <v>69420</v>
      </c>
      <c r="G21" t="n">
        <v>50821</v>
      </c>
      <c r="H21" t="n">
        <v>26531</v>
      </c>
      <c r="I21" t="n">
        <v>25716</v>
      </c>
      <c r="J21" t="n">
        <v>13943</v>
      </c>
      <c r="K21" t="n">
        <v>241931</v>
      </c>
      <c r="L21" t="n">
        <v>118122</v>
      </c>
      <c r="M21" t="n">
        <v>46.7</v>
      </c>
      <c r="N21" t="n">
        <v>48.8</v>
      </c>
    </row>
    <row r="22">
      <c r="A22" t="inlineStr">
        <is>
          <t>Pursat</t>
        </is>
      </c>
      <c r="B22" t="n">
        <v>551</v>
      </c>
      <c r="C22" t="n">
        <v>7939</v>
      </c>
      <c r="D22" t="n">
        <v>3990</v>
      </c>
      <c r="E22" t="n">
        <v>72088</v>
      </c>
      <c r="F22" t="n">
        <v>38016</v>
      </c>
      <c r="G22" t="n">
        <v>20540</v>
      </c>
      <c r="H22" t="n">
        <v>11035</v>
      </c>
      <c r="I22" t="n">
        <v>10820</v>
      </c>
      <c r="J22" t="n">
        <v>5949</v>
      </c>
      <c r="K22" t="n">
        <v>111387</v>
      </c>
      <c r="L22" t="n">
        <v>58990</v>
      </c>
      <c r="M22" t="n">
        <v>52.7</v>
      </c>
      <c r="N22" t="n">
        <v>53</v>
      </c>
    </row>
    <row r="23">
      <c r="A23" t="inlineStr">
        <is>
          <t>Ratanak Kiri</t>
        </is>
      </c>
      <c r="B23" t="n">
        <v>328</v>
      </c>
      <c r="C23" t="n">
        <v>2617</v>
      </c>
      <c r="D23" t="n">
        <v>1364</v>
      </c>
      <c r="E23" t="n">
        <v>39659</v>
      </c>
      <c r="F23" t="n">
        <v>19524</v>
      </c>
      <c r="G23" t="n">
        <v>9335</v>
      </c>
      <c r="H23" t="n">
        <v>4845</v>
      </c>
      <c r="I23" t="n">
        <v>4735</v>
      </c>
      <c r="J23" t="n">
        <v>2377</v>
      </c>
      <c r="K23" t="n">
        <v>56346</v>
      </c>
      <c r="L23" t="n">
        <v>28110</v>
      </c>
      <c r="M23" t="n">
        <v>49.2</v>
      </c>
      <c r="N23" t="n">
        <v>49.9</v>
      </c>
    </row>
    <row r="24">
      <c r="A24" t="inlineStr">
        <is>
          <t>Siemreap</t>
        </is>
      </c>
      <c r="B24" t="n">
        <v>1109</v>
      </c>
      <c r="C24" t="n">
        <v>28489</v>
      </c>
      <c r="D24" t="n">
        <v>14344</v>
      </c>
      <c r="E24" t="n">
        <v>165022</v>
      </c>
      <c r="F24" t="n">
        <v>81617</v>
      </c>
      <c r="G24" t="n">
        <v>53793</v>
      </c>
      <c r="H24" t="n">
        <v>29461</v>
      </c>
      <c r="I24" t="n">
        <v>31440</v>
      </c>
      <c r="J24" t="n">
        <v>18026</v>
      </c>
      <c r="K24" t="n">
        <v>278744</v>
      </c>
      <c r="L24" t="n">
        <v>143448</v>
      </c>
      <c r="M24" t="n">
        <v>49.5</v>
      </c>
      <c r="N24" t="n">
        <v>51.5</v>
      </c>
    </row>
    <row r="25">
      <c r="A25" t="inlineStr">
        <is>
          <t>Stung Treng</t>
        </is>
      </c>
      <c r="B25" t="n">
        <v>259</v>
      </c>
      <c r="C25" t="n">
        <v>1388</v>
      </c>
      <c r="D25" t="n">
        <v>754</v>
      </c>
      <c r="E25" t="n">
        <v>27881</v>
      </c>
      <c r="F25" t="n">
        <v>14039</v>
      </c>
      <c r="G25" t="n">
        <v>5904</v>
      </c>
      <c r="H25" t="n">
        <v>3153</v>
      </c>
      <c r="I25" t="n">
        <v>2859</v>
      </c>
      <c r="J25" t="n">
        <v>1562</v>
      </c>
      <c r="K25" t="n">
        <v>38032</v>
      </c>
      <c r="L25" t="n">
        <v>19508</v>
      </c>
      <c r="M25" t="n">
        <v>50.4</v>
      </c>
      <c r="N25" t="n">
        <v>51.3</v>
      </c>
    </row>
    <row r="26">
      <c r="A26" t="inlineStr">
        <is>
          <t>Svay Rieng</t>
        </is>
      </c>
      <c r="B26" t="n">
        <v>511</v>
      </c>
      <c r="C26" t="n">
        <v>6874</v>
      </c>
      <c r="D26" t="n">
        <v>3354</v>
      </c>
      <c r="E26" t="n">
        <v>75442</v>
      </c>
      <c r="F26" t="n">
        <v>35928</v>
      </c>
      <c r="G26" t="n">
        <v>26340</v>
      </c>
      <c r="H26" t="n">
        <v>13281</v>
      </c>
      <c r="I26" t="n">
        <v>12652</v>
      </c>
      <c r="J26" t="n">
        <v>6610</v>
      </c>
      <c r="K26" t="n">
        <v>121308</v>
      </c>
      <c r="L26" t="n">
        <v>59173</v>
      </c>
      <c r="M26" t="n">
        <v>47.6</v>
      </c>
      <c r="N26" t="n">
        <v>48.8</v>
      </c>
    </row>
    <row r="27">
      <c r="A27" t="inlineStr">
        <is>
          <t>Takeo</t>
        </is>
      </c>
      <c r="B27" t="n">
        <v>802</v>
      </c>
      <c r="C27" t="n">
        <v>12424</v>
      </c>
      <c r="D27" t="n">
        <v>6103</v>
      </c>
      <c r="E27" t="n">
        <v>113902</v>
      </c>
      <c r="F27" t="n">
        <v>54239</v>
      </c>
      <c r="G27" t="n">
        <v>45600</v>
      </c>
      <c r="H27" t="n">
        <v>23392</v>
      </c>
      <c r="I27" t="n">
        <v>28478</v>
      </c>
      <c r="J27" t="n">
        <v>14984</v>
      </c>
      <c r="K27" t="n">
        <v>200404</v>
      </c>
      <c r="L27" t="n">
        <v>98718</v>
      </c>
      <c r="M27" t="n">
        <v>47.6</v>
      </c>
      <c r="N27" t="n">
        <v>49.3</v>
      </c>
    </row>
    <row r="28">
      <c r="A28" t="inlineStr">
        <is>
          <t>Tbaung Khmum</t>
        </is>
      </c>
      <c r="B28" t="n">
        <v>723</v>
      </c>
      <c r="C28" t="n">
        <v>13633</v>
      </c>
      <c r="D28" t="n">
        <v>6860</v>
      </c>
      <c r="E28" t="n">
        <v>109468</v>
      </c>
      <c r="F28" t="n">
        <v>52681</v>
      </c>
      <c r="G28" t="n">
        <v>31974</v>
      </c>
      <c r="H28" t="n">
        <v>17221</v>
      </c>
      <c r="I28" t="n">
        <v>15423</v>
      </c>
      <c r="J28" t="n">
        <v>8677</v>
      </c>
      <c r="K28" t="n">
        <v>170498</v>
      </c>
      <c r="L28" t="n">
        <v>85439</v>
      </c>
      <c r="M28" t="n">
        <v>48.1</v>
      </c>
      <c r="N28" t="n">
        <v>50.1</v>
      </c>
    </row>
    <row r="29">
      <c r="A29" t="inlineStr">
        <is>
          <t>Whole Kingdom</t>
        </is>
      </c>
      <c r="B29" t="n">
        <v>13681</v>
      </c>
      <c r="C29" t="n">
        <v>217787</v>
      </c>
      <c r="D29" t="n">
        <v>109005</v>
      </c>
      <c r="E29" t="n">
        <v>2036566</v>
      </c>
      <c r="F29" t="n">
        <v>998416</v>
      </c>
      <c r="G29" t="n">
        <v>662106</v>
      </c>
      <c r="H29" t="n">
        <v>348637</v>
      </c>
      <c r="I29" t="n">
        <v>360617</v>
      </c>
      <c r="J29" t="n">
        <v>196474</v>
      </c>
      <c r="K29" t="n">
        <v>3277076</v>
      </c>
      <c r="L29" t="n">
        <v>1652532</v>
      </c>
      <c r="M29" t="n">
        <v>49</v>
      </c>
      <c r="N29" t="n">
        <v>50.4</v>
      </c>
    </row>
    <row r="30">
      <c r="A30" t="inlineStr">
        <is>
          <t>-  Urban Area</t>
        </is>
      </c>
      <c r="B30" t="n">
        <v>1464</v>
      </c>
      <c r="C30" t="n">
        <v>36865</v>
      </c>
      <c r="D30" t="n">
        <v>18425</v>
      </c>
      <c r="E30" t="n">
        <v>347794</v>
      </c>
      <c r="F30" t="n">
        <v>167879</v>
      </c>
      <c r="G30" t="n">
        <v>140294</v>
      </c>
      <c r="H30" t="n">
        <v>71441</v>
      </c>
      <c r="I30" t="n">
        <v>106147</v>
      </c>
      <c r="J30" t="n">
        <v>55912</v>
      </c>
      <c r="K30" t="n">
        <v>631100</v>
      </c>
      <c r="L30" t="n">
        <v>313657</v>
      </c>
      <c r="M30" t="n">
        <v>48.3</v>
      </c>
      <c r="N30" t="n">
        <v>49.7</v>
      </c>
    </row>
    <row r="31">
      <c r="A31" t="inlineStr">
        <is>
          <t>-  Rural Area</t>
        </is>
      </c>
      <c r="B31" t="n">
        <v>12217</v>
      </c>
      <c r="C31" t="n">
        <v>180922</v>
      </c>
      <c r="D31" t="n">
        <v>90580</v>
      </c>
      <c r="E31" t="n">
        <v>1688772</v>
      </c>
      <c r="F31" t="n">
        <v>830537</v>
      </c>
      <c r="G31" t="n">
        <v>521812</v>
      </c>
      <c r="H31" t="n">
        <v>277196</v>
      </c>
      <c r="I31" t="n">
        <v>254470</v>
      </c>
      <c r="J31" t="n">
        <v>140562</v>
      </c>
      <c r="K31" t="n">
        <v>2645976</v>
      </c>
      <c r="L31" t="n">
        <v>1338875</v>
      </c>
      <c r="M31" t="n">
        <v>49.2</v>
      </c>
      <c r="N31" t="n">
        <v>50.6</v>
      </c>
    </row>
  </sheetData>
  <mergeCells count="8">
    <mergeCell ref="M2:N2"/>
    <mergeCell ref="C2:D2"/>
    <mergeCell ref="G2:H2"/>
    <mergeCell ref="E2:F2"/>
    <mergeCell ref="K2:L2"/>
    <mergeCell ref="I2:J2"/>
    <mergeCell ref="A1:O1"/>
    <mergeCell ref="A2:A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42578125" customWidth="1" min="2" max="2"/>
    <col width="8.85546875" customWidth="1" min="4" max="4"/>
    <col width="7.7109375" customWidth="1" min="5" max="5"/>
    <col width="7.42578125" customWidth="1" min="6" max="6"/>
    <col width="8" customWidth="1" min="7" max="7"/>
    <col width="7.42578125" customWidth="1" min="8" max="8"/>
    <col width="7.7109375" customWidth="1" min="9" max="9"/>
    <col width="7.42578125" customWidth="1" min="10" max="10"/>
    <col width="8" customWidth="1" min="11" max="11"/>
    <col width="7.42578125" customWidth="1" min="12" max="12"/>
    <col width="7.7109375" customWidth="1" min="13" max="13"/>
    <col width="7.85546875" customWidth="1" min="14" max="14"/>
    <col width="6.85546875" customWidth="1" min="15" max="15"/>
    <col width="7.140625" customWidth="1" min="16" max="16"/>
  </cols>
  <sheetData>
    <row r="1">
      <c r="A1" t="inlineStr">
        <is>
          <t>Table 17: New Intake and Enrollment by Level and Age (Both Sexes)</t>
        </is>
      </c>
    </row>
    <row r="2">
      <c r="A2" t="inlineStr">
        <is>
          <t>Province</t>
        </is>
      </c>
      <c r="B2" t="inlineStr">
        <is>
          <t>Grade 1 Intake</t>
        </is>
      </c>
      <c r="D2" t="inlineStr">
        <is>
          <t>Primary Enrollment</t>
        </is>
      </c>
      <c r="F2" t="inlineStr">
        <is>
          <t>Grade 7 Intake</t>
        </is>
      </c>
      <c r="H2" t="inlineStr">
        <is>
          <t>L. Sec. Enrollment</t>
        </is>
      </c>
      <c r="J2" t="inlineStr">
        <is>
          <t>Grade 10 Intake</t>
        </is>
      </c>
      <c r="L2" t="inlineStr">
        <is>
          <t>U. Sec. Enrollment</t>
        </is>
      </c>
      <c r="N2" t="inlineStr">
        <is>
          <t>% Over-age Enrollment in</t>
        </is>
      </c>
    </row>
    <row r="3">
      <c r="B3" t="inlineStr">
        <is>
          <t>Total</t>
        </is>
      </c>
      <c r="C3" t="inlineStr">
        <is>
          <t>Aged 6</t>
        </is>
      </c>
      <c r="D3" t="inlineStr">
        <is>
          <t>Total</t>
        </is>
      </c>
      <c r="E3" t="inlineStr">
        <is>
          <t>Aged 11+</t>
        </is>
      </c>
      <c r="F3" t="inlineStr">
        <is>
          <t>Total</t>
        </is>
      </c>
      <c r="G3" t="inlineStr">
        <is>
          <t>Aged 12</t>
        </is>
      </c>
      <c r="H3" t="inlineStr">
        <is>
          <t>Total</t>
        </is>
      </c>
      <c r="I3" t="inlineStr">
        <is>
          <t>Aged 14+</t>
        </is>
      </c>
      <c r="J3" t="inlineStr">
        <is>
          <t>Total</t>
        </is>
      </c>
      <c r="K3" t="inlineStr">
        <is>
          <t>Aged 15</t>
        </is>
      </c>
      <c r="L3" t="inlineStr">
        <is>
          <t>Total</t>
        </is>
      </c>
      <c r="M3" t="inlineStr">
        <is>
          <t>Aged 17+</t>
        </is>
      </c>
      <c r="N3" t="inlineStr">
        <is>
          <t>Primary</t>
        </is>
      </c>
      <c r="O3" t="inlineStr">
        <is>
          <t>L. Sec.</t>
        </is>
      </c>
      <c r="P3" t="inlineStr">
        <is>
          <t>U. Sec.</t>
        </is>
      </c>
    </row>
    <row r="4">
      <c r="A4" t="inlineStr">
        <is>
          <t>Banteay Meanchey</t>
        </is>
      </c>
      <c r="B4" t="n">
        <v>17257</v>
      </c>
      <c r="C4" t="n">
        <v>12191</v>
      </c>
      <c r="D4" t="n">
        <v>99947</v>
      </c>
      <c r="E4" t="n">
        <v>16233</v>
      </c>
      <c r="F4" t="n">
        <v>12281</v>
      </c>
      <c r="G4" t="n">
        <v>3262</v>
      </c>
      <c r="H4" t="n">
        <v>31716</v>
      </c>
      <c r="I4" t="n">
        <v>10002</v>
      </c>
      <c r="J4" t="n">
        <v>6018</v>
      </c>
      <c r="K4" t="n">
        <v>2216</v>
      </c>
      <c r="L4" t="n">
        <v>15758</v>
      </c>
      <c r="M4" t="n">
        <v>3698</v>
      </c>
      <c r="N4" t="n">
        <v>16.2</v>
      </c>
      <c r="O4" t="n">
        <v>31.5</v>
      </c>
      <c r="P4" t="n">
        <v>23.5</v>
      </c>
    </row>
    <row r="5">
      <c r="A5" t="inlineStr">
        <is>
          <t>Battambang</t>
        </is>
      </c>
      <c r="B5" t="n">
        <v>28030</v>
      </c>
      <c r="C5" t="n">
        <v>19065</v>
      </c>
      <c r="D5" t="n">
        <v>175634</v>
      </c>
      <c r="E5" t="n">
        <v>59335</v>
      </c>
      <c r="F5" t="n">
        <v>19294</v>
      </c>
      <c r="G5" t="n">
        <v>4584</v>
      </c>
      <c r="H5" t="n">
        <v>50036</v>
      </c>
      <c r="I5" t="n">
        <v>17161</v>
      </c>
      <c r="J5" t="n">
        <v>9471</v>
      </c>
      <c r="K5" t="n">
        <v>3196</v>
      </c>
      <c r="L5" t="n">
        <v>24968</v>
      </c>
      <c r="M5" t="n">
        <v>7011</v>
      </c>
      <c r="N5" t="n">
        <v>33.8</v>
      </c>
      <c r="O5" t="n">
        <v>34.3</v>
      </c>
      <c r="P5" t="n">
        <v>28.1</v>
      </c>
    </row>
    <row r="6">
      <c r="A6" t="inlineStr">
        <is>
          <t>Kampong Cham</t>
        </is>
      </c>
      <c r="B6" t="n">
        <v>22497</v>
      </c>
      <c r="C6" t="n">
        <v>16920</v>
      </c>
      <c r="D6" t="n">
        <v>138517</v>
      </c>
      <c r="E6" t="n">
        <v>36758</v>
      </c>
      <c r="F6" t="n">
        <v>16703</v>
      </c>
      <c r="G6" t="n">
        <v>5275</v>
      </c>
      <c r="H6" t="n">
        <v>43843</v>
      </c>
      <c r="I6" t="n">
        <v>13700</v>
      </c>
      <c r="J6" t="n">
        <v>9355</v>
      </c>
      <c r="K6" t="n">
        <v>3668</v>
      </c>
      <c r="L6" t="n">
        <v>25342</v>
      </c>
      <c r="M6" t="n">
        <v>6215</v>
      </c>
      <c r="N6" t="n">
        <v>26.5</v>
      </c>
      <c r="O6" t="n">
        <v>31.2</v>
      </c>
      <c r="P6" t="n">
        <v>24.5</v>
      </c>
    </row>
    <row r="7">
      <c r="A7" t="inlineStr">
        <is>
          <t>Kampong Chhnang</t>
        </is>
      </c>
      <c r="B7" t="n">
        <v>12253</v>
      </c>
      <c r="C7" t="n">
        <v>10470</v>
      </c>
      <c r="D7" t="n">
        <v>73750</v>
      </c>
      <c r="E7" t="n">
        <v>15001</v>
      </c>
      <c r="F7" t="n">
        <v>9729</v>
      </c>
      <c r="G7" t="n">
        <v>2434</v>
      </c>
      <c r="H7" t="n">
        <v>25320</v>
      </c>
      <c r="I7" t="n">
        <v>8190</v>
      </c>
      <c r="J7" t="n">
        <v>4849</v>
      </c>
      <c r="K7" t="n">
        <v>1677</v>
      </c>
      <c r="L7" t="n">
        <v>12753</v>
      </c>
      <c r="M7" t="n">
        <v>3548</v>
      </c>
      <c r="N7" t="n">
        <v>20.3</v>
      </c>
      <c r="O7" t="n">
        <v>32.3</v>
      </c>
      <c r="P7" t="n">
        <v>27.8</v>
      </c>
    </row>
    <row r="8">
      <c r="A8" t="inlineStr">
        <is>
          <t>Kampong Speu</t>
        </is>
      </c>
      <c r="B8" t="n">
        <v>17150</v>
      </c>
      <c r="C8" t="n">
        <v>12957</v>
      </c>
      <c r="D8" t="n">
        <v>106477</v>
      </c>
      <c r="E8" t="n">
        <v>15859</v>
      </c>
      <c r="F8" t="n">
        <v>13967</v>
      </c>
      <c r="G8" t="n">
        <v>3811</v>
      </c>
      <c r="H8" t="n">
        <v>34650</v>
      </c>
      <c r="I8" t="n">
        <v>10373</v>
      </c>
      <c r="J8" t="n">
        <v>5864</v>
      </c>
      <c r="K8" t="n">
        <v>2286</v>
      </c>
      <c r="L8" t="n">
        <v>15063</v>
      </c>
      <c r="M8" t="n">
        <v>4073</v>
      </c>
      <c r="N8" t="n">
        <v>14.9</v>
      </c>
      <c r="O8" t="n">
        <v>29.9</v>
      </c>
      <c r="P8" t="n">
        <v>27</v>
      </c>
    </row>
    <row r="9">
      <c r="A9" t="inlineStr">
        <is>
          <t>Kampong Thom</t>
        </is>
      </c>
      <c r="B9" t="n">
        <v>17517</v>
      </c>
      <c r="C9" t="n">
        <v>13430</v>
      </c>
      <c r="D9" t="n">
        <v>101294</v>
      </c>
      <c r="E9" t="n">
        <v>23397</v>
      </c>
      <c r="F9" t="n">
        <v>11559</v>
      </c>
      <c r="G9" t="n">
        <v>2885</v>
      </c>
      <c r="H9" t="n">
        <v>30322</v>
      </c>
      <c r="I9" t="n">
        <v>10578</v>
      </c>
      <c r="J9" t="n">
        <v>6415</v>
      </c>
      <c r="K9" t="n">
        <v>2590</v>
      </c>
      <c r="L9" t="n">
        <v>17148</v>
      </c>
      <c r="M9" t="n">
        <v>4984</v>
      </c>
      <c r="N9" t="n">
        <v>23.1</v>
      </c>
      <c r="O9" t="n">
        <v>34.9</v>
      </c>
      <c r="P9" t="n">
        <v>29.1</v>
      </c>
    </row>
    <row r="10">
      <c r="A10" t="inlineStr">
        <is>
          <t>Kampot</t>
        </is>
      </c>
      <c r="B10" t="n">
        <v>13225</v>
      </c>
      <c r="C10" t="n">
        <v>10196</v>
      </c>
      <c r="D10" t="n">
        <v>75516</v>
      </c>
      <c r="E10" t="n">
        <v>10212</v>
      </c>
      <c r="F10" t="n">
        <v>10249</v>
      </c>
      <c r="G10" t="n">
        <v>3206</v>
      </c>
      <c r="H10" t="n">
        <v>27431</v>
      </c>
      <c r="I10" t="n">
        <v>8617</v>
      </c>
      <c r="J10" t="n">
        <v>5483</v>
      </c>
      <c r="K10" t="n">
        <v>2456</v>
      </c>
      <c r="L10" t="n">
        <v>15467</v>
      </c>
      <c r="M10" t="n">
        <v>4219</v>
      </c>
      <c r="N10" t="n">
        <v>13.5</v>
      </c>
      <c r="O10" t="n">
        <v>31.4</v>
      </c>
      <c r="P10" t="n">
        <v>27.3</v>
      </c>
    </row>
    <row r="11">
      <c r="A11" t="inlineStr">
        <is>
          <t>Kandal</t>
        </is>
      </c>
      <c r="B11" t="n">
        <v>26176</v>
      </c>
      <c r="C11" t="n">
        <v>21037</v>
      </c>
      <c r="D11" t="n">
        <v>161700</v>
      </c>
      <c r="E11" t="n">
        <v>23889</v>
      </c>
      <c r="F11" t="n">
        <v>20772</v>
      </c>
      <c r="G11" t="n">
        <v>6815</v>
      </c>
      <c r="H11" t="n">
        <v>55791</v>
      </c>
      <c r="I11" t="n">
        <v>16450</v>
      </c>
      <c r="J11" t="n">
        <v>11316</v>
      </c>
      <c r="K11" t="n">
        <v>4881</v>
      </c>
      <c r="L11" t="n">
        <v>30473</v>
      </c>
      <c r="M11" t="n">
        <v>6926</v>
      </c>
      <c r="N11" t="n">
        <v>14.8</v>
      </c>
      <c r="O11" t="n">
        <v>29.5</v>
      </c>
      <c r="P11" t="n">
        <v>22.7</v>
      </c>
    </row>
    <row r="12">
      <c r="A12" t="inlineStr">
        <is>
          <t>Kep</t>
        </is>
      </c>
      <c r="B12" t="n">
        <v>943</v>
      </c>
      <c r="C12" t="n">
        <v>642</v>
      </c>
      <c r="D12" t="n">
        <v>5481</v>
      </c>
      <c r="E12" t="n">
        <v>1028</v>
      </c>
      <c r="F12" t="n">
        <v>642</v>
      </c>
      <c r="G12" t="n">
        <v>97</v>
      </c>
      <c r="H12" t="n">
        <v>1733</v>
      </c>
      <c r="I12" t="n">
        <v>646</v>
      </c>
      <c r="J12" t="n">
        <v>329</v>
      </c>
      <c r="K12" t="n">
        <v>86</v>
      </c>
      <c r="L12" t="n">
        <v>983</v>
      </c>
      <c r="M12" t="n">
        <v>326</v>
      </c>
      <c r="N12" t="n">
        <v>18.8</v>
      </c>
      <c r="O12" t="n">
        <v>37.3</v>
      </c>
      <c r="P12" t="n">
        <v>33.2</v>
      </c>
    </row>
    <row r="13">
      <c r="A13" t="inlineStr">
        <is>
          <t>Koh Kong</t>
        </is>
      </c>
      <c r="B13" t="n">
        <v>3224</v>
      </c>
      <c r="C13" t="n">
        <v>1809</v>
      </c>
      <c r="D13" t="n">
        <v>17205</v>
      </c>
      <c r="E13" t="n">
        <v>3577</v>
      </c>
      <c r="F13" t="n">
        <v>2123</v>
      </c>
      <c r="G13" t="n">
        <v>496</v>
      </c>
      <c r="H13" t="n">
        <v>5707</v>
      </c>
      <c r="I13" t="n">
        <v>2361</v>
      </c>
      <c r="J13" t="n">
        <v>1239</v>
      </c>
      <c r="K13" t="n">
        <v>350</v>
      </c>
      <c r="L13" t="n">
        <v>3131</v>
      </c>
      <c r="M13" t="n">
        <v>1010</v>
      </c>
      <c r="N13" t="n">
        <v>20.8</v>
      </c>
      <c r="O13" t="n">
        <v>41.4</v>
      </c>
      <c r="P13" t="n">
        <v>32.3</v>
      </c>
    </row>
    <row r="14">
      <c r="A14" t="inlineStr">
        <is>
          <t>Kratie</t>
        </is>
      </c>
      <c r="B14" t="n">
        <v>11092</v>
      </c>
      <c r="C14" t="n">
        <v>7454</v>
      </c>
      <c r="D14" t="n">
        <v>64004</v>
      </c>
      <c r="E14" t="n">
        <v>19847</v>
      </c>
      <c r="F14" t="n">
        <v>5858</v>
      </c>
      <c r="G14" t="n">
        <v>1600</v>
      </c>
      <c r="H14" t="n">
        <v>14380</v>
      </c>
      <c r="I14" t="n">
        <v>5147</v>
      </c>
      <c r="J14" t="n">
        <v>2514</v>
      </c>
      <c r="K14" t="n">
        <v>916</v>
      </c>
      <c r="L14" t="n">
        <v>6656</v>
      </c>
      <c r="M14" t="n">
        <v>1959</v>
      </c>
      <c r="N14" t="n">
        <v>31</v>
      </c>
      <c r="O14" t="n">
        <v>35.8</v>
      </c>
      <c r="P14" t="n">
        <v>29.4</v>
      </c>
    </row>
    <row r="15">
      <c r="A15" t="inlineStr">
        <is>
          <t>Mondul Kiri</t>
        </is>
      </c>
      <c r="B15" t="n">
        <v>2810</v>
      </c>
      <c r="C15" t="n">
        <v>1597</v>
      </c>
      <c r="D15" t="n">
        <v>15225</v>
      </c>
      <c r="E15" t="n">
        <v>4750</v>
      </c>
      <c r="F15" t="n">
        <v>1535</v>
      </c>
      <c r="G15" t="n">
        <v>264</v>
      </c>
      <c r="H15" t="n">
        <v>3721</v>
      </c>
      <c r="I15" t="n">
        <v>1713</v>
      </c>
      <c r="J15" t="n">
        <v>739</v>
      </c>
      <c r="K15" t="n">
        <v>163</v>
      </c>
      <c r="L15" t="n">
        <v>1917</v>
      </c>
      <c r="M15" t="n">
        <v>823</v>
      </c>
      <c r="N15" t="n">
        <v>31.2</v>
      </c>
      <c r="O15" t="n">
        <v>46</v>
      </c>
      <c r="P15" t="n">
        <v>42.9</v>
      </c>
    </row>
    <row r="16">
      <c r="A16" t="inlineStr">
        <is>
          <t>Otdar Meanchey</t>
        </is>
      </c>
      <c r="B16" t="n">
        <v>6907</v>
      </c>
      <c r="C16" t="n">
        <v>4956</v>
      </c>
      <c r="D16" t="n">
        <v>38042</v>
      </c>
      <c r="E16" t="n">
        <v>6977</v>
      </c>
      <c r="F16" t="n">
        <v>4155</v>
      </c>
      <c r="G16" t="n">
        <v>893</v>
      </c>
      <c r="H16" t="n">
        <v>10741</v>
      </c>
      <c r="I16" t="n">
        <v>4037</v>
      </c>
      <c r="J16" t="n">
        <v>2085</v>
      </c>
      <c r="K16" t="n">
        <v>632</v>
      </c>
      <c r="L16" t="n">
        <v>5349</v>
      </c>
      <c r="M16" t="n">
        <v>1883</v>
      </c>
      <c r="N16" t="n">
        <v>18.3</v>
      </c>
      <c r="O16" t="n">
        <v>37.6</v>
      </c>
      <c r="P16" t="n">
        <v>35.2</v>
      </c>
    </row>
    <row r="17">
      <c r="A17" t="inlineStr">
        <is>
          <t>Pailin</t>
        </is>
      </c>
      <c r="B17" t="n">
        <v>1773</v>
      </c>
      <c r="C17" t="n">
        <v>1213</v>
      </c>
      <c r="D17" t="n">
        <v>9881</v>
      </c>
      <c r="E17" t="n">
        <v>2041</v>
      </c>
      <c r="F17" t="n">
        <v>1334</v>
      </c>
      <c r="G17" t="n">
        <v>441</v>
      </c>
      <c r="H17" t="n">
        <v>3564</v>
      </c>
      <c r="I17" t="n">
        <v>1192</v>
      </c>
      <c r="J17" t="n">
        <v>681</v>
      </c>
      <c r="K17" t="n">
        <v>415</v>
      </c>
      <c r="L17" t="n">
        <v>1858</v>
      </c>
      <c r="M17" t="n">
        <v>392</v>
      </c>
      <c r="N17" t="n">
        <v>20.7</v>
      </c>
      <c r="O17" t="n">
        <v>33.4</v>
      </c>
      <c r="P17" t="n">
        <v>21.1</v>
      </c>
    </row>
    <row r="18">
      <c r="A18" t="inlineStr">
        <is>
          <t>Phnom Penh</t>
        </is>
      </c>
      <c r="B18" t="n">
        <v>24419</v>
      </c>
      <c r="C18" t="n">
        <v>18704</v>
      </c>
      <c r="D18" t="n">
        <v>135555</v>
      </c>
      <c r="E18" t="n">
        <v>17634</v>
      </c>
      <c r="F18" t="n">
        <v>20630</v>
      </c>
      <c r="G18" t="n">
        <v>6240</v>
      </c>
      <c r="H18" t="n">
        <v>58955</v>
      </c>
      <c r="I18" t="n">
        <v>18368</v>
      </c>
      <c r="J18" t="n">
        <v>13418</v>
      </c>
      <c r="K18" t="n">
        <v>5131</v>
      </c>
      <c r="L18" t="n">
        <v>41103</v>
      </c>
      <c r="M18" t="n">
        <v>13460</v>
      </c>
      <c r="N18" t="n">
        <v>13</v>
      </c>
      <c r="O18" t="n">
        <v>31.2</v>
      </c>
      <c r="P18" t="n">
        <v>32.7</v>
      </c>
    </row>
    <row r="19">
      <c r="A19" t="inlineStr">
        <is>
          <t>Preah Sihanouk</t>
        </is>
      </c>
      <c r="B19" t="n">
        <v>5278</v>
      </c>
      <c r="C19" t="n">
        <v>2730</v>
      </c>
      <c r="D19" t="n">
        <v>28240</v>
      </c>
      <c r="E19" t="n">
        <v>5917</v>
      </c>
      <c r="F19" t="n">
        <v>3532</v>
      </c>
      <c r="G19" t="n">
        <v>657</v>
      </c>
      <c r="H19" t="n">
        <v>9218</v>
      </c>
      <c r="I19" t="n">
        <v>3319</v>
      </c>
      <c r="J19" t="n">
        <v>1792</v>
      </c>
      <c r="K19" t="n">
        <v>740</v>
      </c>
      <c r="L19" t="n">
        <v>4821</v>
      </c>
      <c r="M19" t="n">
        <v>1301</v>
      </c>
      <c r="N19" t="n">
        <v>21</v>
      </c>
      <c r="O19" t="n">
        <v>36</v>
      </c>
      <c r="P19" t="n">
        <v>27</v>
      </c>
    </row>
    <row r="20">
      <c r="A20" t="inlineStr">
        <is>
          <t>Preah Vihear</t>
        </is>
      </c>
      <c r="B20" t="n">
        <v>6357</v>
      </c>
      <c r="C20" t="n">
        <v>4746</v>
      </c>
      <c r="D20" t="n">
        <v>37905</v>
      </c>
      <c r="E20" t="n">
        <v>9066</v>
      </c>
      <c r="F20" t="n">
        <v>4086</v>
      </c>
      <c r="G20" t="n">
        <v>853</v>
      </c>
      <c r="H20" t="n">
        <v>10671</v>
      </c>
      <c r="I20" t="n">
        <v>4578</v>
      </c>
      <c r="J20" t="n">
        <v>2273</v>
      </c>
      <c r="K20" t="n">
        <v>673</v>
      </c>
      <c r="L20" t="n">
        <v>5704</v>
      </c>
      <c r="M20" t="n">
        <v>1869</v>
      </c>
      <c r="N20" t="n">
        <v>23.9</v>
      </c>
      <c r="O20" t="n">
        <v>42.9</v>
      </c>
      <c r="P20" t="n">
        <v>32.8</v>
      </c>
    </row>
    <row r="21">
      <c r="A21" t="inlineStr">
        <is>
          <t>Prey Veng</t>
        </is>
      </c>
      <c r="B21" t="n">
        <v>23891</v>
      </c>
      <c r="C21" t="n">
        <v>18340</v>
      </c>
      <c r="D21" t="n">
        <v>148731</v>
      </c>
      <c r="E21" t="n">
        <v>29524</v>
      </c>
      <c r="F21" t="n">
        <v>19641</v>
      </c>
      <c r="G21" t="n">
        <v>7130</v>
      </c>
      <c r="H21" t="n">
        <v>50821</v>
      </c>
      <c r="I21" t="n">
        <v>13919</v>
      </c>
      <c r="J21" t="n">
        <v>9803</v>
      </c>
      <c r="K21" t="n">
        <v>4798</v>
      </c>
      <c r="L21" t="n">
        <v>25716</v>
      </c>
      <c r="M21" t="n">
        <v>5743</v>
      </c>
      <c r="N21" t="n">
        <v>19.9</v>
      </c>
      <c r="O21" t="n">
        <v>27.4</v>
      </c>
      <c r="P21" t="n">
        <v>22.3</v>
      </c>
    </row>
    <row r="22">
      <c r="A22" t="inlineStr">
        <is>
          <t>Pursat</t>
        </is>
      </c>
      <c r="B22" t="n">
        <v>12059</v>
      </c>
      <c r="C22" t="n">
        <v>8331</v>
      </c>
      <c r="D22" t="n">
        <v>72088</v>
      </c>
      <c r="E22" t="n">
        <v>22849</v>
      </c>
      <c r="F22" t="n">
        <v>7967</v>
      </c>
      <c r="G22" t="n">
        <v>1951</v>
      </c>
      <c r="H22" t="n">
        <v>20540</v>
      </c>
      <c r="I22" t="n">
        <v>7852</v>
      </c>
      <c r="J22" t="n">
        <v>4157</v>
      </c>
      <c r="K22" t="n">
        <v>1394</v>
      </c>
      <c r="L22" t="n">
        <v>10820</v>
      </c>
      <c r="M22" t="n">
        <v>3473</v>
      </c>
      <c r="N22" t="n">
        <v>31.7</v>
      </c>
      <c r="O22" t="n">
        <v>38.2</v>
      </c>
      <c r="P22" t="n">
        <v>32.1</v>
      </c>
    </row>
    <row r="23">
      <c r="A23" t="inlineStr">
        <is>
          <t>Ratanak Kiri</t>
        </is>
      </c>
      <c r="B23" t="n">
        <v>6895</v>
      </c>
      <c r="C23" t="n">
        <v>3477</v>
      </c>
      <c r="D23" t="n">
        <v>39659</v>
      </c>
      <c r="E23" t="n">
        <v>13481</v>
      </c>
      <c r="F23" t="n">
        <v>3790</v>
      </c>
      <c r="G23" t="n">
        <v>661</v>
      </c>
      <c r="H23" t="n">
        <v>9335</v>
      </c>
      <c r="I23" t="n">
        <v>4834</v>
      </c>
      <c r="J23" t="n">
        <v>1783</v>
      </c>
      <c r="K23" t="n">
        <v>475</v>
      </c>
      <c r="L23" t="n">
        <v>4735</v>
      </c>
      <c r="M23" t="n">
        <v>2316</v>
      </c>
      <c r="N23" t="n">
        <v>34</v>
      </c>
      <c r="O23" t="n">
        <v>51.8</v>
      </c>
      <c r="P23" t="n">
        <v>48.9</v>
      </c>
    </row>
    <row r="24">
      <c r="A24" t="inlineStr">
        <is>
          <t>Siemreap</t>
        </is>
      </c>
      <c r="B24" t="n">
        <v>28545</v>
      </c>
      <c r="C24" t="n">
        <v>19960</v>
      </c>
      <c r="D24" t="n">
        <v>165022</v>
      </c>
      <c r="E24" t="n">
        <v>46557</v>
      </c>
      <c r="F24" t="n">
        <v>20234</v>
      </c>
      <c r="G24" t="n">
        <v>4208</v>
      </c>
      <c r="H24" t="n">
        <v>53793</v>
      </c>
      <c r="I24" t="n">
        <v>19997</v>
      </c>
      <c r="J24" t="n">
        <v>11654</v>
      </c>
      <c r="K24" t="n">
        <v>4054</v>
      </c>
      <c r="L24" t="n">
        <v>31440</v>
      </c>
      <c r="M24" t="n">
        <v>9676</v>
      </c>
      <c r="N24" t="n">
        <v>28.2</v>
      </c>
      <c r="O24" t="n">
        <v>37.2</v>
      </c>
      <c r="P24" t="n">
        <v>30.8</v>
      </c>
    </row>
    <row r="25">
      <c r="A25" t="inlineStr">
        <is>
          <t>Stung Treng</t>
        </is>
      </c>
      <c r="B25" t="n">
        <v>5013</v>
      </c>
      <c r="C25" t="n">
        <v>3204</v>
      </c>
      <c r="D25" t="n">
        <v>27881</v>
      </c>
      <c r="E25" t="n">
        <v>7658</v>
      </c>
      <c r="F25" t="n">
        <v>2353</v>
      </c>
      <c r="G25" t="n">
        <v>561</v>
      </c>
      <c r="H25" t="n">
        <v>5904</v>
      </c>
      <c r="I25" t="n">
        <v>2635</v>
      </c>
      <c r="J25" t="n">
        <v>1054</v>
      </c>
      <c r="K25" t="n">
        <v>317</v>
      </c>
      <c r="L25" t="n">
        <v>2859</v>
      </c>
      <c r="M25" t="n">
        <v>1233</v>
      </c>
      <c r="N25" t="n">
        <v>27.5</v>
      </c>
      <c r="O25" t="n">
        <v>44.6</v>
      </c>
      <c r="P25" t="n">
        <v>43.1</v>
      </c>
    </row>
    <row r="26">
      <c r="A26" t="inlineStr">
        <is>
          <t>Svay Rieng</t>
        </is>
      </c>
      <c r="B26" t="n">
        <v>12901</v>
      </c>
      <c r="C26" t="n">
        <v>9947</v>
      </c>
      <c r="D26" t="n">
        <v>75442</v>
      </c>
      <c r="E26" t="n">
        <v>14607</v>
      </c>
      <c r="F26" t="n">
        <v>10551</v>
      </c>
      <c r="G26" t="n">
        <v>3707</v>
      </c>
      <c r="H26" t="n">
        <v>26340</v>
      </c>
      <c r="I26" t="n">
        <v>6784</v>
      </c>
      <c r="J26" t="n">
        <v>4742</v>
      </c>
      <c r="K26" t="n">
        <v>2232</v>
      </c>
      <c r="L26" t="n">
        <v>12652</v>
      </c>
      <c r="M26" t="n">
        <v>2772</v>
      </c>
      <c r="N26" t="n">
        <v>19.4</v>
      </c>
      <c r="O26" t="n">
        <v>25.8</v>
      </c>
      <c r="P26" t="n">
        <v>21.9</v>
      </c>
    </row>
    <row r="27">
      <c r="A27" t="inlineStr">
        <is>
          <t>Takeo</t>
        </is>
      </c>
      <c r="B27" t="n">
        <v>18648</v>
      </c>
      <c r="C27" t="n">
        <v>17817</v>
      </c>
      <c r="D27" t="n">
        <v>113902</v>
      </c>
      <c r="E27" t="n">
        <v>13876</v>
      </c>
      <c r="F27" t="n">
        <v>16639</v>
      </c>
      <c r="G27" t="n">
        <v>6428</v>
      </c>
      <c r="H27" t="n">
        <v>45600</v>
      </c>
      <c r="I27" t="n">
        <v>12100</v>
      </c>
      <c r="J27" t="n">
        <v>10019</v>
      </c>
      <c r="K27" t="n">
        <v>4685</v>
      </c>
      <c r="L27" t="n">
        <v>28478</v>
      </c>
      <c r="M27" t="n">
        <v>7100</v>
      </c>
      <c r="N27" t="n">
        <v>12.2</v>
      </c>
      <c r="O27" t="n">
        <v>26.5</v>
      </c>
      <c r="P27" t="n">
        <v>24.9</v>
      </c>
    </row>
    <row r="28">
      <c r="A28" t="inlineStr">
        <is>
          <t>Tbaung Khmum</t>
        </is>
      </c>
      <c r="B28" t="n">
        <v>18089</v>
      </c>
      <c r="C28" t="n">
        <v>13279</v>
      </c>
      <c r="D28" t="n">
        <v>109468</v>
      </c>
      <c r="E28" t="n">
        <v>21292</v>
      </c>
      <c r="F28" t="n">
        <v>12532</v>
      </c>
      <c r="G28" t="n">
        <v>3375</v>
      </c>
      <c r="H28" t="n">
        <v>31974</v>
      </c>
      <c r="I28" t="n">
        <v>10933</v>
      </c>
      <c r="J28" t="n">
        <v>5756</v>
      </c>
      <c r="K28" t="n">
        <v>1466</v>
      </c>
      <c r="L28" t="n">
        <v>15423</v>
      </c>
      <c r="M28" t="n">
        <v>5829</v>
      </c>
      <c r="N28" t="n">
        <v>19.5</v>
      </c>
      <c r="O28" t="n">
        <v>34.2</v>
      </c>
      <c r="P28" t="n">
        <v>37.8</v>
      </c>
    </row>
    <row r="29">
      <c r="A29" t="inlineStr">
        <is>
          <t>Whole Kingdom</t>
        </is>
      </c>
      <c r="B29" t="n">
        <v>342949</v>
      </c>
      <c r="C29" t="n">
        <v>254472</v>
      </c>
      <c r="D29" t="n">
        <v>2036566</v>
      </c>
      <c r="E29" t="n">
        <v>441365</v>
      </c>
      <c r="F29" t="n">
        <v>252156</v>
      </c>
      <c r="G29" t="n">
        <v>71834</v>
      </c>
      <c r="H29" t="n">
        <v>662106</v>
      </c>
      <c r="I29" t="n">
        <v>215486</v>
      </c>
      <c r="J29" t="n">
        <v>132809</v>
      </c>
      <c r="K29" t="n">
        <v>51497</v>
      </c>
      <c r="L29" t="n">
        <v>360617</v>
      </c>
      <c r="M29" t="n">
        <v>101839</v>
      </c>
      <c r="N29" t="n">
        <v>21.7</v>
      </c>
      <c r="O29" t="n">
        <v>32.5</v>
      </c>
      <c r="P29" t="n">
        <v>28.2</v>
      </c>
    </row>
    <row r="30">
      <c r="A30" t="inlineStr">
        <is>
          <t>-  Urban Area</t>
        </is>
      </c>
      <c r="B30" t="n">
        <v>61825</v>
      </c>
      <c r="C30" t="n">
        <v>45071</v>
      </c>
      <c r="D30" t="n">
        <v>347794</v>
      </c>
      <c r="E30" t="n">
        <v>65890</v>
      </c>
      <c r="F30" t="n">
        <v>50299</v>
      </c>
      <c r="G30" t="n">
        <v>15923</v>
      </c>
      <c r="H30" t="n">
        <v>140294</v>
      </c>
      <c r="I30" t="n">
        <v>43857</v>
      </c>
      <c r="J30" t="n">
        <v>36142</v>
      </c>
      <c r="K30" t="n">
        <v>14466</v>
      </c>
      <c r="L30" t="n">
        <v>106147</v>
      </c>
      <c r="M30" t="n">
        <v>31212</v>
      </c>
      <c r="N30" t="n">
        <v>18.9</v>
      </c>
      <c r="O30" t="n">
        <v>31.3</v>
      </c>
      <c r="P30" t="n">
        <v>29.4</v>
      </c>
    </row>
    <row r="31">
      <c r="A31" t="inlineStr">
        <is>
          <t>-  Rural Area</t>
        </is>
      </c>
      <c r="B31" t="n">
        <v>281124</v>
      </c>
      <c r="C31" t="n">
        <v>209401</v>
      </c>
      <c r="D31" t="n">
        <v>1688772</v>
      </c>
      <c r="E31" t="n">
        <v>375475</v>
      </c>
      <c r="F31" t="n">
        <v>201857</v>
      </c>
      <c r="G31" t="n">
        <v>55911</v>
      </c>
      <c r="H31" t="n">
        <v>521812</v>
      </c>
      <c r="I31" t="n">
        <v>171629</v>
      </c>
      <c r="J31" t="n">
        <v>96667</v>
      </c>
      <c r="K31" t="n">
        <v>37031</v>
      </c>
      <c r="L31" t="n">
        <v>254470</v>
      </c>
      <c r="M31" t="n">
        <v>70627</v>
      </c>
      <c r="N31" t="n">
        <v>22.2</v>
      </c>
      <c r="O31" t="n">
        <v>32.9</v>
      </c>
      <c r="P31" t="n">
        <v>27.8</v>
      </c>
    </row>
  </sheetData>
  <mergeCells count="9">
    <mergeCell ref="L2:M2"/>
    <mergeCell ref="F2:G2"/>
    <mergeCell ref="B2:C2"/>
    <mergeCell ref="H2:I2"/>
    <mergeCell ref="N2:P2"/>
    <mergeCell ref="D2:E2"/>
    <mergeCell ref="J2:K2"/>
    <mergeCell ref="A2:A3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42578125" customWidth="1" min="2" max="2"/>
    <col width="7.7109375" customWidth="1" min="5" max="5"/>
    <col width="7.42578125" customWidth="1" min="6" max="6"/>
    <col width="8" customWidth="1" min="7" max="7"/>
    <col width="7.42578125" customWidth="1" min="8" max="8"/>
    <col width="7.7109375" customWidth="1" min="9" max="9"/>
    <col width="6.42578125" customWidth="1" min="10" max="10"/>
    <col width="8" customWidth="1" min="11" max="11"/>
    <col width="7.42578125" customWidth="1" min="12" max="12"/>
    <col width="7.7109375" customWidth="1" min="13" max="13"/>
    <col width="7.85546875" customWidth="1" min="14" max="14"/>
    <col width="6.85546875" customWidth="1" min="15" max="15"/>
    <col width="7.140625" customWidth="1" min="16" max="16"/>
  </cols>
  <sheetData>
    <row r="1">
      <c r="A1" t="inlineStr">
        <is>
          <t>Table 18: New Intake and Enrollment by Level and Age (Female)</t>
        </is>
      </c>
    </row>
    <row r="2">
      <c r="A2" t="inlineStr">
        <is>
          <t>Province</t>
        </is>
      </c>
      <c r="B2" t="inlineStr">
        <is>
          <t>Grade 1 Intake</t>
        </is>
      </c>
      <c r="D2" t="inlineStr">
        <is>
          <t>Primary Enrollment</t>
        </is>
      </c>
      <c r="F2" t="inlineStr">
        <is>
          <t>Grade 7 Intake</t>
        </is>
      </c>
      <c r="H2" t="inlineStr">
        <is>
          <t>L. Sec. Enrollment</t>
        </is>
      </c>
      <c r="J2" t="inlineStr">
        <is>
          <t>Grade 10 Intake</t>
        </is>
      </c>
      <c r="L2" t="inlineStr">
        <is>
          <t>U. Sec. Enrollment</t>
        </is>
      </c>
      <c r="N2" t="inlineStr">
        <is>
          <t>% Over-age Enrollment in</t>
        </is>
      </c>
    </row>
    <row r="3">
      <c r="B3" t="inlineStr">
        <is>
          <t>Total</t>
        </is>
      </c>
      <c r="C3" t="inlineStr">
        <is>
          <t>Aged 6</t>
        </is>
      </c>
      <c r="D3" t="inlineStr">
        <is>
          <t>Total</t>
        </is>
      </c>
      <c r="E3" t="inlineStr">
        <is>
          <t>Aged 11+</t>
        </is>
      </c>
      <c r="F3" t="inlineStr">
        <is>
          <t>Total</t>
        </is>
      </c>
      <c r="G3" t="inlineStr">
        <is>
          <t>Aged 12</t>
        </is>
      </c>
      <c r="H3" t="inlineStr">
        <is>
          <t>Total</t>
        </is>
      </c>
      <c r="I3" t="inlineStr">
        <is>
          <t>Aged 14+</t>
        </is>
      </c>
      <c r="J3" t="inlineStr">
        <is>
          <t>Total</t>
        </is>
      </c>
      <c r="K3" t="inlineStr">
        <is>
          <t>Aged 15</t>
        </is>
      </c>
      <c r="L3" t="inlineStr">
        <is>
          <t>Total</t>
        </is>
      </c>
      <c r="M3" t="inlineStr">
        <is>
          <t>Aged 17+</t>
        </is>
      </c>
      <c r="N3" t="inlineStr">
        <is>
          <t>Primary</t>
        </is>
      </c>
      <c r="O3" t="inlineStr">
        <is>
          <t>L. Sec.</t>
        </is>
      </c>
      <c r="P3" t="inlineStr">
        <is>
          <t>U. Sec.</t>
        </is>
      </c>
    </row>
    <row r="4">
      <c r="A4" t="inlineStr">
        <is>
          <t>Banteay Meanchey</t>
        </is>
      </c>
      <c r="B4" t="n">
        <v>8252</v>
      </c>
      <c r="C4" t="n">
        <v>6001</v>
      </c>
      <c r="D4" t="n">
        <v>48195</v>
      </c>
      <c r="E4" t="n">
        <v>7197</v>
      </c>
      <c r="F4" t="n">
        <v>6435</v>
      </c>
      <c r="G4" t="n">
        <v>1868</v>
      </c>
      <c r="H4" t="n">
        <v>16861</v>
      </c>
      <c r="I4" t="n">
        <v>4946</v>
      </c>
      <c r="J4" t="n">
        <v>3426</v>
      </c>
      <c r="K4" t="n">
        <v>1375</v>
      </c>
      <c r="L4" t="n">
        <v>8987</v>
      </c>
      <c r="M4" t="n">
        <v>1891</v>
      </c>
      <c r="N4" t="n">
        <v>14.9</v>
      </c>
      <c r="O4" t="n">
        <v>29.3</v>
      </c>
      <c r="P4" t="n">
        <v>21</v>
      </c>
    </row>
    <row r="5">
      <c r="A5" t="inlineStr">
        <is>
          <t>Battambang</t>
        </is>
      </c>
      <c r="B5" t="n">
        <v>13486</v>
      </c>
      <c r="C5" t="n">
        <v>9434</v>
      </c>
      <c r="D5" t="n">
        <v>87264</v>
      </c>
      <c r="E5" t="n">
        <v>28842</v>
      </c>
      <c r="F5" t="n">
        <v>10114</v>
      </c>
      <c r="G5" t="n">
        <v>2620</v>
      </c>
      <c r="H5" t="n">
        <v>26673</v>
      </c>
      <c r="I5" t="n">
        <v>8414</v>
      </c>
      <c r="J5" t="n">
        <v>5283</v>
      </c>
      <c r="K5" t="n">
        <v>1880</v>
      </c>
      <c r="L5" t="n">
        <v>13877</v>
      </c>
      <c r="M5" t="n">
        <v>3664</v>
      </c>
      <c r="N5" t="n">
        <v>33.1</v>
      </c>
      <c r="O5" t="n">
        <v>31.5</v>
      </c>
      <c r="P5" t="n">
        <v>26.4</v>
      </c>
    </row>
    <row r="6">
      <c r="A6" t="inlineStr">
        <is>
          <t>Kampong Cham</t>
        </is>
      </c>
      <c r="B6" t="n">
        <v>10766</v>
      </c>
      <c r="C6" t="n">
        <v>8401</v>
      </c>
      <c r="D6" t="n">
        <v>72390</v>
      </c>
      <c r="E6" t="n">
        <v>21901</v>
      </c>
      <c r="F6" t="n">
        <v>8919</v>
      </c>
      <c r="G6" t="n">
        <v>3071</v>
      </c>
      <c r="H6" t="n">
        <v>23715</v>
      </c>
      <c r="I6" t="n">
        <v>6813</v>
      </c>
      <c r="J6" t="n">
        <v>5287</v>
      </c>
      <c r="K6" t="n">
        <v>2196</v>
      </c>
      <c r="L6" t="n">
        <v>14337</v>
      </c>
      <c r="M6" t="n">
        <v>3215</v>
      </c>
      <c r="N6" t="n">
        <v>30.3</v>
      </c>
      <c r="O6" t="n">
        <v>28.7</v>
      </c>
      <c r="P6" t="n">
        <v>22.4</v>
      </c>
    </row>
    <row r="7">
      <c r="A7" t="inlineStr">
        <is>
          <t>Kampong Chhnang</t>
        </is>
      </c>
      <c r="B7" t="n">
        <v>6028</v>
      </c>
      <c r="C7" t="n">
        <v>5214</v>
      </c>
      <c r="D7" t="n">
        <v>36879</v>
      </c>
      <c r="E7" t="n">
        <v>7289</v>
      </c>
      <c r="F7" t="n">
        <v>5273</v>
      </c>
      <c r="G7" t="n">
        <v>1433</v>
      </c>
      <c r="H7" t="n">
        <v>13762</v>
      </c>
      <c r="I7" t="n">
        <v>4207</v>
      </c>
      <c r="J7" t="n">
        <v>2750</v>
      </c>
      <c r="K7" t="n">
        <v>1039</v>
      </c>
      <c r="L7" t="n">
        <v>7178</v>
      </c>
      <c r="M7" t="n">
        <v>1865</v>
      </c>
      <c r="N7" t="n">
        <v>19.8</v>
      </c>
      <c r="O7" t="n">
        <v>30.6</v>
      </c>
      <c r="P7" t="n">
        <v>26</v>
      </c>
    </row>
    <row r="8">
      <c r="A8" t="inlineStr">
        <is>
          <t>Kampong Speu</t>
        </is>
      </c>
      <c r="B8" t="n">
        <v>8167</v>
      </c>
      <c r="C8" t="n">
        <v>6234</v>
      </c>
      <c r="D8" t="n">
        <v>51144</v>
      </c>
      <c r="E8" t="n">
        <v>7081</v>
      </c>
      <c r="F8" t="n">
        <v>7336</v>
      </c>
      <c r="G8" t="n">
        <v>2140</v>
      </c>
      <c r="H8" t="n">
        <v>18051</v>
      </c>
      <c r="I8" t="n">
        <v>4940</v>
      </c>
      <c r="J8" t="n">
        <v>3090</v>
      </c>
      <c r="K8" t="n">
        <v>1278</v>
      </c>
      <c r="L8" t="n">
        <v>7954</v>
      </c>
      <c r="M8" t="n">
        <v>2043</v>
      </c>
      <c r="N8" t="n">
        <v>13.8</v>
      </c>
      <c r="O8" t="n">
        <v>27.4</v>
      </c>
      <c r="P8" t="n">
        <v>25.7</v>
      </c>
    </row>
    <row r="9">
      <c r="A9" t="inlineStr">
        <is>
          <t>Kampong Thom</t>
        </is>
      </c>
      <c r="B9" t="n">
        <v>8721</v>
      </c>
      <c r="C9" t="n">
        <v>6626</v>
      </c>
      <c r="D9" t="n">
        <v>53157</v>
      </c>
      <c r="E9" t="n">
        <v>13313</v>
      </c>
      <c r="F9" t="n">
        <v>6200</v>
      </c>
      <c r="G9" t="n">
        <v>1678</v>
      </c>
      <c r="H9" t="n">
        <v>16323</v>
      </c>
      <c r="I9" t="n">
        <v>5210</v>
      </c>
      <c r="J9" t="n">
        <v>3699</v>
      </c>
      <c r="K9" t="n">
        <v>1574</v>
      </c>
      <c r="L9" t="n">
        <v>9683</v>
      </c>
      <c r="M9" t="n">
        <v>2625</v>
      </c>
      <c r="N9" t="n">
        <v>25</v>
      </c>
      <c r="O9" t="n">
        <v>31.9</v>
      </c>
      <c r="P9" t="n">
        <v>27.1</v>
      </c>
    </row>
    <row r="10">
      <c r="A10" t="inlineStr">
        <is>
          <t>Kampot</t>
        </is>
      </c>
      <c r="B10" t="n">
        <v>6229</v>
      </c>
      <c r="C10" t="n">
        <v>4866</v>
      </c>
      <c r="D10" t="n">
        <v>35799</v>
      </c>
      <c r="E10" t="n">
        <v>4364</v>
      </c>
      <c r="F10" t="n">
        <v>5275</v>
      </c>
      <c r="G10" t="n">
        <v>1768</v>
      </c>
      <c r="H10" t="n">
        <v>14302</v>
      </c>
      <c r="I10" t="n">
        <v>4104</v>
      </c>
      <c r="J10" t="n">
        <v>2936</v>
      </c>
      <c r="K10" t="n">
        <v>1423</v>
      </c>
      <c r="L10" t="n">
        <v>8214</v>
      </c>
      <c r="M10" t="n">
        <v>1974</v>
      </c>
      <c r="N10" t="n">
        <v>12.2</v>
      </c>
      <c r="O10" t="n">
        <v>28.7</v>
      </c>
      <c r="P10" t="n">
        <v>24</v>
      </c>
    </row>
    <row r="11">
      <c r="A11" t="inlineStr">
        <is>
          <t>Kandal</t>
        </is>
      </c>
      <c r="B11" t="n">
        <v>12533</v>
      </c>
      <c r="C11" t="n">
        <v>10127</v>
      </c>
      <c r="D11" t="n">
        <v>76703</v>
      </c>
      <c r="E11" t="n">
        <v>9637</v>
      </c>
      <c r="F11" t="n">
        <v>10682</v>
      </c>
      <c r="G11" t="n">
        <v>3803</v>
      </c>
      <c r="H11" t="n">
        <v>28974</v>
      </c>
      <c r="I11" t="n">
        <v>7533</v>
      </c>
      <c r="J11" t="n">
        <v>6192</v>
      </c>
      <c r="K11" t="n">
        <v>2858</v>
      </c>
      <c r="L11" t="n">
        <v>16804</v>
      </c>
      <c r="M11" t="n">
        <v>3456</v>
      </c>
      <c r="N11" t="n">
        <v>12.6</v>
      </c>
      <c r="O11" t="n">
        <v>26</v>
      </c>
      <c r="P11" t="n">
        <v>20.6</v>
      </c>
    </row>
    <row r="12">
      <c r="A12" t="inlineStr">
        <is>
          <t>Kep</t>
        </is>
      </c>
      <c r="B12" t="n">
        <v>448</v>
      </c>
      <c r="C12" t="n">
        <v>307</v>
      </c>
      <c r="D12" t="n">
        <v>2621</v>
      </c>
      <c r="E12" t="n">
        <v>454</v>
      </c>
      <c r="F12" t="n">
        <v>366</v>
      </c>
      <c r="G12" t="n">
        <v>72</v>
      </c>
      <c r="H12" t="n">
        <v>918</v>
      </c>
      <c r="I12" t="n">
        <v>290</v>
      </c>
      <c r="J12" t="n">
        <v>184</v>
      </c>
      <c r="K12" t="n">
        <v>53</v>
      </c>
      <c r="L12" t="n">
        <v>521</v>
      </c>
      <c r="M12" t="n">
        <v>151</v>
      </c>
      <c r="N12" t="n">
        <v>17.3</v>
      </c>
      <c r="O12" t="n">
        <v>31.6</v>
      </c>
      <c r="P12" t="n">
        <v>29</v>
      </c>
    </row>
    <row r="13">
      <c r="A13" t="inlineStr">
        <is>
          <t>Koh Kong</t>
        </is>
      </c>
      <c r="B13" t="n">
        <v>1609</v>
      </c>
      <c r="C13" t="n">
        <v>891</v>
      </c>
      <c r="D13" t="n">
        <v>8245</v>
      </c>
      <c r="E13" t="n">
        <v>1534</v>
      </c>
      <c r="F13" t="n">
        <v>1076</v>
      </c>
      <c r="G13" t="n">
        <v>288</v>
      </c>
      <c r="H13" t="n">
        <v>2934</v>
      </c>
      <c r="I13" t="n">
        <v>1070</v>
      </c>
      <c r="J13" t="n">
        <v>642</v>
      </c>
      <c r="K13" t="n">
        <v>193</v>
      </c>
      <c r="L13" t="n">
        <v>1621</v>
      </c>
      <c r="M13" t="n">
        <v>457</v>
      </c>
      <c r="N13" t="n">
        <v>18.6</v>
      </c>
      <c r="O13" t="n">
        <v>36.5</v>
      </c>
      <c r="P13" t="n">
        <v>28.2</v>
      </c>
    </row>
    <row r="14">
      <c r="A14" t="inlineStr">
        <is>
          <t>Kratie</t>
        </is>
      </c>
      <c r="B14" t="n">
        <v>5398</v>
      </c>
      <c r="C14" t="n">
        <v>3444</v>
      </c>
      <c r="D14" t="n">
        <v>33208</v>
      </c>
      <c r="E14" t="n">
        <v>9468</v>
      </c>
      <c r="F14" t="n">
        <v>3223</v>
      </c>
      <c r="G14" t="n">
        <v>976</v>
      </c>
      <c r="H14" t="n">
        <v>7787</v>
      </c>
      <c r="I14" t="n">
        <v>2523</v>
      </c>
      <c r="J14" t="n">
        <v>1413</v>
      </c>
      <c r="K14" t="n">
        <v>566</v>
      </c>
      <c r="L14" t="n">
        <v>3706</v>
      </c>
      <c r="M14" t="n">
        <v>954</v>
      </c>
      <c r="N14" t="n">
        <v>28.5</v>
      </c>
      <c r="O14" t="n">
        <v>32.4</v>
      </c>
      <c r="P14" t="n">
        <v>25.7</v>
      </c>
    </row>
    <row r="15">
      <c r="A15" t="inlineStr">
        <is>
          <t>Mondul Kiri</t>
        </is>
      </c>
      <c r="B15" t="n">
        <v>1364</v>
      </c>
      <c r="C15" t="n">
        <v>811</v>
      </c>
      <c r="D15" t="n">
        <v>7859</v>
      </c>
      <c r="E15" t="n">
        <v>2286</v>
      </c>
      <c r="F15" t="n">
        <v>790</v>
      </c>
      <c r="G15" t="n">
        <v>151</v>
      </c>
      <c r="H15" t="n">
        <v>1961</v>
      </c>
      <c r="I15" t="n">
        <v>829</v>
      </c>
      <c r="J15" t="n">
        <v>397</v>
      </c>
      <c r="K15" t="n">
        <v>97</v>
      </c>
      <c r="L15" t="n">
        <v>1041</v>
      </c>
      <c r="M15" t="n">
        <v>393</v>
      </c>
      <c r="N15" t="n">
        <v>29.1</v>
      </c>
      <c r="O15" t="n">
        <v>42.3</v>
      </c>
      <c r="P15" t="n">
        <v>37.8</v>
      </c>
    </row>
    <row r="16">
      <c r="A16" t="inlineStr">
        <is>
          <t>Otdar Meanchey</t>
        </is>
      </c>
      <c r="B16" t="n">
        <v>3297</v>
      </c>
      <c r="C16" t="n">
        <v>2391</v>
      </c>
      <c r="D16" t="n">
        <v>18080</v>
      </c>
      <c r="E16" t="n">
        <v>3129</v>
      </c>
      <c r="F16" t="n">
        <v>2211</v>
      </c>
      <c r="G16" t="n">
        <v>527</v>
      </c>
      <c r="H16" t="n">
        <v>5779</v>
      </c>
      <c r="I16" t="n">
        <v>2000</v>
      </c>
      <c r="J16" t="n">
        <v>1072</v>
      </c>
      <c r="K16" t="n">
        <v>380</v>
      </c>
      <c r="L16" t="n">
        <v>2804</v>
      </c>
      <c r="M16" t="n">
        <v>894</v>
      </c>
      <c r="N16" t="n">
        <v>17.3</v>
      </c>
      <c r="O16" t="n">
        <v>34.6</v>
      </c>
      <c r="P16" t="n">
        <v>31.9</v>
      </c>
    </row>
    <row r="17">
      <c r="A17" t="inlineStr">
        <is>
          <t>Pailin</t>
        </is>
      </c>
      <c r="B17" t="n">
        <v>884</v>
      </c>
      <c r="C17" t="n">
        <v>628</v>
      </c>
      <c r="D17" t="n">
        <v>4828</v>
      </c>
      <c r="E17" t="n">
        <v>911</v>
      </c>
      <c r="F17" t="n">
        <v>710</v>
      </c>
      <c r="G17" t="n">
        <v>254</v>
      </c>
      <c r="H17" t="n">
        <v>1898</v>
      </c>
      <c r="I17" t="n">
        <v>555</v>
      </c>
      <c r="J17" t="n">
        <v>412</v>
      </c>
      <c r="K17" t="n">
        <v>271</v>
      </c>
      <c r="L17" t="n">
        <v>1056</v>
      </c>
      <c r="M17" t="n">
        <v>178</v>
      </c>
      <c r="N17" t="n">
        <v>18.9</v>
      </c>
      <c r="O17" t="n">
        <v>29.2</v>
      </c>
      <c r="P17" t="n">
        <v>16.9</v>
      </c>
    </row>
    <row r="18">
      <c r="A18" t="inlineStr">
        <is>
          <t>Phnom Penh</t>
        </is>
      </c>
      <c r="B18" t="n">
        <v>11475</v>
      </c>
      <c r="C18" t="n">
        <v>8985</v>
      </c>
      <c r="D18" t="n">
        <v>64312</v>
      </c>
      <c r="E18" t="n">
        <v>7342</v>
      </c>
      <c r="F18" t="n">
        <v>10162</v>
      </c>
      <c r="G18" t="n">
        <v>3172</v>
      </c>
      <c r="H18" t="n">
        <v>29252</v>
      </c>
      <c r="I18" t="n">
        <v>8361</v>
      </c>
      <c r="J18" t="n">
        <v>6881</v>
      </c>
      <c r="K18" t="n">
        <v>2762</v>
      </c>
      <c r="L18" t="n">
        <v>20842</v>
      </c>
      <c r="M18" t="n">
        <v>6413</v>
      </c>
      <c r="N18" t="n">
        <v>11.4</v>
      </c>
      <c r="O18" t="n">
        <v>28.6</v>
      </c>
      <c r="P18" t="n">
        <v>30.8</v>
      </c>
    </row>
    <row r="19">
      <c r="A19" t="inlineStr">
        <is>
          <t>Preah Sihanouk</t>
        </is>
      </c>
      <c r="B19" t="n">
        <v>2505</v>
      </c>
      <c r="C19" t="n">
        <v>1356</v>
      </c>
      <c r="D19" t="n">
        <v>13526</v>
      </c>
      <c r="E19" t="n">
        <v>2674</v>
      </c>
      <c r="F19" t="n">
        <v>1855</v>
      </c>
      <c r="G19" t="n">
        <v>385</v>
      </c>
      <c r="H19" t="n">
        <v>4695</v>
      </c>
      <c r="I19" t="n">
        <v>1450</v>
      </c>
      <c r="J19" t="n">
        <v>963</v>
      </c>
      <c r="K19" t="n">
        <v>436</v>
      </c>
      <c r="L19" t="n">
        <v>2550</v>
      </c>
      <c r="M19" t="n">
        <v>625</v>
      </c>
      <c r="N19" t="n">
        <v>19.8</v>
      </c>
      <c r="O19" t="n">
        <v>30.9</v>
      </c>
      <c r="P19" t="n">
        <v>24.5</v>
      </c>
    </row>
    <row r="20">
      <c r="A20" t="inlineStr">
        <is>
          <t>Preah Vihear</t>
        </is>
      </c>
      <c r="B20" t="n">
        <v>3160</v>
      </c>
      <c r="C20" t="n">
        <v>2438</v>
      </c>
      <c r="D20" t="n">
        <v>18742</v>
      </c>
      <c r="E20" t="n">
        <v>4865</v>
      </c>
      <c r="F20" t="n">
        <v>2178</v>
      </c>
      <c r="G20" t="n">
        <v>501</v>
      </c>
      <c r="H20" t="n">
        <v>5833</v>
      </c>
      <c r="I20" t="n">
        <v>2261</v>
      </c>
      <c r="J20" t="n">
        <v>1287</v>
      </c>
      <c r="K20" t="n">
        <v>420</v>
      </c>
      <c r="L20" t="n">
        <v>3171</v>
      </c>
      <c r="M20" t="n">
        <v>910</v>
      </c>
      <c r="N20" t="n">
        <v>26</v>
      </c>
      <c r="O20" t="n">
        <v>38.8</v>
      </c>
      <c r="P20" t="n">
        <v>28.7</v>
      </c>
    </row>
    <row r="21">
      <c r="A21" t="inlineStr">
        <is>
          <t>Prey Veng</t>
        </is>
      </c>
      <c r="B21" t="n">
        <v>11277</v>
      </c>
      <c r="C21" t="n">
        <v>8703</v>
      </c>
      <c r="D21" t="n">
        <v>69420</v>
      </c>
      <c r="E21" t="n">
        <v>11806</v>
      </c>
      <c r="F21" t="n">
        <v>10159</v>
      </c>
      <c r="G21" t="n">
        <v>3958</v>
      </c>
      <c r="H21" t="n">
        <v>26531</v>
      </c>
      <c r="I21" t="n">
        <v>6744</v>
      </c>
      <c r="J21" t="n">
        <v>5307</v>
      </c>
      <c r="K21" t="n">
        <v>2729</v>
      </c>
      <c r="L21" t="n">
        <v>13943</v>
      </c>
      <c r="M21" t="n">
        <v>2892</v>
      </c>
      <c r="N21" t="n">
        <v>17</v>
      </c>
      <c r="O21" t="n">
        <v>25.4</v>
      </c>
      <c r="P21" t="n">
        <v>20.7</v>
      </c>
    </row>
    <row r="22">
      <c r="A22" t="inlineStr">
        <is>
          <t>Pursat</t>
        </is>
      </c>
      <c r="B22" t="n">
        <v>5788</v>
      </c>
      <c r="C22" t="n">
        <v>4062</v>
      </c>
      <c r="D22" t="n">
        <v>38016</v>
      </c>
      <c r="E22" t="n">
        <v>11172</v>
      </c>
      <c r="F22" t="n">
        <v>4299</v>
      </c>
      <c r="G22" t="n">
        <v>1133</v>
      </c>
      <c r="H22" t="n">
        <v>11035</v>
      </c>
      <c r="I22" t="n">
        <v>3896</v>
      </c>
      <c r="J22" t="n">
        <v>2345</v>
      </c>
      <c r="K22" t="n">
        <v>835</v>
      </c>
      <c r="L22" t="n">
        <v>5949</v>
      </c>
      <c r="M22" t="n">
        <v>1725</v>
      </c>
      <c r="N22" t="n">
        <v>29.4</v>
      </c>
      <c r="O22" t="n">
        <v>35.3</v>
      </c>
      <c r="P22" t="n">
        <v>29</v>
      </c>
    </row>
    <row r="23">
      <c r="A23" t="inlineStr">
        <is>
          <t>Ratanak Kiri</t>
        </is>
      </c>
      <c r="B23" t="n">
        <v>3392</v>
      </c>
      <c r="C23" t="n">
        <v>1746</v>
      </c>
      <c r="D23" t="n">
        <v>19524</v>
      </c>
      <c r="E23" t="n">
        <v>6101</v>
      </c>
      <c r="F23" t="n">
        <v>1911</v>
      </c>
      <c r="G23" t="n">
        <v>364</v>
      </c>
      <c r="H23" t="n">
        <v>4845</v>
      </c>
      <c r="I23" t="n">
        <v>2320</v>
      </c>
      <c r="J23" t="n">
        <v>885</v>
      </c>
      <c r="K23" t="n">
        <v>261</v>
      </c>
      <c r="L23" t="n">
        <v>2377</v>
      </c>
      <c r="M23" t="n">
        <v>1048</v>
      </c>
      <c r="N23" t="n">
        <v>31.2</v>
      </c>
      <c r="O23" t="n">
        <v>47.9</v>
      </c>
      <c r="P23" t="n">
        <v>44.1</v>
      </c>
    </row>
    <row r="24">
      <c r="A24" t="inlineStr">
        <is>
          <t>Siemreap</t>
        </is>
      </c>
      <c r="B24" t="n">
        <v>13706</v>
      </c>
      <c r="C24" t="n">
        <v>9931</v>
      </c>
      <c r="D24" t="n">
        <v>81617</v>
      </c>
      <c r="E24" t="n">
        <v>22969</v>
      </c>
      <c r="F24" t="n">
        <v>10997</v>
      </c>
      <c r="G24" t="n">
        <v>2538</v>
      </c>
      <c r="H24" t="n">
        <v>29461</v>
      </c>
      <c r="I24" t="n">
        <v>10220</v>
      </c>
      <c r="J24" t="n">
        <v>6760</v>
      </c>
      <c r="K24" t="n">
        <v>2498</v>
      </c>
      <c r="L24" t="n">
        <v>18026</v>
      </c>
      <c r="M24" t="n">
        <v>5064</v>
      </c>
      <c r="N24" t="n">
        <v>28.1</v>
      </c>
      <c r="O24" t="n">
        <v>34.7</v>
      </c>
      <c r="P24" t="n">
        <v>28.1</v>
      </c>
    </row>
    <row r="25">
      <c r="A25" t="inlineStr">
        <is>
          <t>Stung Treng</t>
        </is>
      </c>
      <c r="B25" t="n">
        <v>2462</v>
      </c>
      <c r="C25" t="n">
        <v>1524</v>
      </c>
      <c r="D25" t="n">
        <v>14039</v>
      </c>
      <c r="E25" t="n">
        <v>3486</v>
      </c>
      <c r="F25" t="n">
        <v>1292</v>
      </c>
      <c r="G25" t="n">
        <v>338</v>
      </c>
      <c r="H25" t="n">
        <v>3153</v>
      </c>
      <c r="I25" t="n">
        <v>1303</v>
      </c>
      <c r="J25" t="n">
        <v>571</v>
      </c>
      <c r="K25" t="n">
        <v>187</v>
      </c>
      <c r="L25" t="n">
        <v>1562</v>
      </c>
      <c r="M25" t="n">
        <v>591</v>
      </c>
      <c r="N25" t="n">
        <v>24.8</v>
      </c>
      <c r="O25" t="n">
        <v>41.3</v>
      </c>
      <c r="P25" t="n">
        <v>37.8</v>
      </c>
    </row>
    <row r="26">
      <c r="A26" t="inlineStr">
        <is>
          <t>Svay Rieng</t>
        </is>
      </c>
      <c r="B26" t="n">
        <v>6233</v>
      </c>
      <c r="C26" t="n">
        <v>4930</v>
      </c>
      <c r="D26" t="n">
        <v>35928</v>
      </c>
      <c r="E26" t="n">
        <v>5586</v>
      </c>
      <c r="F26" t="n">
        <v>5396</v>
      </c>
      <c r="G26" t="n">
        <v>2040</v>
      </c>
      <c r="H26" t="n">
        <v>13281</v>
      </c>
      <c r="I26" t="n">
        <v>2913</v>
      </c>
      <c r="J26" t="n">
        <v>2492</v>
      </c>
      <c r="K26" t="n">
        <v>1254</v>
      </c>
      <c r="L26" t="n">
        <v>6610</v>
      </c>
      <c r="M26" t="n">
        <v>1280</v>
      </c>
      <c r="N26" t="n">
        <v>15.5</v>
      </c>
      <c r="O26" t="n">
        <v>21.9</v>
      </c>
      <c r="P26" t="n">
        <v>19.4</v>
      </c>
    </row>
    <row r="27">
      <c r="A27" t="inlineStr">
        <is>
          <t>Takeo</t>
        </is>
      </c>
      <c r="B27" t="n">
        <v>8931</v>
      </c>
      <c r="C27" t="n">
        <v>8551</v>
      </c>
      <c r="D27" t="n">
        <v>54239</v>
      </c>
      <c r="E27" t="n">
        <v>5946</v>
      </c>
      <c r="F27" t="n">
        <v>8528</v>
      </c>
      <c r="G27" t="n">
        <v>3555</v>
      </c>
      <c r="H27" t="n">
        <v>23392</v>
      </c>
      <c r="I27" t="n">
        <v>5570</v>
      </c>
      <c r="J27" t="n">
        <v>5251</v>
      </c>
      <c r="K27" t="n">
        <v>2556</v>
      </c>
      <c r="L27" t="n">
        <v>14984</v>
      </c>
      <c r="M27" t="n">
        <v>3481</v>
      </c>
      <c r="N27" t="n">
        <v>11</v>
      </c>
      <c r="O27" t="n">
        <v>23.8</v>
      </c>
      <c r="P27" t="n">
        <v>23.2</v>
      </c>
    </row>
    <row r="28">
      <c r="A28" t="inlineStr">
        <is>
          <t>Tbaung Khmum</t>
        </is>
      </c>
      <c r="B28" t="n">
        <v>8669</v>
      </c>
      <c r="C28" t="n">
        <v>6487</v>
      </c>
      <c r="D28" t="n">
        <v>52681</v>
      </c>
      <c r="E28" t="n">
        <v>10034</v>
      </c>
      <c r="F28" t="n">
        <v>6735</v>
      </c>
      <c r="G28" t="n">
        <v>1989</v>
      </c>
      <c r="H28" t="n">
        <v>17221</v>
      </c>
      <c r="I28" t="n">
        <v>5406</v>
      </c>
      <c r="J28" t="n">
        <v>3252</v>
      </c>
      <c r="K28" t="n">
        <v>873</v>
      </c>
      <c r="L28" t="n">
        <v>8677</v>
      </c>
      <c r="M28" t="n">
        <v>3055</v>
      </c>
      <c r="N28" t="n">
        <v>19</v>
      </c>
      <c r="O28" t="n">
        <v>31.4</v>
      </c>
      <c r="P28" t="n">
        <v>35.2</v>
      </c>
    </row>
    <row r="29">
      <c r="A29" t="inlineStr">
        <is>
          <t>Whole Kingdom</t>
        </is>
      </c>
      <c r="B29" t="n">
        <v>164780</v>
      </c>
      <c r="C29" t="n">
        <v>124088</v>
      </c>
      <c r="D29" t="n">
        <v>998416</v>
      </c>
      <c r="E29" t="n">
        <v>209387</v>
      </c>
      <c r="F29" t="n">
        <v>132122</v>
      </c>
      <c r="G29" t="n">
        <v>40622</v>
      </c>
      <c r="H29" t="n">
        <v>348637</v>
      </c>
      <c r="I29" t="n">
        <v>103878</v>
      </c>
      <c r="J29" t="n">
        <v>72777</v>
      </c>
      <c r="K29" t="n">
        <v>29994</v>
      </c>
      <c r="L29" t="n">
        <v>196474</v>
      </c>
      <c r="M29" t="n">
        <v>50844</v>
      </c>
      <c r="N29" t="n">
        <v>21</v>
      </c>
      <c r="O29" t="n">
        <v>29.8</v>
      </c>
      <c r="P29" t="n">
        <v>25.9</v>
      </c>
    </row>
    <row r="30">
      <c r="A30" t="inlineStr">
        <is>
          <t>-  Urban Area</t>
        </is>
      </c>
      <c r="B30" t="n">
        <v>29342</v>
      </c>
      <c r="C30" t="n">
        <v>21833</v>
      </c>
      <c r="D30" t="n">
        <v>167879</v>
      </c>
      <c r="E30" t="n">
        <v>30802</v>
      </c>
      <c r="F30" t="n">
        <v>25511</v>
      </c>
      <c r="G30" t="n">
        <v>8614</v>
      </c>
      <c r="H30" t="n">
        <v>71441</v>
      </c>
      <c r="I30" t="n">
        <v>20184</v>
      </c>
      <c r="J30" t="n">
        <v>19125</v>
      </c>
      <c r="K30" t="n">
        <v>8124</v>
      </c>
      <c r="L30" t="n">
        <v>55912</v>
      </c>
      <c r="M30" t="n">
        <v>15171</v>
      </c>
      <c r="N30" t="n">
        <v>18.3</v>
      </c>
      <c r="O30" t="n">
        <v>28.3</v>
      </c>
      <c r="P30" t="n">
        <v>27.1</v>
      </c>
    </row>
    <row r="31">
      <c r="A31" t="inlineStr">
        <is>
          <t>-  Rural Area</t>
        </is>
      </c>
      <c r="B31" t="n">
        <v>135438</v>
      </c>
      <c r="C31" t="n">
        <v>102255</v>
      </c>
      <c r="D31" t="n">
        <v>830537</v>
      </c>
      <c r="E31" t="n">
        <v>178585</v>
      </c>
      <c r="F31" t="n">
        <v>106611</v>
      </c>
      <c r="G31" t="n">
        <v>32008</v>
      </c>
      <c r="H31" t="n">
        <v>277196</v>
      </c>
      <c r="I31" t="n">
        <v>83694</v>
      </c>
      <c r="J31" t="n">
        <v>53652</v>
      </c>
      <c r="K31" t="n">
        <v>21870</v>
      </c>
      <c r="L31" t="n">
        <v>140562</v>
      </c>
      <c r="M31" t="n">
        <v>35673</v>
      </c>
      <c r="N31" t="n">
        <v>21.5</v>
      </c>
      <c r="O31" t="n">
        <v>30.2</v>
      </c>
      <c r="P31" t="n">
        <v>25.4</v>
      </c>
    </row>
  </sheetData>
  <mergeCells count="9">
    <mergeCell ref="L2:M2"/>
    <mergeCell ref="F2:G2"/>
    <mergeCell ref="B2:C2"/>
    <mergeCell ref="H2:I2"/>
    <mergeCell ref="N2:P2"/>
    <mergeCell ref="D2:E2"/>
    <mergeCell ref="J2:K2"/>
    <mergeCell ref="A2:A3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7109375" customWidth="1" min="2" max="2"/>
    <col width="6.7109375" customWidth="1" min="3" max="3"/>
    <col width="7.7109375" customWidth="1" min="4" max="4"/>
    <col width="8.7109375" customWidth="1" min="6" max="6"/>
    <col width="7.7109375" customWidth="1" min="7" max="7"/>
    <col width="8.7109375" customWidth="1" min="10" max="10"/>
  </cols>
  <sheetData>
    <row r="1">
      <c r="A1" t="inlineStr">
        <is>
          <t>Table 15: Pre-School Enrollment</t>
        </is>
      </c>
    </row>
    <row r="2">
      <c r="A2" t="inlineStr">
        <is>
          <t>Province</t>
        </is>
      </c>
      <c r="B2" t="inlineStr">
        <is>
          <t>Lowest Step</t>
        </is>
      </c>
      <c r="D2" t="inlineStr">
        <is>
          <t>Medium Step</t>
        </is>
      </c>
      <c r="F2" t="inlineStr">
        <is>
          <t>Highest Step</t>
        </is>
      </c>
      <c r="H2" t="inlineStr">
        <is>
          <t>Mixed Step</t>
        </is>
      </c>
      <c r="J2" t="inlineStr">
        <is>
          <t>Pre-School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</row>
    <row r="4">
      <c r="A4" t="inlineStr">
        <is>
          <t>Banteay Meanchey</t>
        </is>
      </c>
      <c r="B4" t="n">
        <v>1025</v>
      </c>
      <c r="C4" t="n">
        <v>520</v>
      </c>
      <c r="D4" t="n">
        <v>2988</v>
      </c>
      <c r="E4" t="n">
        <v>1540</v>
      </c>
      <c r="F4" t="n">
        <v>5911</v>
      </c>
      <c r="G4" t="n">
        <v>2944</v>
      </c>
      <c r="H4" t="n">
        <v>6814</v>
      </c>
      <c r="I4" t="n">
        <v>3449</v>
      </c>
      <c r="J4" t="n">
        <v>16738</v>
      </c>
      <c r="K4" t="n">
        <v>8453</v>
      </c>
    </row>
    <row r="5">
      <c r="A5" t="inlineStr">
        <is>
          <t>Battambang</t>
        </is>
      </c>
      <c r="B5" t="n">
        <v>880</v>
      </c>
      <c r="C5" t="n">
        <v>442</v>
      </c>
      <c r="D5" t="n">
        <v>3853</v>
      </c>
      <c r="E5" t="n">
        <v>1987</v>
      </c>
      <c r="F5" t="n">
        <v>7852</v>
      </c>
      <c r="G5" t="n">
        <v>3867</v>
      </c>
      <c r="H5" t="n">
        <v>5192</v>
      </c>
      <c r="I5" t="n">
        <v>2662</v>
      </c>
      <c r="J5" t="n">
        <v>17777</v>
      </c>
      <c r="K5" t="n">
        <v>8958</v>
      </c>
    </row>
    <row r="6">
      <c r="A6" t="inlineStr">
        <is>
          <t>Kampong Cham</t>
        </is>
      </c>
      <c r="B6" t="n">
        <v>453</v>
      </c>
      <c r="C6" t="n">
        <v>269</v>
      </c>
      <c r="D6" t="n">
        <v>3301</v>
      </c>
      <c r="E6" t="n">
        <v>1628</v>
      </c>
      <c r="F6" t="n">
        <v>10760</v>
      </c>
      <c r="G6" t="n">
        <v>5313</v>
      </c>
      <c r="H6" t="n">
        <v>1145</v>
      </c>
      <c r="I6" t="n">
        <v>561</v>
      </c>
      <c r="J6" t="n">
        <v>15659</v>
      </c>
      <c r="K6" t="n">
        <v>7771</v>
      </c>
    </row>
    <row r="7">
      <c r="A7" t="inlineStr">
        <is>
          <t>Kampong Chhnang</t>
        </is>
      </c>
      <c r="B7" t="n">
        <v>504</v>
      </c>
      <c r="C7" t="n">
        <v>240</v>
      </c>
      <c r="D7" t="n">
        <v>1464</v>
      </c>
      <c r="E7" t="n">
        <v>723</v>
      </c>
      <c r="F7" t="n">
        <v>3446</v>
      </c>
      <c r="G7" t="n">
        <v>1726</v>
      </c>
      <c r="H7" t="n">
        <v>1146</v>
      </c>
      <c r="I7" t="n">
        <v>582</v>
      </c>
      <c r="J7" t="n">
        <v>6560</v>
      </c>
      <c r="K7" t="n">
        <v>3271</v>
      </c>
    </row>
    <row r="8">
      <c r="A8" t="inlineStr">
        <is>
          <t>Kampong Speu</t>
        </is>
      </c>
      <c r="B8" t="n">
        <v>218</v>
      </c>
      <c r="C8" t="n">
        <v>116</v>
      </c>
      <c r="D8" t="n">
        <v>947</v>
      </c>
      <c r="E8" t="n">
        <v>474</v>
      </c>
      <c r="F8" t="n">
        <v>5919</v>
      </c>
      <c r="G8" t="n">
        <v>2934</v>
      </c>
      <c r="H8" t="n">
        <v>2210</v>
      </c>
      <c r="I8" t="n">
        <v>1136</v>
      </c>
      <c r="J8" t="n">
        <v>9294</v>
      </c>
      <c r="K8" t="n">
        <v>4660</v>
      </c>
    </row>
    <row r="9">
      <c r="A9" t="inlineStr">
        <is>
          <t>Kampong Thom</t>
        </is>
      </c>
      <c r="B9" t="n">
        <v>522</v>
      </c>
      <c r="C9" t="n">
        <v>289</v>
      </c>
      <c r="D9" t="n">
        <v>1904</v>
      </c>
      <c r="E9" t="n">
        <v>1006</v>
      </c>
      <c r="F9" t="n">
        <v>4963</v>
      </c>
      <c r="G9" t="n">
        <v>2481</v>
      </c>
      <c r="H9" t="n">
        <v>2542</v>
      </c>
      <c r="I9" t="n">
        <v>1301</v>
      </c>
      <c r="J9" t="n">
        <v>9931</v>
      </c>
      <c r="K9" t="n">
        <v>5077</v>
      </c>
    </row>
    <row r="10">
      <c r="A10" t="inlineStr">
        <is>
          <t>Kampot</t>
        </is>
      </c>
      <c r="B10" t="n">
        <v>151</v>
      </c>
      <c r="C10" t="n">
        <v>92</v>
      </c>
      <c r="D10" t="n">
        <v>752</v>
      </c>
      <c r="E10" t="n">
        <v>354</v>
      </c>
      <c r="F10" t="n">
        <v>5228</v>
      </c>
      <c r="G10" t="n">
        <v>2555</v>
      </c>
      <c r="H10" t="n">
        <v>911</v>
      </c>
      <c r="I10" t="n">
        <v>450</v>
      </c>
      <c r="J10" t="n">
        <v>7042</v>
      </c>
      <c r="K10" t="n">
        <v>3451</v>
      </c>
    </row>
    <row r="11">
      <c r="A11" t="inlineStr">
        <is>
          <t>Kandal</t>
        </is>
      </c>
      <c r="B11" t="n">
        <v>800</v>
      </c>
      <c r="C11" t="n">
        <v>420</v>
      </c>
      <c r="D11" t="n">
        <v>3814</v>
      </c>
      <c r="E11" t="n">
        <v>1937</v>
      </c>
      <c r="F11" t="n">
        <v>10520</v>
      </c>
      <c r="G11" t="n">
        <v>5181</v>
      </c>
      <c r="H11" t="n">
        <v>688</v>
      </c>
      <c r="I11" t="n">
        <v>337</v>
      </c>
      <c r="J11" t="n">
        <v>15822</v>
      </c>
      <c r="K11" t="n">
        <v>7875</v>
      </c>
    </row>
    <row r="12">
      <c r="A12" t="inlineStr">
        <is>
          <t>Kep</t>
        </is>
      </c>
      <c r="B12" t="n">
        <v>24</v>
      </c>
      <c r="C12" t="n">
        <v>11</v>
      </c>
      <c r="D12" t="n">
        <v>217</v>
      </c>
      <c r="E12" t="n">
        <v>106</v>
      </c>
      <c r="F12" t="n">
        <v>350</v>
      </c>
      <c r="G12" t="n">
        <v>180</v>
      </c>
      <c r="H12" t="n">
        <v>226</v>
      </c>
      <c r="I12" t="n">
        <v>120</v>
      </c>
      <c r="J12" t="n">
        <v>817</v>
      </c>
      <c r="K12" t="n">
        <v>417</v>
      </c>
    </row>
    <row r="13">
      <c r="A13" t="inlineStr">
        <is>
          <t>Koh Kong</t>
        </is>
      </c>
      <c r="B13" t="n">
        <v>161</v>
      </c>
      <c r="C13" t="n">
        <v>78</v>
      </c>
      <c r="D13" t="n">
        <v>279</v>
      </c>
      <c r="E13" t="n">
        <v>136</v>
      </c>
      <c r="F13" t="n">
        <v>485</v>
      </c>
      <c r="G13" t="n">
        <v>229</v>
      </c>
      <c r="H13" t="n">
        <v>1145</v>
      </c>
      <c r="I13" t="n">
        <v>625</v>
      </c>
      <c r="J13" t="n">
        <v>2070</v>
      </c>
      <c r="K13" t="n">
        <v>1068</v>
      </c>
    </row>
    <row r="14">
      <c r="A14" t="inlineStr">
        <is>
          <t>Kratie</t>
        </is>
      </c>
      <c r="B14" t="n">
        <v>162</v>
      </c>
      <c r="C14" t="n">
        <v>89</v>
      </c>
      <c r="D14" t="n">
        <v>867</v>
      </c>
      <c r="E14" t="n">
        <v>440</v>
      </c>
      <c r="F14" t="n">
        <v>2635</v>
      </c>
      <c r="G14" t="n">
        <v>1344</v>
      </c>
      <c r="H14" t="n">
        <v>843</v>
      </c>
      <c r="I14" t="n">
        <v>443</v>
      </c>
      <c r="J14" t="n">
        <v>4507</v>
      </c>
      <c r="K14" t="n">
        <v>2316</v>
      </c>
    </row>
    <row r="15">
      <c r="A15" t="inlineStr">
        <is>
          <t>Mondul Kiri</t>
        </is>
      </c>
      <c r="B15" t="n">
        <v>76</v>
      </c>
      <c r="C15" t="n">
        <v>38</v>
      </c>
      <c r="D15" t="n">
        <v>226</v>
      </c>
      <c r="E15" t="n">
        <v>107</v>
      </c>
      <c r="F15" t="n">
        <v>269</v>
      </c>
      <c r="G15" t="n">
        <v>129</v>
      </c>
      <c r="H15" t="n">
        <v>611</v>
      </c>
      <c r="I15" t="n">
        <v>330</v>
      </c>
      <c r="J15" t="n">
        <v>1182</v>
      </c>
      <c r="K15" t="n">
        <v>604</v>
      </c>
    </row>
    <row r="16">
      <c r="A16" t="inlineStr">
        <is>
          <t>Otdar Meanchey</t>
        </is>
      </c>
      <c r="B16" t="n">
        <v>65</v>
      </c>
      <c r="C16" t="n">
        <v>42</v>
      </c>
      <c r="D16" t="n">
        <v>349</v>
      </c>
      <c r="E16" t="n">
        <v>206</v>
      </c>
      <c r="F16" t="n">
        <v>1486</v>
      </c>
      <c r="G16" t="n">
        <v>739</v>
      </c>
      <c r="H16" t="n">
        <v>1586</v>
      </c>
      <c r="I16" t="n">
        <v>829</v>
      </c>
      <c r="J16" t="n">
        <v>3486</v>
      </c>
      <c r="K16" t="n">
        <v>1816</v>
      </c>
    </row>
    <row r="17">
      <c r="A17" t="inlineStr">
        <is>
          <t>Pailin</t>
        </is>
      </c>
      <c r="B17" t="n">
        <v>46</v>
      </c>
      <c r="C17" t="n">
        <v>25</v>
      </c>
      <c r="D17" t="n">
        <v>243</v>
      </c>
      <c r="E17" t="n">
        <v>138</v>
      </c>
      <c r="F17" t="n">
        <v>348</v>
      </c>
      <c r="G17" t="n">
        <v>163</v>
      </c>
      <c r="H17" t="n">
        <v>343</v>
      </c>
      <c r="I17" t="n">
        <v>170</v>
      </c>
      <c r="J17" t="n">
        <v>980</v>
      </c>
      <c r="K17" t="n">
        <v>496</v>
      </c>
    </row>
    <row r="18">
      <c r="A18" t="inlineStr">
        <is>
          <t>Phnom Penh</t>
        </is>
      </c>
      <c r="B18" t="n">
        <v>427</v>
      </c>
      <c r="C18" t="n">
        <v>200</v>
      </c>
      <c r="D18" t="n">
        <v>914</v>
      </c>
      <c r="E18" t="n">
        <v>425</v>
      </c>
      <c r="F18" t="n">
        <v>8402</v>
      </c>
      <c r="G18" t="n">
        <v>4071</v>
      </c>
      <c r="H18" t="n">
        <v>0</v>
      </c>
      <c r="I18" t="n">
        <v>0</v>
      </c>
      <c r="J18" t="n">
        <v>9743</v>
      </c>
      <c r="K18" t="n">
        <v>4696</v>
      </c>
    </row>
    <row r="19">
      <c r="A19" t="inlineStr">
        <is>
          <t>Preah Sihanouk</t>
        </is>
      </c>
      <c r="B19" t="n">
        <v>47</v>
      </c>
      <c r="C19" t="n">
        <v>23</v>
      </c>
      <c r="D19" t="n">
        <v>162</v>
      </c>
      <c r="E19" t="n">
        <v>74</v>
      </c>
      <c r="F19" t="n">
        <v>843</v>
      </c>
      <c r="G19" t="n">
        <v>429</v>
      </c>
      <c r="H19" t="n">
        <v>931</v>
      </c>
      <c r="I19" t="n">
        <v>461</v>
      </c>
      <c r="J19" t="n">
        <v>1983</v>
      </c>
      <c r="K19" t="n">
        <v>987</v>
      </c>
    </row>
    <row r="20">
      <c r="A20" t="inlineStr">
        <is>
          <t>Preah Vihear</t>
        </is>
      </c>
      <c r="B20" t="n">
        <v>184</v>
      </c>
      <c r="C20" t="n">
        <v>92</v>
      </c>
      <c r="D20" t="n">
        <v>605</v>
      </c>
      <c r="E20" t="n">
        <v>308</v>
      </c>
      <c r="F20" t="n">
        <v>1249</v>
      </c>
      <c r="G20" t="n">
        <v>605</v>
      </c>
      <c r="H20" t="n">
        <v>2131</v>
      </c>
      <c r="I20" t="n">
        <v>1087</v>
      </c>
      <c r="J20" t="n">
        <v>4169</v>
      </c>
      <c r="K20" t="n">
        <v>2092</v>
      </c>
    </row>
    <row r="21">
      <c r="A21" t="inlineStr">
        <is>
          <t>Prey Veng</t>
        </is>
      </c>
      <c r="B21" t="n">
        <v>381</v>
      </c>
      <c r="C21" t="n">
        <v>196</v>
      </c>
      <c r="D21" t="n">
        <v>3317</v>
      </c>
      <c r="E21" t="n">
        <v>1705</v>
      </c>
      <c r="F21" t="n">
        <v>12266</v>
      </c>
      <c r="G21" t="n">
        <v>6002</v>
      </c>
      <c r="H21" t="n">
        <v>699</v>
      </c>
      <c r="I21" t="n">
        <v>325</v>
      </c>
      <c r="J21" t="n">
        <v>16663</v>
      </c>
      <c r="K21" t="n">
        <v>8228</v>
      </c>
    </row>
    <row r="22">
      <c r="A22" t="inlineStr">
        <is>
          <t>Pursat</t>
        </is>
      </c>
      <c r="B22" t="n">
        <v>489</v>
      </c>
      <c r="C22" t="n">
        <v>258</v>
      </c>
      <c r="D22" t="n">
        <v>1574</v>
      </c>
      <c r="E22" t="n">
        <v>816</v>
      </c>
      <c r="F22" t="n">
        <v>3600</v>
      </c>
      <c r="G22" t="n">
        <v>1793</v>
      </c>
      <c r="H22" t="n">
        <v>2276</v>
      </c>
      <c r="I22" t="n">
        <v>1123</v>
      </c>
      <c r="J22" t="n">
        <v>7939</v>
      </c>
      <c r="K22" t="n">
        <v>3990</v>
      </c>
    </row>
    <row r="23">
      <c r="A23" t="inlineStr">
        <is>
          <t>Ratanak Kiri</t>
        </is>
      </c>
      <c r="B23" t="n">
        <v>151</v>
      </c>
      <c r="C23" t="n">
        <v>78</v>
      </c>
      <c r="D23" t="n">
        <v>522</v>
      </c>
      <c r="E23" t="n">
        <v>262</v>
      </c>
      <c r="F23" t="n">
        <v>1061</v>
      </c>
      <c r="G23" t="n">
        <v>560</v>
      </c>
      <c r="H23" t="n">
        <v>883</v>
      </c>
      <c r="I23" t="n">
        <v>464</v>
      </c>
      <c r="J23" t="n">
        <v>2617</v>
      </c>
      <c r="K23" t="n">
        <v>1364</v>
      </c>
    </row>
    <row r="24">
      <c r="A24" t="inlineStr">
        <is>
          <t>Siemreap</t>
        </is>
      </c>
      <c r="B24" t="n">
        <v>2005</v>
      </c>
      <c r="C24" t="n">
        <v>1056</v>
      </c>
      <c r="D24" t="n">
        <v>6467</v>
      </c>
      <c r="E24" t="n">
        <v>3257</v>
      </c>
      <c r="F24" t="n">
        <v>14480</v>
      </c>
      <c r="G24" t="n">
        <v>7160</v>
      </c>
      <c r="H24" t="n">
        <v>5537</v>
      </c>
      <c r="I24" t="n">
        <v>2871</v>
      </c>
      <c r="J24" t="n">
        <v>28489</v>
      </c>
      <c r="K24" t="n">
        <v>14344</v>
      </c>
    </row>
    <row r="25">
      <c r="A25" t="inlineStr">
        <is>
          <t>Stung Treng</t>
        </is>
      </c>
      <c r="B25" t="n">
        <v>71</v>
      </c>
      <c r="C25" t="n">
        <v>40</v>
      </c>
      <c r="D25" t="n">
        <v>152</v>
      </c>
      <c r="E25" t="n">
        <v>92</v>
      </c>
      <c r="F25" t="n">
        <v>667</v>
      </c>
      <c r="G25" t="n">
        <v>361</v>
      </c>
      <c r="H25" t="n">
        <v>498</v>
      </c>
      <c r="I25" t="n">
        <v>261</v>
      </c>
      <c r="J25" t="n">
        <v>1388</v>
      </c>
      <c r="K25" t="n">
        <v>754</v>
      </c>
    </row>
    <row r="26">
      <c r="A26" t="inlineStr">
        <is>
          <t>Svay Rieng</t>
        </is>
      </c>
      <c r="B26" t="n">
        <v>241</v>
      </c>
      <c r="C26" t="n">
        <v>138</v>
      </c>
      <c r="D26" t="n">
        <v>1208</v>
      </c>
      <c r="E26" t="n">
        <v>587</v>
      </c>
      <c r="F26" t="n">
        <v>2906</v>
      </c>
      <c r="G26" t="n">
        <v>1373</v>
      </c>
      <c r="H26" t="n">
        <v>2519</v>
      </c>
      <c r="I26" t="n">
        <v>1256</v>
      </c>
      <c r="J26" t="n">
        <v>6874</v>
      </c>
      <c r="K26" t="n">
        <v>3354</v>
      </c>
    </row>
    <row r="27">
      <c r="A27" t="inlineStr">
        <is>
          <t>Takeo</t>
        </is>
      </c>
      <c r="B27" t="n">
        <v>374</v>
      </c>
      <c r="C27" t="n">
        <v>200</v>
      </c>
      <c r="D27" t="n">
        <v>2126</v>
      </c>
      <c r="E27" t="n">
        <v>1053</v>
      </c>
      <c r="F27" t="n">
        <v>8391</v>
      </c>
      <c r="G27" t="n">
        <v>4106</v>
      </c>
      <c r="H27" t="n">
        <v>1533</v>
      </c>
      <c r="I27" t="n">
        <v>744</v>
      </c>
      <c r="J27" t="n">
        <v>12424</v>
      </c>
      <c r="K27" t="n">
        <v>6103</v>
      </c>
    </row>
    <row r="28">
      <c r="A28" t="inlineStr">
        <is>
          <t>Tbaung Khmum</t>
        </is>
      </c>
      <c r="B28" t="n">
        <v>573</v>
      </c>
      <c r="C28" t="n">
        <v>302</v>
      </c>
      <c r="D28" t="n">
        <v>3740</v>
      </c>
      <c r="E28" t="n">
        <v>1864</v>
      </c>
      <c r="F28" t="n">
        <v>7091</v>
      </c>
      <c r="G28" t="n">
        <v>3548</v>
      </c>
      <c r="H28" t="n">
        <v>2229</v>
      </c>
      <c r="I28" t="n">
        <v>1146</v>
      </c>
      <c r="J28" t="n">
        <v>13633</v>
      </c>
      <c r="K28" t="n">
        <v>6860</v>
      </c>
    </row>
    <row r="29">
      <c r="A29" t="inlineStr">
        <is>
          <t>Whole Kingdom</t>
        </is>
      </c>
      <c r="B29" t="n">
        <v>10030</v>
      </c>
      <c r="C29" t="n">
        <v>5254</v>
      </c>
      <c r="D29" t="n">
        <v>41991</v>
      </c>
      <c r="E29" t="n">
        <v>21225</v>
      </c>
      <c r="F29" t="n">
        <v>121128</v>
      </c>
      <c r="G29" t="n">
        <v>59793</v>
      </c>
      <c r="H29" t="n">
        <v>44638</v>
      </c>
      <c r="I29" t="n">
        <v>22733</v>
      </c>
      <c r="J29" t="n">
        <v>217787</v>
      </c>
      <c r="K29" t="n">
        <v>109005</v>
      </c>
    </row>
    <row r="30">
      <c r="A30" t="inlineStr">
        <is>
          <t>-  Urban Area</t>
        </is>
      </c>
      <c r="B30" t="n">
        <v>2806</v>
      </c>
      <c r="C30" t="n">
        <v>1409</v>
      </c>
      <c r="D30" t="n">
        <v>7754</v>
      </c>
      <c r="E30" t="n">
        <v>3947</v>
      </c>
      <c r="F30" t="n">
        <v>22325</v>
      </c>
      <c r="G30" t="n">
        <v>10979</v>
      </c>
      <c r="H30" t="n">
        <v>3980</v>
      </c>
      <c r="I30" t="n">
        <v>2090</v>
      </c>
      <c r="J30" t="n">
        <v>36865</v>
      </c>
      <c r="K30" t="n">
        <v>18425</v>
      </c>
    </row>
    <row r="31">
      <c r="A31" t="inlineStr">
        <is>
          <t>-  Rural Area</t>
        </is>
      </c>
      <c r="B31" t="n">
        <v>7224</v>
      </c>
      <c r="C31" t="n">
        <v>3845</v>
      </c>
      <c r="D31" t="n">
        <v>34237</v>
      </c>
      <c r="E31" t="n">
        <v>17278</v>
      </c>
      <c r="F31" t="n">
        <v>98803</v>
      </c>
      <c r="G31" t="n">
        <v>48814</v>
      </c>
      <c r="H31" t="n">
        <v>40658</v>
      </c>
      <c r="I31" t="n">
        <v>20643</v>
      </c>
      <c r="J31" t="n">
        <v>180922</v>
      </c>
      <c r="K31" t="n">
        <v>90580</v>
      </c>
    </row>
  </sheetData>
  <mergeCells count="7">
    <mergeCell ref="F2:G2"/>
    <mergeCell ref="B2:C2"/>
    <mergeCell ref="H2:I2"/>
    <mergeCell ref="D2:E2"/>
    <mergeCell ref="J2:K2"/>
    <mergeCell ref="A1:L1"/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C000"/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26.7109375" customWidth="1" min="2" max="2"/>
  </cols>
  <sheetData>
    <row r="1">
      <c r="A1" t="inlineStr">
        <is>
          <t>Table 26: Educational Staff in Province and District Offices and Schools</t>
        </is>
      </c>
    </row>
    <row r="2">
      <c r="A2" t="inlineStr">
        <is>
          <t>Province</t>
        </is>
      </c>
      <c r="B2" t="inlineStr">
        <is>
          <t>Director of the</t>
        </is>
      </c>
      <c r="C2" t="inlineStr">
        <is>
          <t>Provincial Edn. Service</t>
        </is>
      </c>
      <c r="E2" t="inlineStr">
        <is>
          <t>District Edn. Office</t>
        </is>
      </c>
      <c r="G2" t="inlineStr">
        <is>
          <t>Teaching Staff at Schools</t>
        </is>
      </c>
      <c r="I2" t="inlineStr">
        <is>
          <t>Non-Tch. Staff at Schools</t>
        </is>
      </c>
      <c r="K2" t="inlineStr">
        <is>
          <t>Total Staff</t>
        </is>
      </c>
    </row>
    <row r="3">
      <c r="B3" t="inlineStr">
        <is>
          <t>Provincial Education Service</t>
        </is>
      </c>
      <c r="C3" t="inlineStr">
        <is>
          <t>Total</t>
        </is>
      </c>
      <c r="D3" t="inlineStr">
        <is>
          <t>Female</t>
        </is>
      </c>
      <c r="E3" t="inlineStr">
        <is>
          <t>Total</t>
        </is>
      </c>
      <c r="F3" t="inlineStr">
        <is>
          <t>Female</t>
        </is>
      </c>
      <c r="G3" t="inlineStr">
        <is>
          <t>Total</t>
        </is>
      </c>
      <c r="H3" t="inlineStr">
        <is>
          <t>Female</t>
        </is>
      </c>
      <c r="I3" t="inlineStr">
        <is>
          <t>Total</t>
        </is>
      </c>
      <c r="J3" t="inlineStr">
        <is>
          <t>Female</t>
        </is>
      </c>
      <c r="K3" t="inlineStr">
        <is>
          <t>Total</t>
        </is>
      </c>
      <c r="L3" t="inlineStr">
        <is>
          <t>Female</t>
        </is>
      </c>
    </row>
    <row r="4">
      <c r="A4" t="inlineStr">
        <is>
          <t>Banteay Meanchey</t>
        </is>
      </c>
      <c r="B4" t="inlineStr">
        <is>
          <t>CHHOU BUNROEURNG</t>
        </is>
      </c>
      <c r="C4" t="n">
        <v>95</v>
      </c>
      <c r="D4" t="n">
        <v>28</v>
      </c>
      <c r="E4" t="n">
        <v>116</v>
      </c>
      <c r="F4" t="n">
        <v>32</v>
      </c>
      <c r="G4" t="n">
        <v>4766</v>
      </c>
      <c r="H4" t="n">
        <v>2503</v>
      </c>
      <c r="I4" t="n">
        <v>938</v>
      </c>
      <c r="J4" t="n">
        <v>243</v>
      </c>
      <c r="K4" t="n">
        <v>5915</v>
      </c>
      <c r="L4" t="n">
        <v>2806</v>
      </c>
    </row>
    <row r="5">
      <c r="A5" t="inlineStr">
        <is>
          <t>Battambang</t>
        </is>
      </c>
      <c r="B5" t="inlineStr">
        <is>
          <t>YI SONGKY</t>
        </is>
      </c>
      <c r="C5" t="n">
        <v>126</v>
      </c>
      <c r="D5" t="n">
        <v>36</v>
      </c>
      <c r="E5" t="n">
        <v>168</v>
      </c>
      <c r="F5" t="n">
        <v>47</v>
      </c>
      <c r="G5" t="n">
        <v>7099</v>
      </c>
      <c r="H5" t="n">
        <v>4290</v>
      </c>
      <c r="I5" t="n">
        <v>1758</v>
      </c>
      <c r="J5" t="n">
        <v>670</v>
      </c>
      <c r="K5" t="n">
        <v>9151</v>
      </c>
      <c r="L5" t="n">
        <v>5043</v>
      </c>
    </row>
    <row r="6">
      <c r="A6" t="inlineStr">
        <is>
          <t>Kampong Cham</t>
        </is>
      </c>
      <c r="B6" t="inlineStr">
        <is>
          <t>LY MENGSAN</t>
        </is>
      </c>
      <c r="C6" t="n">
        <v>134</v>
      </c>
      <c r="D6" t="n">
        <v>52</v>
      </c>
      <c r="E6" t="n">
        <v>113</v>
      </c>
      <c r="F6" t="n">
        <v>39</v>
      </c>
      <c r="G6" t="n">
        <v>5840</v>
      </c>
      <c r="H6" t="n">
        <v>3411</v>
      </c>
      <c r="I6" t="n">
        <v>1779</v>
      </c>
      <c r="J6" t="n">
        <v>722</v>
      </c>
      <c r="K6" t="n">
        <v>7866</v>
      </c>
      <c r="L6" t="n">
        <v>4224</v>
      </c>
    </row>
    <row r="7">
      <c r="A7" t="inlineStr">
        <is>
          <t>Kampong Chhnang</t>
        </is>
      </c>
      <c r="B7" t="inlineStr">
        <is>
          <t>SIM PREM</t>
        </is>
      </c>
      <c r="C7" t="n">
        <v>109</v>
      </c>
      <c r="D7" t="n">
        <v>31</v>
      </c>
      <c r="E7" t="n">
        <v>102</v>
      </c>
      <c r="F7" t="n">
        <v>25</v>
      </c>
      <c r="G7" t="n">
        <v>3586</v>
      </c>
      <c r="H7" t="n">
        <v>1776</v>
      </c>
      <c r="I7" t="n">
        <v>740</v>
      </c>
      <c r="J7" t="n">
        <v>213</v>
      </c>
      <c r="K7" t="n">
        <v>4537</v>
      </c>
      <c r="L7" t="n">
        <v>2045</v>
      </c>
    </row>
    <row r="8">
      <c r="A8" t="inlineStr">
        <is>
          <t>Kampong Speu</t>
        </is>
      </c>
      <c r="B8" t="inlineStr">
        <is>
          <t>THAN THARIN</t>
        </is>
      </c>
      <c r="C8" t="n">
        <v>96</v>
      </c>
      <c r="D8" t="n">
        <v>24</v>
      </c>
      <c r="E8" t="n">
        <v>96</v>
      </c>
      <c r="F8" t="n">
        <v>18</v>
      </c>
      <c r="G8" t="n">
        <v>4308</v>
      </c>
      <c r="H8" t="n">
        <v>1970</v>
      </c>
      <c r="I8" t="n">
        <v>871</v>
      </c>
      <c r="J8" t="n">
        <v>177</v>
      </c>
      <c r="K8" t="n">
        <v>5371</v>
      </c>
      <c r="L8" t="n">
        <v>2189</v>
      </c>
    </row>
    <row r="9">
      <c r="A9" t="inlineStr">
        <is>
          <t>Kampong Thom</t>
        </is>
      </c>
      <c r="B9" t="inlineStr">
        <is>
          <t>TAN BUNHONG</t>
        </is>
      </c>
      <c r="C9" t="n">
        <v>99</v>
      </c>
      <c r="D9" t="n">
        <v>21</v>
      </c>
      <c r="E9" t="n">
        <v>114</v>
      </c>
      <c r="F9" t="n">
        <v>26</v>
      </c>
      <c r="G9" t="n">
        <v>4463</v>
      </c>
      <c r="H9" t="n">
        <v>2526</v>
      </c>
      <c r="I9" t="n">
        <v>828</v>
      </c>
      <c r="J9" t="n">
        <v>218</v>
      </c>
      <c r="K9" t="n">
        <v>5504</v>
      </c>
      <c r="L9" t="n">
        <v>2791</v>
      </c>
    </row>
    <row r="10">
      <c r="A10" t="inlineStr">
        <is>
          <t>Kampot</t>
        </is>
      </c>
      <c r="B10" t="inlineStr">
        <is>
          <t>TAK HAP</t>
        </is>
      </c>
      <c r="C10" t="n">
        <v>108</v>
      </c>
      <c r="D10" t="n">
        <v>15</v>
      </c>
      <c r="E10" t="n">
        <v>109</v>
      </c>
      <c r="F10" t="n">
        <v>23</v>
      </c>
      <c r="G10" t="n">
        <v>4740</v>
      </c>
      <c r="H10" t="n">
        <v>2374</v>
      </c>
      <c r="I10" t="n">
        <v>998</v>
      </c>
      <c r="J10" t="n">
        <v>226</v>
      </c>
      <c r="K10" t="n">
        <v>5955</v>
      </c>
      <c r="L10" t="n">
        <v>2638</v>
      </c>
    </row>
    <row r="11">
      <c r="A11" t="inlineStr">
        <is>
          <t>Kandal</t>
        </is>
      </c>
      <c r="B11" t="inlineStr">
        <is>
          <t>CHENG SAM UL</t>
        </is>
      </c>
      <c r="C11" t="n">
        <v>113</v>
      </c>
      <c r="D11" t="n">
        <v>39</v>
      </c>
      <c r="E11" t="n">
        <v>125</v>
      </c>
      <c r="F11" t="n">
        <v>36</v>
      </c>
      <c r="G11" t="n">
        <v>7299</v>
      </c>
      <c r="H11" t="n">
        <v>4114</v>
      </c>
      <c r="I11" t="n">
        <v>1516</v>
      </c>
      <c r="J11" t="n">
        <v>402</v>
      </c>
      <c r="K11" t="n">
        <v>9053</v>
      </c>
      <c r="L11" t="n">
        <v>4591</v>
      </c>
    </row>
    <row r="12">
      <c r="A12" t="inlineStr">
        <is>
          <t>Kep</t>
        </is>
      </c>
      <c r="B12" t="inlineStr">
        <is>
          <t>NGOUN CHANSOCHEATA</t>
        </is>
      </c>
      <c r="C12" t="n">
        <v>46</v>
      </c>
      <c r="D12" t="n">
        <v>14</v>
      </c>
      <c r="E12" t="n">
        <v>16</v>
      </c>
      <c r="F12" t="n">
        <v>6</v>
      </c>
      <c r="G12" t="n">
        <v>476</v>
      </c>
      <c r="H12" t="n">
        <v>258</v>
      </c>
      <c r="I12" t="n">
        <v>97</v>
      </c>
      <c r="J12" t="n">
        <v>19</v>
      </c>
      <c r="K12" t="n">
        <v>635</v>
      </c>
      <c r="L12" t="n">
        <v>297</v>
      </c>
    </row>
    <row r="13">
      <c r="A13" t="inlineStr">
        <is>
          <t>Koh Kong</t>
        </is>
      </c>
      <c r="B13" t="inlineStr">
        <is>
          <t>NGET LEOUNG</t>
        </is>
      </c>
      <c r="C13" t="n">
        <v>74</v>
      </c>
      <c r="D13" t="n">
        <v>22</v>
      </c>
      <c r="E13" t="n">
        <v>66</v>
      </c>
      <c r="F13" t="n">
        <v>18</v>
      </c>
      <c r="G13" t="n">
        <v>1199</v>
      </c>
      <c r="H13" t="n">
        <v>578</v>
      </c>
      <c r="I13" t="n">
        <v>186</v>
      </c>
      <c r="J13" t="n">
        <v>53</v>
      </c>
      <c r="K13" t="n">
        <v>1525</v>
      </c>
      <c r="L13" t="n">
        <v>671</v>
      </c>
    </row>
    <row r="14">
      <c r="A14" t="inlineStr">
        <is>
          <t>Kratie</t>
        </is>
      </c>
      <c r="B14" t="inlineStr">
        <is>
          <t>LAY BORA</t>
        </is>
      </c>
      <c r="C14" t="n">
        <v>74</v>
      </c>
      <c r="D14" t="n">
        <v>23</v>
      </c>
      <c r="E14" t="n">
        <v>66</v>
      </c>
      <c r="F14" t="n">
        <v>18</v>
      </c>
      <c r="G14" t="n">
        <v>2696</v>
      </c>
      <c r="H14" t="n">
        <v>1706</v>
      </c>
      <c r="I14" t="n">
        <v>404</v>
      </c>
      <c r="J14" t="n">
        <v>144</v>
      </c>
      <c r="K14" t="n">
        <v>3240</v>
      </c>
      <c r="L14" t="n">
        <v>1891</v>
      </c>
    </row>
    <row r="15">
      <c r="A15" t="inlineStr">
        <is>
          <t>Mondul Kiri</t>
        </is>
      </c>
      <c r="B15" t="inlineStr">
        <is>
          <t>TIM SANGVAT</t>
        </is>
      </c>
      <c r="C15" t="n">
        <v>39</v>
      </c>
      <c r="D15" t="n">
        <v>7</v>
      </c>
      <c r="E15" t="n">
        <v>17</v>
      </c>
      <c r="F15" t="n">
        <v>3</v>
      </c>
      <c r="G15" t="n">
        <v>937</v>
      </c>
      <c r="H15" t="n">
        <v>484</v>
      </c>
      <c r="I15" t="n">
        <v>68</v>
      </c>
      <c r="J15" t="n">
        <v>12</v>
      </c>
      <c r="K15" t="n">
        <v>1061</v>
      </c>
      <c r="L15" t="n">
        <v>506</v>
      </c>
    </row>
    <row r="16">
      <c r="A16" t="inlineStr">
        <is>
          <t>Otdar Meanchey</t>
        </is>
      </c>
      <c r="B16" t="inlineStr">
        <is>
          <t>PECH RATANA</t>
        </is>
      </c>
      <c r="C16" t="n">
        <v>53</v>
      </c>
      <c r="D16" t="n">
        <v>13</v>
      </c>
      <c r="E16" t="n">
        <v>57</v>
      </c>
      <c r="F16" t="n">
        <v>11</v>
      </c>
      <c r="G16" t="n">
        <v>1641</v>
      </c>
      <c r="H16" t="n">
        <v>767</v>
      </c>
      <c r="I16" t="n">
        <v>349</v>
      </c>
      <c r="J16" t="n">
        <v>87</v>
      </c>
      <c r="K16" t="n">
        <v>2100</v>
      </c>
      <c r="L16" t="n">
        <v>878</v>
      </c>
    </row>
    <row r="17">
      <c r="A17" t="inlineStr">
        <is>
          <t>Pailin</t>
        </is>
      </c>
      <c r="B17" t="inlineStr">
        <is>
          <t>TANG THEARA</t>
        </is>
      </c>
      <c r="C17" t="n">
        <v>51</v>
      </c>
      <c r="D17" t="n">
        <v>14</v>
      </c>
      <c r="E17" t="n">
        <v>13</v>
      </c>
      <c r="F17" t="n">
        <v>3</v>
      </c>
      <c r="G17" t="n">
        <v>669</v>
      </c>
      <c r="H17" t="n">
        <v>355</v>
      </c>
      <c r="I17" t="n">
        <v>95</v>
      </c>
      <c r="J17" t="n">
        <v>30</v>
      </c>
      <c r="K17" t="n">
        <v>828</v>
      </c>
      <c r="L17" t="n">
        <v>402</v>
      </c>
    </row>
    <row r="18">
      <c r="A18" t="inlineStr">
        <is>
          <t>Phnom Penh</t>
        </is>
      </c>
      <c r="B18" t="inlineStr">
        <is>
          <t>HEM SINARETH</t>
        </is>
      </c>
      <c r="C18" t="n">
        <v>125</v>
      </c>
      <c r="D18" t="n">
        <v>38</v>
      </c>
      <c r="E18" t="n">
        <v>124</v>
      </c>
      <c r="F18" t="n">
        <v>45</v>
      </c>
      <c r="G18" t="n">
        <v>9242</v>
      </c>
      <c r="H18" t="n">
        <v>5332</v>
      </c>
      <c r="I18" t="n">
        <v>1170</v>
      </c>
      <c r="J18" t="n">
        <v>453</v>
      </c>
      <c r="K18" t="n">
        <v>10661</v>
      </c>
      <c r="L18" t="n">
        <v>5868</v>
      </c>
    </row>
    <row r="19">
      <c r="A19" t="inlineStr">
        <is>
          <t>Preah Sihanouk</t>
        </is>
      </c>
      <c r="B19" t="inlineStr">
        <is>
          <t>OUCH SOPHEA</t>
        </is>
      </c>
      <c r="C19" t="n">
        <v>60</v>
      </c>
      <c r="D19" t="n">
        <v>17</v>
      </c>
      <c r="E19" t="n">
        <v>45</v>
      </c>
      <c r="F19" t="n">
        <v>16</v>
      </c>
      <c r="G19" t="n">
        <v>1658</v>
      </c>
      <c r="H19" t="n">
        <v>856</v>
      </c>
      <c r="I19" t="n">
        <v>272</v>
      </c>
      <c r="J19" t="n">
        <v>81</v>
      </c>
      <c r="K19" t="n">
        <v>2035</v>
      </c>
      <c r="L19" t="n">
        <v>970</v>
      </c>
    </row>
    <row r="20">
      <c r="A20" t="inlineStr">
        <is>
          <t>Preah Vihear</t>
        </is>
      </c>
      <c r="B20" t="inlineStr">
        <is>
          <t>CHENG LIMHORN</t>
        </is>
      </c>
      <c r="C20" t="n">
        <v>72</v>
      </c>
      <c r="D20" t="n">
        <v>14</v>
      </c>
      <c r="E20" t="n">
        <v>87</v>
      </c>
      <c r="F20" t="n">
        <v>23</v>
      </c>
      <c r="G20" t="n">
        <v>2178</v>
      </c>
      <c r="H20" t="n">
        <v>1139</v>
      </c>
      <c r="I20" t="n">
        <v>350</v>
      </c>
      <c r="J20" t="n">
        <v>109</v>
      </c>
      <c r="K20" t="n">
        <v>2687</v>
      </c>
      <c r="L20" t="n">
        <v>1285</v>
      </c>
    </row>
    <row r="21">
      <c r="A21" t="inlineStr">
        <is>
          <t>Prey Veng</t>
        </is>
      </c>
      <c r="B21" t="inlineStr">
        <is>
          <t>PAV SOTHY</t>
        </is>
      </c>
      <c r="C21" t="n">
        <v>101</v>
      </c>
      <c r="D21" t="n">
        <v>39</v>
      </c>
      <c r="E21" t="n">
        <v>139</v>
      </c>
      <c r="F21" t="n">
        <v>45</v>
      </c>
      <c r="G21" t="n">
        <v>5860</v>
      </c>
      <c r="H21" t="n">
        <v>2826</v>
      </c>
      <c r="I21" t="n">
        <v>1926</v>
      </c>
      <c r="J21" t="n">
        <v>504</v>
      </c>
      <c r="K21" t="n">
        <v>8026</v>
      </c>
      <c r="L21" t="n">
        <v>3414</v>
      </c>
    </row>
    <row r="22">
      <c r="A22" t="inlineStr">
        <is>
          <t>Pursat</t>
        </is>
      </c>
      <c r="B22" t="inlineStr">
        <is>
          <t>LY SOKUNTHY</t>
        </is>
      </c>
      <c r="C22" t="n">
        <v>93</v>
      </c>
      <c r="D22" t="n">
        <v>23</v>
      </c>
      <c r="E22" t="n">
        <v>109</v>
      </c>
      <c r="F22" t="n">
        <v>26</v>
      </c>
      <c r="G22" t="n">
        <v>3140</v>
      </c>
      <c r="H22" t="n">
        <v>1585</v>
      </c>
      <c r="I22" t="n">
        <v>735</v>
      </c>
      <c r="J22" t="n">
        <v>205</v>
      </c>
      <c r="K22" t="n">
        <v>4077</v>
      </c>
      <c r="L22" t="n">
        <v>1839</v>
      </c>
    </row>
    <row r="23">
      <c r="A23" t="inlineStr">
        <is>
          <t>Ratanak Kiri</t>
        </is>
      </c>
      <c r="B23" t="inlineStr">
        <is>
          <t>KHATH SAMAL</t>
        </is>
      </c>
      <c r="C23" t="n">
        <v>50</v>
      </c>
      <c r="D23" t="n">
        <v>13</v>
      </c>
      <c r="E23" t="n">
        <v>49</v>
      </c>
      <c r="F23" t="n">
        <v>1</v>
      </c>
      <c r="G23" t="n">
        <v>1430</v>
      </c>
      <c r="H23" t="n">
        <v>699</v>
      </c>
      <c r="I23" t="n">
        <v>142</v>
      </c>
      <c r="J23" t="n">
        <v>43</v>
      </c>
      <c r="K23" t="n">
        <v>1671</v>
      </c>
      <c r="L23" t="n">
        <v>756</v>
      </c>
    </row>
    <row r="24">
      <c r="A24" t="inlineStr">
        <is>
          <t>Siemreap</t>
        </is>
      </c>
      <c r="B24" t="inlineStr">
        <is>
          <t>SAY TITYAVONG</t>
        </is>
      </c>
      <c r="C24" t="n">
        <v>139</v>
      </c>
      <c r="D24" t="n">
        <v>35</v>
      </c>
      <c r="E24" t="n">
        <v>156</v>
      </c>
      <c r="F24" t="n">
        <v>47</v>
      </c>
      <c r="G24" t="n">
        <v>5943</v>
      </c>
      <c r="H24" t="n">
        <v>3759</v>
      </c>
      <c r="I24" t="n">
        <v>1758</v>
      </c>
      <c r="J24" t="n">
        <v>734</v>
      </c>
      <c r="K24" t="n">
        <v>7996</v>
      </c>
      <c r="L24" t="n">
        <v>4575</v>
      </c>
    </row>
    <row r="25">
      <c r="A25" t="inlineStr">
        <is>
          <t>Stung Treng</t>
        </is>
      </c>
      <c r="B25" t="inlineStr">
        <is>
          <t>HEANG POLY</t>
        </is>
      </c>
      <c r="C25" t="n">
        <v>65</v>
      </c>
      <c r="D25" t="n">
        <v>19</v>
      </c>
      <c r="E25" t="n">
        <v>64</v>
      </c>
      <c r="F25" t="n">
        <v>22</v>
      </c>
      <c r="G25" t="n">
        <v>1411</v>
      </c>
      <c r="H25" t="n">
        <v>787</v>
      </c>
      <c r="I25" t="n">
        <v>194</v>
      </c>
      <c r="J25" t="n">
        <v>57</v>
      </c>
      <c r="K25" t="n">
        <v>1734</v>
      </c>
      <c r="L25" t="n">
        <v>885</v>
      </c>
    </row>
    <row r="26">
      <c r="A26" t="inlineStr">
        <is>
          <t>Svay Rieng</t>
        </is>
      </c>
      <c r="B26" t="inlineStr">
        <is>
          <t>KHIEV SAM OL</t>
        </is>
      </c>
      <c r="C26" t="n">
        <v>123</v>
      </c>
      <c r="D26" t="n">
        <v>20</v>
      </c>
      <c r="E26" t="n">
        <v>103</v>
      </c>
      <c r="F26" t="n">
        <v>24</v>
      </c>
      <c r="G26" t="n">
        <v>3747</v>
      </c>
      <c r="H26" t="n">
        <v>1499</v>
      </c>
      <c r="I26" t="n">
        <v>971</v>
      </c>
      <c r="J26" t="n">
        <v>221</v>
      </c>
      <c r="K26" t="n">
        <v>4944</v>
      </c>
      <c r="L26" t="n">
        <v>1764</v>
      </c>
    </row>
    <row r="27">
      <c r="A27" t="inlineStr">
        <is>
          <t>Takeo</t>
        </is>
      </c>
      <c r="B27" t="inlineStr">
        <is>
          <t>LOR VIRITH</t>
        </is>
      </c>
      <c r="C27" t="n">
        <v>155</v>
      </c>
      <c r="D27" t="n">
        <v>44</v>
      </c>
      <c r="E27" t="n">
        <v>119</v>
      </c>
      <c r="F27" t="n">
        <v>22</v>
      </c>
      <c r="G27" t="n">
        <v>6486</v>
      </c>
      <c r="H27" t="n">
        <v>2754</v>
      </c>
      <c r="I27" t="n">
        <v>1771</v>
      </c>
      <c r="J27" t="n">
        <v>393</v>
      </c>
      <c r="K27" t="n">
        <v>8531</v>
      </c>
      <c r="L27" t="n">
        <v>3213</v>
      </c>
    </row>
    <row r="28">
      <c r="A28" t="inlineStr">
        <is>
          <t>Tbaung Khmum</t>
        </is>
      </c>
      <c r="B28" t="inlineStr">
        <is>
          <t>IN POUVSAMBATH</t>
        </is>
      </c>
      <c r="C28" t="n">
        <v>87</v>
      </c>
      <c r="D28" t="n">
        <v>30</v>
      </c>
      <c r="E28" t="n">
        <v>72</v>
      </c>
      <c r="F28" t="n">
        <v>13</v>
      </c>
      <c r="G28" t="n">
        <v>3904</v>
      </c>
      <c r="H28" t="n">
        <v>2197</v>
      </c>
      <c r="I28" t="n">
        <v>915</v>
      </c>
      <c r="J28" t="n">
        <v>271</v>
      </c>
      <c r="K28" t="n">
        <v>4978</v>
      </c>
      <c r="L28" t="n">
        <v>2511</v>
      </c>
    </row>
    <row r="29">
      <c r="A29" t="inlineStr">
        <is>
          <t>Whole Kingdom</t>
        </is>
      </c>
      <c r="C29" t="n">
        <v>2287</v>
      </c>
      <c r="D29" t="n">
        <v>631</v>
      </c>
      <c r="E29" t="n">
        <v>2245</v>
      </c>
      <c r="F29" t="n">
        <v>589</v>
      </c>
      <c r="G29" t="n">
        <v>94718</v>
      </c>
      <c r="H29" t="n">
        <v>50545</v>
      </c>
      <c r="I29" t="n">
        <v>20831</v>
      </c>
      <c r="J29" t="n">
        <v>6287</v>
      </c>
      <c r="K29" t="n">
        <v>120081</v>
      </c>
      <c r="L29" t="n">
        <v>58052</v>
      </c>
    </row>
    <row r="30">
      <c r="A30" t="inlineStr">
        <is>
          <t>- Urban Area</t>
        </is>
      </c>
      <c r="C30" t="n">
        <v>2287</v>
      </c>
      <c r="D30" t="n">
        <v>631</v>
      </c>
      <c r="E30" t="n">
        <v>454</v>
      </c>
      <c r="F30" t="n">
        <v>174</v>
      </c>
      <c r="G30" t="n">
        <v>22625</v>
      </c>
      <c r="H30" t="n">
        <v>13158</v>
      </c>
      <c r="I30" t="n">
        <v>3777</v>
      </c>
      <c r="J30" t="n">
        <v>1515</v>
      </c>
      <c r="K30" t="n">
        <v>29143</v>
      </c>
      <c r="L30" t="n">
        <v>15478</v>
      </c>
    </row>
    <row r="31">
      <c r="A31" t="inlineStr">
        <is>
          <t>- Rural Area</t>
        </is>
      </c>
      <c r="C31" t="n">
        <v>0</v>
      </c>
      <c r="D31" t="n">
        <v>0</v>
      </c>
      <c r="E31" t="n">
        <v>1791</v>
      </c>
      <c r="F31" t="n">
        <v>415</v>
      </c>
      <c r="G31" t="n">
        <v>72093</v>
      </c>
      <c r="H31" t="n">
        <v>37387</v>
      </c>
      <c r="I31" t="n">
        <v>17054</v>
      </c>
      <c r="J31" t="n">
        <v>4772</v>
      </c>
      <c r="K31" t="n">
        <v>90938</v>
      </c>
      <c r="L31" t="n">
        <v>42574</v>
      </c>
    </row>
  </sheetData>
  <mergeCells count="7">
    <mergeCell ref="A1:M1"/>
    <mergeCell ref="C2:D2"/>
    <mergeCell ref="G2:H2"/>
    <mergeCell ref="E2:F2"/>
    <mergeCell ref="K2:L2"/>
    <mergeCell ref="I2:J2"/>
    <mergeCell ref="A2:A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00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7109375" customWidth="1" min="2" max="2"/>
    <col width="8.42578125" customWidth="1" min="3" max="3"/>
    <col width="9.85546875" customWidth="1" min="4" max="4"/>
    <col width="6.7109375" customWidth="1" min="5" max="5"/>
    <col width="7" customWidth="1" min="6" max="6"/>
    <col width="8.140625" customWidth="1" min="7" max="7"/>
    <col width="6.7109375" customWidth="1" min="8" max="8"/>
    <col width="8.140625" customWidth="1" min="9" max="9"/>
    <col width="10" customWidth="1" min="10" max="10"/>
    <col width="7.85546875" customWidth="1" min="11" max="11"/>
    <col width="9.7109375" customWidth="1" min="12" max="12"/>
    <col width="9.85546875" customWidth="1" min="13" max="13"/>
  </cols>
  <sheetData>
    <row r="1">
      <c r="A1" t="inlineStr">
        <is>
          <t>Table 20: School Staff with Special Functions</t>
        </is>
      </c>
    </row>
    <row r="2">
      <c r="A2" t="inlineStr">
        <is>
          <t>Province</t>
        </is>
      </c>
      <c r="B2" t="inlineStr">
        <is>
          <t>Number of Schools with</t>
        </is>
      </c>
      <c r="L2" t="inlineStr">
        <is>
          <t>Literacy</t>
        </is>
      </c>
      <c r="M2" t="inlineStr">
        <is>
          <t>Contracted</t>
        </is>
      </c>
    </row>
    <row r="3">
      <c r="B3" t="inlineStr">
        <is>
          <t>Secretary</t>
        </is>
      </c>
      <c r="C3" t="inlineStr">
        <is>
          <t>Librarian</t>
        </is>
      </c>
      <c r="D3" t="inlineStr">
        <is>
          <t>Home.Eco.</t>
        </is>
      </c>
      <c r="E3" t="inlineStr">
        <is>
          <t>Arts</t>
        </is>
      </c>
      <c r="F3" t="inlineStr">
        <is>
          <t>Agri.</t>
        </is>
      </c>
      <c r="G3" t="inlineStr">
        <is>
          <t>Sports</t>
        </is>
      </c>
      <c r="H3" t="inlineStr">
        <is>
          <t>ICT</t>
        </is>
      </c>
      <c r="I3" t="inlineStr">
        <is>
          <t>Account</t>
        </is>
      </c>
      <c r="J3" t="inlineStr">
        <is>
          <t>Laboratory</t>
        </is>
      </c>
      <c r="K3" t="inlineStr">
        <is>
          <t>Youth</t>
        </is>
      </c>
      <c r="L3" t="inlineStr">
        <is>
          <t>Teachers</t>
        </is>
      </c>
      <c r="M3" t="inlineStr">
        <is>
          <t>Teachers</t>
        </is>
      </c>
    </row>
    <row r="4">
      <c r="A4" t="inlineStr">
        <is>
          <t>Banteay Meanchey</t>
        </is>
      </c>
      <c r="B4" t="n">
        <v>165</v>
      </c>
      <c r="C4" t="n">
        <v>224</v>
      </c>
      <c r="D4" t="n">
        <v>98</v>
      </c>
      <c r="E4" t="n">
        <v>43</v>
      </c>
      <c r="F4" t="n">
        <v>113</v>
      </c>
      <c r="G4" t="n">
        <v>20</v>
      </c>
      <c r="H4" t="n">
        <v>38</v>
      </c>
      <c r="I4" t="n">
        <v>48</v>
      </c>
      <c r="J4" t="n">
        <v>28</v>
      </c>
      <c r="K4" t="n">
        <v>855</v>
      </c>
      <c r="L4" t="n">
        <v>17</v>
      </c>
      <c r="M4" t="n">
        <v>0</v>
      </c>
    </row>
    <row r="5">
      <c r="A5" t="inlineStr">
        <is>
          <t>Battambang</t>
        </is>
      </c>
      <c r="B5" t="n">
        <v>415</v>
      </c>
      <c r="C5" t="n">
        <v>352</v>
      </c>
      <c r="D5" t="n">
        <v>145</v>
      </c>
      <c r="E5" t="n">
        <v>65</v>
      </c>
      <c r="F5" t="n">
        <v>331</v>
      </c>
      <c r="G5" t="n">
        <v>28</v>
      </c>
      <c r="H5" t="n">
        <v>91</v>
      </c>
      <c r="I5" t="n">
        <v>157</v>
      </c>
      <c r="J5" t="n">
        <v>95</v>
      </c>
      <c r="K5" t="n">
        <v>1854</v>
      </c>
      <c r="L5" t="n">
        <v>33</v>
      </c>
      <c r="M5" t="n">
        <v>0</v>
      </c>
    </row>
    <row r="6">
      <c r="A6" t="inlineStr">
        <is>
          <t>Kampong Cham</t>
        </is>
      </c>
      <c r="B6" t="n">
        <v>333</v>
      </c>
      <c r="C6" t="n">
        <v>376</v>
      </c>
      <c r="D6" t="n">
        <v>119</v>
      </c>
      <c r="E6" t="n">
        <v>53</v>
      </c>
      <c r="F6" t="n">
        <v>175</v>
      </c>
      <c r="G6" t="n">
        <v>55</v>
      </c>
      <c r="H6" t="n">
        <v>69</v>
      </c>
      <c r="I6" t="n">
        <v>73</v>
      </c>
      <c r="J6" t="n">
        <v>57</v>
      </c>
      <c r="K6" t="n">
        <v>1378</v>
      </c>
      <c r="L6" t="n">
        <v>9</v>
      </c>
      <c r="M6" t="n">
        <v>0</v>
      </c>
    </row>
    <row r="7">
      <c r="A7" t="inlineStr">
        <is>
          <t>Kampong Chhnang</t>
        </is>
      </c>
      <c r="B7" t="n">
        <v>110</v>
      </c>
      <c r="C7" t="n">
        <v>146</v>
      </c>
      <c r="D7" t="n">
        <v>86</v>
      </c>
      <c r="E7" t="n">
        <v>51</v>
      </c>
      <c r="F7" t="n">
        <v>127</v>
      </c>
      <c r="G7" t="n">
        <v>13</v>
      </c>
      <c r="H7" t="n">
        <v>96</v>
      </c>
      <c r="I7" t="n">
        <v>87</v>
      </c>
      <c r="J7" t="n">
        <v>62</v>
      </c>
      <c r="K7" t="n">
        <v>796</v>
      </c>
      <c r="L7" t="n">
        <v>11</v>
      </c>
      <c r="M7" t="n">
        <v>0</v>
      </c>
    </row>
    <row r="8">
      <c r="A8" t="inlineStr">
        <is>
          <t>Kampong Speu</t>
        </is>
      </c>
      <c r="B8" t="n">
        <v>183</v>
      </c>
      <c r="C8" t="n">
        <v>245</v>
      </c>
      <c r="D8" t="n">
        <v>205</v>
      </c>
      <c r="E8" t="n">
        <v>79</v>
      </c>
      <c r="F8" t="n">
        <v>343</v>
      </c>
      <c r="G8" t="n">
        <v>12</v>
      </c>
      <c r="H8" t="n">
        <v>190</v>
      </c>
      <c r="I8" t="n">
        <v>88</v>
      </c>
      <c r="J8" t="n">
        <v>147</v>
      </c>
      <c r="K8" t="n">
        <v>1594</v>
      </c>
      <c r="L8" t="n">
        <v>0</v>
      </c>
      <c r="M8" t="n">
        <v>0</v>
      </c>
    </row>
    <row r="9">
      <c r="A9" t="inlineStr">
        <is>
          <t>Kampong Thom</t>
        </is>
      </c>
      <c r="B9" t="n">
        <v>124</v>
      </c>
      <c r="C9" t="n">
        <v>226</v>
      </c>
      <c r="D9" t="n">
        <v>93</v>
      </c>
      <c r="E9" t="n">
        <v>27</v>
      </c>
      <c r="F9" t="n">
        <v>122</v>
      </c>
      <c r="G9" t="n">
        <v>20</v>
      </c>
      <c r="H9" t="n">
        <v>44</v>
      </c>
      <c r="I9" t="n">
        <v>39</v>
      </c>
      <c r="J9" t="n">
        <v>37</v>
      </c>
      <c r="K9" t="n">
        <v>826</v>
      </c>
      <c r="L9" t="n">
        <v>2</v>
      </c>
      <c r="M9" t="n">
        <v>0</v>
      </c>
    </row>
    <row r="10">
      <c r="A10" t="inlineStr">
        <is>
          <t>Kampot</t>
        </is>
      </c>
      <c r="B10" t="n">
        <v>235</v>
      </c>
      <c r="C10" t="n">
        <v>211</v>
      </c>
      <c r="D10" t="n">
        <v>189</v>
      </c>
      <c r="E10" t="n">
        <v>36</v>
      </c>
      <c r="F10" t="n">
        <v>157</v>
      </c>
      <c r="G10" t="n">
        <v>12</v>
      </c>
      <c r="H10" t="n">
        <v>79</v>
      </c>
      <c r="I10" t="n">
        <v>141</v>
      </c>
      <c r="J10" t="n">
        <v>121</v>
      </c>
      <c r="K10" t="n">
        <v>1215</v>
      </c>
      <c r="L10" t="n">
        <v>9</v>
      </c>
      <c r="M10" t="n">
        <v>0</v>
      </c>
    </row>
    <row r="11">
      <c r="A11" t="inlineStr">
        <is>
          <t>Kandal</t>
        </is>
      </c>
      <c r="B11" t="n">
        <v>293</v>
      </c>
      <c r="C11" t="n">
        <v>379</v>
      </c>
      <c r="D11" t="n">
        <v>169</v>
      </c>
      <c r="E11" t="n">
        <v>71</v>
      </c>
      <c r="F11" t="n">
        <v>134</v>
      </c>
      <c r="G11" t="n">
        <v>67</v>
      </c>
      <c r="H11" t="n">
        <v>100</v>
      </c>
      <c r="I11" t="n">
        <v>96</v>
      </c>
      <c r="J11" t="n">
        <v>15</v>
      </c>
      <c r="K11" t="n">
        <v>1387</v>
      </c>
      <c r="L11" t="n">
        <v>41</v>
      </c>
      <c r="M11" t="n">
        <v>0</v>
      </c>
    </row>
    <row r="12">
      <c r="A12" t="inlineStr">
        <is>
          <t>Kep</t>
        </is>
      </c>
      <c r="B12" t="n">
        <v>25</v>
      </c>
      <c r="C12" t="n">
        <v>22</v>
      </c>
      <c r="D12" t="n">
        <v>15</v>
      </c>
      <c r="E12" t="n">
        <v>7</v>
      </c>
      <c r="F12" t="n">
        <v>17</v>
      </c>
      <c r="G12" t="n">
        <v>6</v>
      </c>
      <c r="H12" t="n">
        <v>4</v>
      </c>
      <c r="I12" t="n">
        <v>10</v>
      </c>
      <c r="J12" t="n">
        <v>7</v>
      </c>
      <c r="K12" t="n">
        <v>113</v>
      </c>
      <c r="L12" t="n">
        <v>0</v>
      </c>
      <c r="M12" t="n">
        <v>0</v>
      </c>
    </row>
    <row r="13">
      <c r="A13" t="inlineStr">
        <is>
          <t>Koh Kong</t>
        </is>
      </c>
      <c r="B13" t="n">
        <v>66</v>
      </c>
      <c r="C13" t="n">
        <v>55</v>
      </c>
      <c r="D13" t="n">
        <v>28</v>
      </c>
      <c r="E13" t="n">
        <v>24</v>
      </c>
      <c r="F13" t="n">
        <v>53</v>
      </c>
      <c r="G13" t="n">
        <v>5</v>
      </c>
      <c r="H13" t="n">
        <v>24</v>
      </c>
      <c r="I13" t="n">
        <v>20</v>
      </c>
      <c r="J13" t="n">
        <v>29</v>
      </c>
      <c r="K13" t="n">
        <v>314</v>
      </c>
      <c r="L13" t="n">
        <v>3</v>
      </c>
      <c r="M13" t="n">
        <v>0</v>
      </c>
    </row>
    <row r="14">
      <c r="A14" t="inlineStr">
        <is>
          <t>Kratie</t>
        </is>
      </c>
      <c r="B14" t="n">
        <v>86</v>
      </c>
      <c r="C14" t="n">
        <v>94</v>
      </c>
      <c r="D14" t="n">
        <v>63</v>
      </c>
      <c r="E14" t="n">
        <v>56</v>
      </c>
      <c r="F14" t="n">
        <v>115</v>
      </c>
      <c r="G14" t="n">
        <v>19</v>
      </c>
      <c r="H14" t="n">
        <v>51</v>
      </c>
      <c r="I14" t="n">
        <v>33</v>
      </c>
      <c r="J14" t="n">
        <v>35</v>
      </c>
      <c r="K14" t="n">
        <v>616</v>
      </c>
      <c r="L14" t="n">
        <v>0</v>
      </c>
      <c r="M14" t="n">
        <v>0</v>
      </c>
    </row>
    <row r="15">
      <c r="A15" t="inlineStr">
        <is>
          <t>Mondul Kiri</t>
        </is>
      </c>
      <c r="B15" t="n">
        <v>15</v>
      </c>
      <c r="C15" t="n">
        <v>14</v>
      </c>
      <c r="D15" t="n">
        <v>19</v>
      </c>
      <c r="E15" t="n">
        <v>10</v>
      </c>
      <c r="F15" t="n">
        <v>29</v>
      </c>
      <c r="G15" t="n">
        <v>4</v>
      </c>
      <c r="H15" t="n">
        <v>11</v>
      </c>
      <c r="I15" t="n">
        <v>14</v>
      </c>
      <c r="J15" t="n">
        <v>36</v>
      </c>
      <c r="K15" t="n">
        <v>181</v>
      </c>
      <c r="L15" t="n">
        <v>1</v>
      </c>
      <c r="M15" t="n">
        <v>0</v>
      </c>
    </row>
    <row r="16">
      <c r="A16" t="inlineStr">
        <is>
          <t>Otdar Meanchey</t>
        </is>
      </c>
      <c r="B16" t="n">
        <v>124</v>
      </c>
      <c r="C16" t="n">
        <v>57</v>
      </c>
      <c r="D16" t="n">
        <v>43</v>
      </c>
      <c r="E16" t="n">
        <v>23</v>
      </c>
      <c r="F16" t="n">
        <v>74</v>
      </c>
      <c r="G16" t="n">
        <v>6</v>
      </c>
      <c r="H16" t="n">
        <v>25</v>
      </c>
      <c r="I16" t="n">
        <v>14</v>
      </c>
      <c r="J16" t="n">
        <v>50</v>
      </c>
      <c r="K16" t="n">
        <v>456</v>
      </c>
      <c r="L16" t="n">
        <v>3</v>
      </c>
      <c r="M16" t="n">
        <v>0</v>
      </c>
    </row>
    <row r="17">
      <c r="A17" t="inlineStr">
        <is>
          <t>Pailin</t>
        </is>
      </c>
      <c r="B17" t="n">
        <v>17</v>
      </c>
      <c r="C17" t="n">
        <v>20</v>
      </c>
      <c r="D17" t="n">
        <v>17</v>
      </c>
      <c r="E17" t="n">
        <v>7</v>
      </c>
      <c r="F17" t="n">
        <v>16</v>
      </c>
      <c r="G17" t="n">
        <v>8</v>
      </c>
      <c r="H17" t="n">
        <v>9</v>
      </c>
      <c r="I17" t="n">
        <v>5</v>
      </c>
      <c r="J17" t="n">
        <v>6</v>
      </c>
      <c r="K17" t="n">
        <v>113</v>
      </c>
      <c r="L17" t="n">
        <v>0</v>
      </c>
      <c r="M17" t="n">
        <v>0</v>
      </c>
    </row>
    <row r="18">
      <c r="A18" t="inlineStr">
        <is>
          <t>Phnom Penh</t>
        </is>
      </c>
      <c r="B18" t="n">
        <v>167</v>
      </c>
      <c r="C18" t="n">
        <v>202</v>
      </c>
      <c r="D18" t="n">
        <v>219</v>
      </c>
      <c r="E18" t="n">
        <v>85</v>
      </c>
      <c r="F18" t="n">
        <v>150</v>
      </c>
      <c r="G18" t="n">
        <v>62</v>
      </c>
      <c r="H18" t="n">
        <v>117</v>
      </c>
      <c r="I18" t="n">
        <v>241</v>
      </c>
      <c r="J18" t="n">
        <v>70</v>
      </c>
      <c r="K18" t="n">
        <v>1324</v>
      </c>
      <c r="L18" t="n">
        <v>8</v>
      </c>
      <c r="M18" t="n">
        <v>3</v>
      </c>
    </row>
    <row r="19">
      <c r="A19" t="inlineStr">
        <is>
          <t>Preah Sihanouk</t>
        </is>
      </c>
      <c r="B19" t="n">
        <v>71</v>
      </c>
      <c r="C19" t="n">
        <v>61</v>
      </c>
      <c r="D19" t="n">
        <v>29</v>
      </c>
      <c r="E19" t="n">
        <v>51</v>
      </c>
      <c r="F19" t="n">
        <v>40</v>
      </c>
      <c r="G19" t="n">
        <v>8</v>
      </c>
      <c r="H19" t="n">
        <v>35</v>
      </c>
      <c r="I19" t="n">
        <v>11</v>
      </c>
      <c r="J19" t="n">
        <v>30</v>
      </c>
      <c r="K19" t="n">
        <v>335</v>
      </c>
      <c r="L19" t="n">
        <v>3</v>
      </c>
      <c r="M19" t="n">
        <v>1</v>
      </c>
    </row>
    <row r="20">
      <c r="A20" t="inlineStr">
        <is>
          <t>Preah Vihear</t>
        </is>
      </c>
      <c r="B20" t="n">
        <v>122</v>
      </c>
      <c r="C20" t="n">
        <v>65</v>
      </c>
      <c r="D20" t="n">
        <v>68</v>
      </c>
      <c r="E20" t="n">
        <v>39</v>
      </c>
      <c r="F20" t="n">
        <v>171</v>
      </c>
      <c r="G20" t="n">
        <v>13</v>
      </c>
      <c r="H20" t="n">
        <v>25</v>
      </c>
      <c r="I20" t="n">
        <v>42</v>
      </c>
      <c r="J20" t="n">
        <v>46</v>
      </c>
      <c r="K20" t="n">
        <v>646</v>
      </c>
      <c r="L20" t="n">
        <v>17</v>
      </c>
      <c r="M20" t="n">
        <v>0</v>
      </c>
    </row>
    <row r="21">
      <c r="A21" t="inlineStr">
        <is>
          <t>Prey Veng</t>
        </is>
      </c>
      <c r="B21" t="n">
        <v>497</v>
      </c>
      <c r="C21" t="n">
        <v>362</v>
      </c>
      <c r="D21" t="n">
        <v>198</v>
      </c>
      <c r="E21" t="n">
        <v>96</v>
      </c>
      <c r="F21" t="n">
        <v>295</v>
      </c>
      <c r="G21" t="n">
        <v>43</v>
      </c>
      <c r="H21" t="n">
        <v>130</v>
      </c>
      <c r="I21" t="n">
        <v>133</v>
      </c>
      <c r="J21" t="n">
        <v>167</v>
      </c>
      <c r="K21" t="n">
        <v>2035</v>
      </c>
      <c r="L21" t="n">
        <v>18</v>
      </c>
      <c r="M21" t="n">
        <v>0</v>
      </c>
    </row>
    <row r="22">
      <c r="A22" t="inlineStr">
        <is>
          <t>Pursat</t>
        </is>
      </c>
      <c r="B22" t="n">
        <v>106</v>
      </c>
      <c r="C22" t="n">
        <v>117</v>
      </c>
      <c r="D22" t="n">
        <v>97</v>
      </c>
      <c r="E22" t="n">
        <v>37</v>
      </c>
      <c r="F22" t="n">
        <v>194</v>
      </c>
      <c r="G22" t="n">
        <v>6</v>
      </c>
      <c r="H22" t="n">
        <v>79</v>
      </c>
      <c r="I22" t="n">
        <v>58</v>
      </c>
      <c r="J22" t="n">
        <v>73</v>
      </c>
      <c r="K22" t="n">
        <v>806</v>
      </c>
      <c r="L22" t="n">
        <v>17</v>
      </c>
      <c r="M22" t="n">
        <v>0</v>
      </c>
    </row>
    <row r="23">
      <c r="A23" t="inlineStr">
        <is>
          <t>Ratanak Kiri</t>
        </is>
      </c>
      <c r="B23" t="n">
        <v>34</v>
      </c>
      <c r="C23" t="n">
        <v>40</v>
      </c>
      <c r="D23" t="n">
        <v>26</v>
      </c>
      <c r="E23" t="n">
        <v>14</v>
      </c>
      <c r="F23" t="n">
        <v>33</v>
      </c>
      <c r="G23" t="n">
        <v>11</v>
      </c>
      <c r="H23" t="n">
        <v>18</v>
      </c>
      <c r="I23" t="n">
        <v>16</v>
      </c>
      <c r="J23" t="n">
        <v>13</v>
      </c>
      <c r="K23" t="n">
        <v>269</v>
      </c>
      <c r="L23" t="n">
        <v>34</v>
      </c>
      <c r="M23" t="n">
        <v>0</v>
      </c>
    </row>
    <row r="24">
      <c r="A24" t="inlineStr">
        <is>
          <t>Siemreap</t>
        </is>
      </c>
      <c r="B24" t="n">
        <v>307</v>
      </c>
      <c r="C24" t="n">
        <v>392</v>
      </c>
      <c r="D24" t="n">
        <v>131</v>
      </c>
      <c r="E24" t="n">
        <v>59</v>
      </c>
      <c r="F24" t="n">
        <v>193</v>
      </c>
      <c r="G24" t="n">
        <v>16</v>
      </c>
      <c r="H24" t="n">
        <v>75</v>
      </c>
      <c r="I24" t="n">
        <v>119</v>
      </c>
      <c r="J24" t="n">
        <v>88</v>
      </c>
      <c r="K24" t="n">
        <v>1552</v>
      </c>
      <c r="L24" t="n">
        <v>66</v>
      </c>
      <c r="M24" t="n">
        <v>1</v>
      </c>
    </row>
    <row r="25">
      <c r="A25" t="inlineStr">
        <is>
          <t>Stung Treng</t>
        </is>
      </c>
      <c r="B25" t="n">
        <v>87</v>
      </c>
      <c r="C25" t="n">
        <v>33</v>
      </c>
      <c r="D25" t="n">
        <v>45</v>
      </c>
      <c r="E25" t="n">
        <v>19</v>
      </c>
      <c r="F25" t="n">
        <v>78</v>
      </c>
      <c r="G25" t="n">
        <v>10</v>
      </c>
      <c r="H25" t="n">
        <v>22</v>
      </c>
      <c r="I25" t="n">
        <v>34</v>
      </c>
      <c r="J25" t="n">
        <v>50</v>
      </c>
      <c r="K25" t="n">
        <v>381</v>
      </c>
      <c r="L25" t="n">
        <v>2</v>
      </c>
      <c r="M25" t="n">
        <v>0</v>
      </c>
    </row>
    <row r="26">
      <c r="A26" t="inlineStr">
        <is>
          <t>Svay Rieng</t>
        </is>
      </c>
      <c r="B26" t="n">
        <v>178</v>
      </c>
      <c r="C26" t="n">
        <v>182</v>
      </c>
      <c r="D26" t="n">
        <v>89</v>
      </c>
      <c r="E26" t="n">
        <v>63</v>
      </c>
      <c r="F26" t="n">
        <v>161</v>
      </c>
      <c r="G26" t="n">
        <v>27</v>
      </c>
      <c r="H26" t="n">
        <v>67</v>
      </c>
      <c r="I26" t="n">
        <v>86</v>
      </c>
      <c r="J26" t="n">
        <v>55</v>
      </c>
      <c r="K26" t="n">
        <v>1002</v>
      </c>
      <c r="L26" t="n">
        <v>15</v>
      </c>
      <c r="M26" t="n">
        <v>0</v>
      </c>
    </row>
    <row r="27">
      <c r="A27" t="inlineStr">
        <is>
          <t>Takeo</t>
        </is>
      </c>
      <c r="B27" t="n">
        <v>332</v>
      </c>
      <c r="C27" t="n">
        <v>322</v>
      </c>
      <c r="D27" t="n">
        <v>232</v>
      </c>
      <c r="E27" t="n">
        <v>53</v>
      </c>
      <c r="F27" t="n">
        <v>212</v>
      </c>
      <c r="G27" t="n">
        <v>63</v>
      </c>
      <c r="H27" t="n">
        <v>98</v>
      </c>
      <c r="I27" t="n">
        <v>103</v>
      </c>
      <c r="J27" t="n">
        <v>121</v>
      </c>
      <c r="K27" t="n">
        <v>1675</v>
      </c>
      <c r="L27" t="n">
        <v>2</v>
      </c>
      <c r="M27" t="n">
        <v>0</v>
      </c>
    </row>
    <row r="28">
      <c r="A28" t="inlineStr">
        <is>
          <t>Tbaung Khmum</t>
        </is>
      </c>
      <c r="B28" t="n">
        <v>206</v>
      </c>
      <c r="C28" t="n">
        <v>201</v>
      </c>
      <c r="D28" t="n">
        <v>92</v>
      </c>
      <c r="E28" t="n">
        <v>44</v>
      </c>
      <c r="F28" t="n">
        <v>189</v>
      </c>
      <c r="G28" t="n">
        <v>25</v>
      </c>
      <c r="H28" t="n">
        <v>61</v>
      </c>
      <c r="I28" t="n">
        <v>60</v>
      </c>
      <c r="J28" t="n">
        <v>82</v>
      </c>
      <c r="K28" t="n">
        <v>1016</v>
      </c>
      <c r="L28" t="n">
        <v>2</v>
      </c>
      <c r="M28" t="n">
        <v>1</v>
      </c>
    </row>
    <row r="29">
      <c r="A29" t="inlineStr">
        <is>
          <t>Whole Kingdom</t>
        </is>
      </c>
      <c r="B29" t="n">
        <v>4298</v>
      </c>
      <c r="C29" t="n">
        <v>4398</v>
      </c>
      <c r="D29" t="n">
        <v>2515</v>
      </c>
      <c r="E29" t="n">
        <v>1112</v>
      </c>
      <c r="F29" t="n">
        <v>3522</v>
      </c>
      <c r="G29" t="n">
        <v>559</v>
      </c>
      <c r="H29" t="n">
        <v>1558</v>
      </c>
      <c r="I29" t="n">
        <v>1728</v>
      </c>
      <c r="J29" t="n">
        <v>1520</v>
      </c>
      <c r="K29" t="n">
        <v>22739</v>
      </c>
      <c r="L29" t="n">
        <v>313</v>
      </c>
      <c r="M29" t="n">
        <v>6</v>
      </c>
    </row>
    <row r="30">
      <c r="A30" t="inlineStr">
        <is>
          <t>-  Urban Area</t>
        </is>
      </c>
      <c r="B30" t="n">
        <v>637</v>
      </c>
      <c r="C30" t="n">
        <v>756</v>
      </c>
      <c r="D30" t="n">
        <v>550</v>
      </c>
      <c r="E30" t="n">
        <v>268</v>
      </c>
      <c r="F30" t="n">
        <v>522</v>
      </c>
      <c r="G30" t="n">
        <v>210</v>
      </c>
      <c r="H30" t="n">
        <v>380</v>
      </c>
      <c r="I30" t="n">
        <v>486</v>
      </c>
      <c r="J30" t="n">
        <v>289</v>
      </c>
      <c r="K30" t="n">
        <v>4498</v>
      </c>
      <c r="L30" t="n">
        <v>35</v>
      </c>
      <c r="M30" t="n">
        <v>3</v>
      </c>
    </row>
    <row r="31">
      <c r="A31" t="inlineStr">
        <is>
          <t>-  Rural Area</t>
        </is>
      </c>
      <c r="B31" t="n">
        <v>3661</v>
      </c>
      <c r="C31" t="n">
        <v>3642</v>
      </c>
      <c r="D31" t="n">
        <v>1965</v>
      </c>
      <c r="E31" t="n">
        <v>844</v>
      </c>
      <c r="F31" t="n">
        <v>3000</v>
      </c>
      <c r="G31" t="n">
        <v>349</v>
      </c>
      <c r="H31" t="n">
        <v>1178</v>
      </c>
      <c r="I31" t="n">
        <v>1242</v>
      </c>
      <c r="J31" t="n">
        <v>1231</v>
      </c>
      <c r="K31" t="n">
        <v>18241</v>
      </c>
      <c r="L31" t="n">
        <v>278</v>
      </c>
      <c r="M31" t="n">
        <v>3</v>
      </c>
    </row>
  </sheetData>
  <mergeCells count="3">
    <mergeCell ref="B2:K2"/>
    <mergeCell ref="A2:A3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C000"/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6.7109375" customWidth="1" min="2" max="2"/>
    <col width="7.7109375" customWidth="1" min="3" max="3"/>
    <col width="7.28515625" customWidth="1" min="5" max="5"/>
    <col width="6.7109375" customWidth="1" min="6" max="6"/>
    <col width="5.42578125" customWidth="1" min="7" max="7"/>
    <col width="6.5703125" customWidth="1" min="8" max="8"/>
    <col width="6.7109375" customWidth="1" min="9" max="9"/>
    <col width="7.28515625" customWidth="1" min="11" max="11"/>
    <col width="5.42578125" customWidth="1" min="13" max="13"/>
    <col width="6.5703125" customWidth="1" min="14" max="14"/>
    <col width="6.42578125" customWidth="1" min="15" max="15"/>
    <col width="6.7109375" customWidth="1" min="16" max="16"/>
    <col width="7.28515625" customWidth="1" min="17" max="17"/>
    <col width="5.42578125" customWidth="1" min="19" max="19"/>
  </cols>
  <sheetData>
    <row r="1">
      <c r="A1" t="inlineStr">
        <is>
          <t>Table 19: School Staff by Education and Pedagogical Training</t>
        </is>
      </c>
    </row>
    <row r="2">
      <c r="A2" t="inlineStr">
        <is>
          <t>Province</t>
        </is>
      </c>
      <c r="B2" t="inlineStr">
        <is>
          <t>Education Level of Teaching Staff</t>
        </is>
      </c>
      <c r="H2" t="inlineStr">
        <is>
          <t>Education Level of Non-Teaching Staff</t>
        </is>
      </c>
      <c r="N2" t="inlineStr">
        <is>
          <t>Teaching Staff without Pedagogy Training</t>
        </is>
      </c>
    </row>
    <row r="3">
      <c r="B3" t="inlineStr">
        <is>
          <t>Primary</t>
        </is>
      </c>
      <c r="C3" t="inlineStr">
        <is>
          <t>L.Sec.</t>
        </is>
      </c>
      <c r="D3" t="inlineStr">
        <is>
          <t>U.Sec.</t>
        </is>
      </c>
      <c r="E3" t="inlineStr">
        <is>
          <t>Graduate</t>
        </is>
      </c>
      <c r="F3" t="inlineStr">
        <is>
          <t>Post
Gaduate</t>
        </is>
      </c>
      <c r="G3" t="inlineStr">
        <is>
          <t>PhD</t>
        </is>
      </c>
      <c r="H3" t="inlineStr">
        <is>
          <t>Primary</t>
        </is>
      </c>
      <c r="I3" t="inlineStr">
        <is>
          <t>L.Sec.</t>
        </is>
      </c>
      <c r="J3" t="inlineStr">
        <is>
          <t>U.Sec.</t>
        </is>
      </c>
      <c r="K3" t="inlineStr">
        <is>
          <t>Graduate</t>
        </is>
      </c>
      <c r="L3" t="inlineStr">
        <is>
          <t>Post
Graduate</t>
        </is>
      </c>
      <c r="M3" t="inlineStr">
        <is>
          <t>PhD</t>
        </is>
      </c>
      <c r="N3" t="inlineStr">
        <is>
          <t>Primary</t>
        </is>
      </c>
      <c r="O3" t="inlineStr">
        <is>
          <t>L.Sec.</t>
        </is>
      </c>
      <c r="P3" t="inlineStr">
        <is>
          <t>U.Sec.</t>
        </is>
      </c>
      <c r="Q3" t="inlineStr">
        <is>
          <t>Graduate</t>
        </is>
      </c>
      <c r="R3" t="inlineStr">
        <is>
          <t>Post
Graduate</t>
        </is>
      </c>
      <c r="S3" t="inlineStr">
        <is>
          <t>PhD</t>
        </is>
      </c>
    </row>
    <row r="4">
      <c r="A4" t="inlineStr">
        <is>
          <t>Banteay Meanchey</t>
        </is>
      </c>
      <c r="B4" t="n">
        <v>106</v>
      </c>
      <c r="C4" t="n">
        <v>797</v>
      </c>
      <c r="D4" t="n">
        <v>2217</v>
      </c>
      <c r="E4" t="n">
        <v>1553</v>
      </c>
      <c r="F4" t="n">
        <v>93</v>
      </c>
      <c r="G4" t="n">
        <v>0</v>
      </c>
      <c r="H4" t="n">
        <v>39</v>
      </c>
      <c r="I4" t="n">
        <v>180</v>
      </c>
      <c r="J4" t="n">
        <v>357</v>
      </c>
      <c r="K4" t="n">
        <v>310</v>
      </c>
      <c r="L4" t="n">
        <v>52</v>
      </c>
      <c r="M4" t="n">
        <v>0</v>
      </c>
      <c r="N4" t="n">
        <v>3</v>
      </c>
      <c r="O4" t="n">
        <v>9</v>
      </c>
      <c r="P4" t="n">
        <v>32</v>
      </c>
      <c r="Q4" t="n">
        <v>43</v>
      </c>
      <c r="R4" t="n">
        <v>1</v>
      </c>
      <c r="S4" t="n">
        <v>0</v>
      </c>
    </row>
    <row r="5">
      <c r="A5" t="inlineStr">
        <is>
          <t>Battambang</t>
        </is>
      </c>
      <c r="B5" t="n">
        <v>249</v>
      </c>
      <c r="C5" t="n">
        <v>913</v>
      </c>
      <c r="D5" t="n">
        <v>2704</v>
      </c>
      <c r="E5" t="n">
        <v>2942</v>
      </c>
      <c r="F5" t="n">
        <v>271</v>
      </c>
      <c r="G5" t="n">
        <v>20</v>
      </c>
      <c r="H5" t="n">
        <v>56</v>
      </c>
      <c r="I5" t="n">
        <v>242</v>
      </c>
      <c r="J5" t="n">
        <v>573</v>
      </c>
      <c r="K5" t="n">
        <v>726</v>
      </c>
      <c r="L5" t="n">
        <v>152</v>
      </c>
      <c r="M5" t="n">
        <v>9</v>
      </c>
      <c r="N5" t="n">
        <v>18</v>
      </c>
      <c r="O5" t="n">
        <v>26</v>
      </c>
      <c r="P5" t="n">
        <v>31</v>
      </c>
      <c r="Q5" t="n">
        <v>22</v>
      </c>
      <c r="R5" t="n">
        <v>3</v>
      </c>
      <c r="S5" t="n">
        <v>0</v>
      </c>
    </row>
    <row r="6">
      <c r="A6" t="inlineStr">
        <is>
          <t>Kampong Cham</t>
        </is>
      </c>
      <c r="B6" t="n">
        <v>175</v>
      </c>
      <c r="C6" t="n">
        <v>1385</v>
      </c>
      <c r="D6" t="n">
        <v>2441</v>
      </c>
      <c r="E6" t="n">
        <v>1728</v>
      </c>
      <c r="F6" t="n">
        <v>107</v>
      </c>
      <c r="G6" t="n">
        <v>4</v>
      </c>
      <c r="H6" t="n">
        <v>81</v>
      </c>
      <c r="I6" t="n">
        <v>506</v>
      </c>
      <c r="J6" t="n">
        <v>701</v>
      </c>
      <c r="K6" t="n">
        <v>423</v>
      </c>
      <c r="L6" t="n">
        <v>67</v>
      </c>
      <c r="M6" t="n">
        <v>1</v>
      </c>
      <c r="N6" t="n">
        <v>4</v>
      </c>
      <c r="O6" t="n">
        <v>23</v>
      </c>
      <c r="P6" t="n">
        <v>15</v>
      </c>
      <c r="Q6" t="n">
        <v>25</v>
      </c>
      <c r="R6" t="n">
        <v>9</v>
      </c>
      <c r="S6" t="n">
        <v>0</v>
      </c>
    </row>
    <row r="7">
      <c r="A7" t="inlineStr">
        <is>
          <t>Kampong Chhnang</t>
        </is>
      </c>
      <c r="B7" t="n">
        <v>54</v>
      </c>
      <c r="C7" t="n">
        <v>467</v>
      </c>
      <c r="D7" t="n">
        <v>1581</v>
      </c>
      <c r="E7" t="n">
        <v>1419</v>
      </c>
      <c r="F7" t="n">
        <v>64</v>
      </c>
      <c r="G7" t="n">
        <v>1</v>
      </c>
      <c r="H7" t="n">
        <v>10</v>
      </c>
      <c r="I7" t="n">
        <v>125</v>
      </c>
      <c r="J7" t="n">
        <v>274</v>
      </c>
      <c r="K7" t="n">
        <v>287</v>
      </c>
      <c r="L7" t="n">
        <v>44</v>
      </c>
      <c r="M7" t="n">
        <v>0</v>
      </c>
      <c r="N7" t="n">
        <v>0</v>
      </c>
      <c r="O7" t="n">
        <v>1</v>
      </c>
      <c r="P7" t="n">
        <v>27</v>
      </c>
      <c r="Q7" t="n">
        <v>32</v>
      </c>
      <c r="R7" t="n">
        <v>0</v>
      </c>
      <c r="S7" t="n">
        <v>0</v>
      </c>
    </row>
    <row r="8">
      <c r="A8" t="inlineStr">
        <is>
          <t>Kampong Speu</t>
        </is>
      </c>
      <c r="B8" t="n">
        <v>100</v>
      </c>
      <c r="C8" t="n">
        <v>846</v>
      </c>
      <c r="D8" t="n">
        <v>1772</v>
      </c>
      <c r="E8" t="n">
        <v>1494</v>
      </c>
      <c r="F8" t="n">
        <v>95</v>
      </c>
      <c r="G8" t="n">
        <v>1</v>
      </c>
      <c r="H8" t="n">
        <v>32</v>
      </c>
      <c r="I8" t="n">
        <v>181</v>
      </c>
      <c r="J8" t="n">
        <v>287</v>
      </c>
      <c r="K8" t="n">
        <v>311</v>
      </c>
      <c r="L8" t="n">
        <v>60</v>
      </c>
      <c r="M8" t="n">
        <v>0</v>
      </c>
      <c r="N8" t="n">
        <v>0</v>
      </c>
      <c r="O8" t="n">
        <v>12</v>
      </c>
      <c r="P8" t="n">
        <v>18</v>
      </c>
      <c r="Q8" t="n">
        <v>54</v>
      </c>
      <c r="R8" t="n">
        <v>5</v>
      </c>
      <c r="S8" t="n">
        <v>3</v>
      </c>
    </row>
    <row r="9">
      <c r="A9" t="inlineStr">
        <is>
          <t>Kampong Thom</t>
        </is>
      </c>
      <c r="B9" t="n">
        <v>129</v>
      </c>
      <c r="C9" t="n">
        <v>670</v>
      </c>
      <c r="D9" t="n">
        <v>1996</v>
      </c>
      <c r="E9" t="n">
        <v>1546</v>
      </c>
      <c r="F9" t="n">
        <v>122</v>
      </c>
      <c r="G9" t="n">
        <v>0</v>
      </c>
      <c r="H9" t="n">
        <v>29</v>
      </c>
      <c r="I9" t="n">
        <v>136</v>
      </c>
      <c r="J9" t="n">
        <v>285</v>
      </c>
      <c r="K9" t="n">
        <v>335</v>
      </c>
      <c r="L9" t="n">
        <v>43</v>
      </c>
      <c r="M9" t="n">
        <v>0</v>
      </c>
      <c r="N9" t="n">
        <v>0</v>
      </c>
      <c r="O9" t="n">
        <v>2</v>
      </c>
      <c r="P9" t="n">
        <v>13</v>
      </c>
      <c r="Q9" t="n">
        <v>29</v>
      </c>
      <c r="R9" t="n">
        <v>3</v>
      </c>
      <c r="S9" t="n">
        <v>0</v>
      </c>
    </row>
    <row r="10">
      <c r="A10" t="inlineStr">
        <is>
          <t>Kampot</t>
        </is>
      </c>
      <c r="B10" t="n">
        <v>83</v>
      </c>
      <c r="C10" t="n">
        <v>799</v>
      </c>
      <c r="D10" t="n">
        <v>2303</v>
      </c>
      <c r="E10" t="n">
        <v>1482</v>
      </c>
      <c r="F10" t="n">
        <v>73</v>
      </c>
      <c r="G10" t="n">
        <v>0</v>
      </c>
      <c r="H10" t="n">
        <v>30</v>
      </c>
      <c r="I10" t="n">
        <v>161</v>
      </c>
      <c r="J10" t="n">
        <v>448</v>
      </c>
      <c r="K10" t="n">
        <v>309</v>
      </c>
      <c r="L10" t="n">
        <v>50</v>
      </c>
      <c r="M10" t="n">
        <v>0</v>
      </c>
      <c r="N10" t="n">
        <v>1</v>
      </c>
      <c r="O10" t="n">
        <v>3</v>
      </c>
      <c r="P10" t="n">
        <v>17</v>
      </c>
      <c r="Q10" t="n">
        <v>20</v>
      </c>
      <c r="R10" t="n">
        <v>3</v>
      </c>
      <c r="S10" t="n">
        <v>0</v>
      </c>
    </row>
    <row r="11">
      <c r="A11" t="inlineStr">
        <is>
          <t>Kandal</t>
        </is>
      </c>
      <c r="B11" t="n">
        <v>274</v>
      </c>
      <c r="C11" t="n">
        <v>1343</v>
      </c>
      <c r="D11" t="n">
        <v>2870</v>
      </c>
      <c r="E11" t="n">
        <v>2611</v>
      </c>
      <c r="F11" t="n">
        <v>201</v>
      </c>
      <c r="G11" t="n">
        <v>0</v>
      </c>
      <c r="H11" t="n">
        <v>52</v>
      </c>
      <c r="I11" t="n">
        <v>318</v>
      </c>
      <c r="J11" t="n">
        <v>488</v>
      </c>
      <c r="K11" t="n">
        <v>548</v>
      </c>
      <c r="L11" t="n">
        <v>107</v>
      </c>
      <c r="M11" t="n">
        <v>3</v>
      </c>
      <c r="N11" t="n">
        <v>1</v>
      </c>
      <c r="O11" t="n">
        <v>5</v>
      </c>
      <c r="P11" t="n">
        <v>10</v>
      </c>
      <c r="Q11" t="n">
        <v>22</v>
      </c>
      <c r="R11" t="n">
        <v>2</v>
      </c>
      <c r="S11" t="n">
        <v>0</v>
      </c>
    </row>
    <row r="12">
      <c r="A12" t="inlineStr">
        <is>
          <t>Kep</t>
        </is>
      </c>
      <c r="B12" t="n">
        <v>0</v>
      </c>
      <c r="C12" t="n">
        <v>23</v>
      </c>
      <c r="D12" t="n">
        <v>266</v>
      </c>
      <c r="E12" t="n">
        <v>177</v>
      </c>
      <c r="F12" t="n">
        <v>10</v>
      </c>
      <c r="G12" t="n">
        <v>0</v>
      </c>
      <c r="H12" t="n">
        <v>1</v>
      </c>
      <c r="I12" t="n">
        <v>5</v>
      </c>
      <c r="J12" t="n">
        <v>43</v>
      </c>
      <c r="K12" t="n">
        <v>45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Koh Kong</t>
        </is>
      </c>
      <c r="B13" t="n">
        <v>13</v>
      </c>
      <c r="C13" t="n">
        <v>186</v>
      </c>
      <c r="D13" t="n">
        <v>783</v>
      </c>
      <c r="E13" t="n">
        <v>215</v>
      </c>
      <c r="F13" t="n">
        <v>2</v>
      </c>
      <c r="G13" t="n">
        <v>0</v>
      </c>
      <c r="H13" t="n">
        <v>0</v>
      </c>
      <c r="I13" t="n">
        <v>41</v>
      </c>
      <c r="J13" t="n">
        <v>96</v>
      </c>
      <c r="K13" t="n">
        <v>42</v>
      </c>
      <c r="L13" t="n">
        <v>7</v>
      </c>
      <c r="M13" t="n">
        <v>0</v>
      </c>
      <c r="N13" t="n">
        <v>0</v>
      </c>
      <c r="O13" t="n">
        <v>3</v>
      </c>
      <c r="P13" t="n">
        <v>17</v>
      </c>
      <c r="Q13" t="n">
        <v>10</v>
      </c>
      <c r="R13" t="n">
        <v>0</v>
      </c>
      <c r="S13" t="n">
        <v>0</v>
      </c>
    </row>
    <row r="14">
      <c r="A14" t="inlineStr">
        <is>
          <t>Kratie</t>
        </is>
      </c>
      <c r="B14" t="n">
        <v>36</v>
      </c>
      <c r="C14" t="n">
        <v>625</v>
      </c>
      <c r="D14" t="n">
        <v>1635</v>
      </c>
      <c r="E14" t="n">
        <v>376</v>
      </c>
      <c r="F14" t="n">
        <v>24</v>
      </c>
      <c r="G14" t="n">
        <v>0</v>
      </c>
      <c r="H14" t="n">
        <v>9</v>
      </c>
      <c r="I14" t="n">
        <v>119</v>
      </c>
      <c r="J14" t="n">
        <v>203</v>
      </c>
      <c r="K14" t="n">
        <v>60</v>
      </c>
      <c r="L14" t="n">
        <v>13</v>
      </c>
      <c r="M14" t="n">
        <v>0</v>
      </c>
      <c r="N14" t="n">
        <v>2</v>
      </c>
      <c r="O14" t="n">
        <v>1</v>
      </c>
      <c r="P14" t="n">
        <v>38</v>
      </c>
      <c r="Q14" t="n">
        <v>24</v>
      </c>
      <c r="R14" t="n">
        <v>3</v>
      </c>
      <c r="S14" t="n">
        <v>0</v>
      </c>
    </row>
    <row r="15">
      <c r="A15" t="inlineStr">
        <is>
          <t>Mondul Kiri</t>
        </is>
      </c>
      <c r="B15" t="n">
        <v>59</v>
      </c>
      <c r="C15" t="n">
        <v>210</v>
      </c>
      <c r="D15" t="n">
        <v>577</v>
      </c>
      <c r="E15" t="n">
        <v>87</v>
      </c>
      <c r="F15" t="n">
        <v>4</v>
      </c>
      <c r="G15" t="n">
        <v>0</v>
      </c>
      <c r="H15" t="n">
        <v>11</v>
      </c>
      <c r="I15" t="n">
        <v>9</v>
      </c>
      <c r="J15" t="n">
        <v>27</v>
      </c>
      <c r="K15" t="n">
        <v>16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Otdar Meanchey</t>
        </is>
      </c>
      <c r="B16" t="n">
        <v>111</v>
      </c>
      <c r="C16" t="n">
        <v>340</v>
      </c>
      <c r="D16" t="n">
        <v>903</v>
      </c>
      <c r="E16" t="n">
        <v>276</v>
      </c>
      <c r="F16" t="n">
        <v>11</v>
      </c>
      <c r="G16" t="n">
        <v>0</v>
      </c>
      <c r="H16" t="n">
        <v>30</v>
      </c>
      <c r="I16" t="n">
        <v>73</v>
      </c>
      <c r="J16" t="n">
        <v>187</v>
      </c>
      <c r="K16" t="n">
        <v>53</v>
      </c>
      <c r="L16" t="n">
        <v>6</v>
      </c>
      <c r="M16" t="n">
        <v>0</v>
      </c>
      <c r="N16" t="n">
        <v>5</v>
      </c>
      <c r="O16" t="n">
        <v>7</v>
      </c>
      <c r="P16" t="n">
        <v>7</v>
      </c>
      <c r="Q16" t="n">
        <v>7</v>
      </c>
      <c r="R16" t="n">
        <v>4</v>
      </c>
      <c r="S16" t="n">
        <v>0</v>
      </c>
    </row>
    <row r="17">
      <c r="A17" t="inlineStr">
        <is>
          <t>Pailin</t>
        </is>
      </c>
      <c r="B17" t="n">
        <v>12</v>
      </c>
      <c r="C17" t="n">
        <v>75</v>
      </c>
      <c r="D17" t="n">
        <v>366</v>
      </c>
      <c r="E17" t="n">
        <v>210</v>
      </c>
      <c r="F17" t="n">
        <v>6</v>
      </c>
      <c r="G17" t="n">
        <v>0</v>
      </c>
      <c r="H17" t="n">
        <v>1</v>
      </c>
      <c r="I17" t="n">
        <v>7</v>
      </c>
      <c r="J17" t="n">
        <v>44</v>
      </c>
      <c r="K17" t="n">
        <v>39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Phnom Penh</t>
        </is>
      </c>
      <c r="B18" t="n">
        <v>345</v>
      </c>
      <c r="C18" t="n">
        <v>1254</v>
      </c>
      <c r="D18" t="n">
        <v>3330</v>
      </c>
      <c r="E18" t="n">
        <v>3742</v>
      </c>
      <c r="F18" t="n">
        <v>563</v>
      </c>
      <c r="G18" t="n">
        <v>8</v>
      </c>
      <c r="H18" t="n">
        <v>53</v>
      </c>
      <c r="I18" t="n">
        <v>173</v>
      </c>
      <c r="J18" t="n">
        <v>349</v>
      </c>
      <c r="K18" t="n">
        <v>433</v>
      </c>
      <c r="L18" t="n">
        <v>159</v>
      </c>
      <c r="M18" t="n">
        <v>3</v>
      </c>
      <c r="N18" t="n">
        <v>11</v>
      </c>
      <c r="O18" t="n">
        <v>7</v>
      </c>
      <c r="P18" t="n">
        <v>18</v>
      </c>
      <c r="Q18" t="n">
        <v>13</v>
      </c>
      <c r="R18" t="n">
        <v>1</v>
      </c>
      <c r="S18" t="n">
        <v>0</v>
      </c>
    </row>
    <row r="19">
      <c r="A19" t="inlineStr">
        <is>
          <t>Preah Sihanouk</t>
        </is>
      </c>
      <c r="B19" t="n">
        <v>44</v>
      </c>
      <c r="C19" t="n">
        <v>179</v>
      </c>
      <c r="D19" t="n">
        <v>948</v>
      </c>
      <c r="E19" t="n">
        <v>449</v>
      </c>
      <c r="F19" t="n">
        <v>38</v>
      </c>
      <c r="G19" t="n">
        <v>0</v>
      </c>
      <c r="H19" t="n">
        <v>4</v>
      </c>
      <c r="I19" t="n">
        <v>21</v>
      </c>
      <c r="J19" t="n">
        <v>147</v>
      </c>
      <c r="K19" t="n">
        <v>89</v>
      </c>
      <c r="L19" t="n">
        <v>11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</row>
    <row r="20">
      <c r="A20" t="inlineStr">
        <is>
          <t>Preah Vihear</t>
        </is>
      </c>
      <c r="B20" t="n">
        <v>96</v>
      </c>
      <c r="C20" t="n">
        <v>312</v>
      </c>
      <c r="D20" t="n">
        <v>1353</v>
      </c>
      <c r="E20" t="n">
        <v>384</v>
      </c>
      <c r="F20" t="n">
        <v>33</v>
      </c>
      <c r="G20" t="n">
        <v>0</v>
      </c>
      <c r="H20" t="n">
        <v>41</v>
      </c>
      <c r="I20" t="n">
        <v>88</v>
      </c>
      <c r="J20" t="n">
        <v>136</v>
      </c>
      <c r="K20" t="n">
        <v>73</v>
      </c>
      <c r="L20" t="n">
        <v>11</v>
      </c>
      <c r="M20" t="n">
        <v>1</v>
      </c>
      <c r="N20" t="n">
        <v>0</v>
      </c>
      <c r="O20" t="n">
        <v>1</v>
      </c>
      <c r="P20" t="n">
        <v>3</v>
      </c>
      <c r="Q20" t="n">
        <v>2</v>
      </c>
      <c r="R20" t="n">
        <v>0</v>
      </c>
      <c r="S20" t="n">
        <v>0</v>
      </c>
    </row>
    <row r="21">
      <c r="A21" t="inlineStr">
        <is>
          <t>Prey Veng</t>
        </is>
      </c>
      <c r="B21" t="n">
        <v>252</v>
      </c>
      <c r="C21" t="n">
        <v>1338</v>
      </c>
      <c r="D21" t="n">
        <v>2028</v>
      </c>
      <c r="E21" t="n">
        <v>2138</v>
      </c>
      <c r="F21" t="n">
        <v>96</v>
      </c>
      <c r="G21" t="n">
        <v>1</v>
      </c>
      <c r="H21" t="n">
        <v>91</v>
      </c>
      <c r="I21" t="n">
        <v>513</v>
      </c>
      <c r="J21" t="n">
        <v>597</v>
      </c>
      <c r="K21" t="n">
        <v>649</v>
      </c>
      <c r="L21" t="n">
        <v>75</v>
      </c>
      <c r="M21" t="n">
        <v>2</v>
      </c>
      <c r="N21" t="n">
        <v>1</v>
      </c>
      <c r="O21" t="n">
        <v>6</v>
      </c>
      <c r="P21" t="n">
        <v>24</v>
      </c>
      <c r="Q21" t="n">
        <v>24</v>
      </c>
      <c r="R21" t="n">
        <v>2</v>
      </c>
      <c r="S21" t="n">
        <v>0</v>
      </c>
    </row>
    <row r="22">
      <c r="A22" t="inlineStr">
        <is>
          <t>Pursat</t>
        </is>
      </c>
      <c r="B22" t="n">
        <v>62</v>
      </c>
      <c r="C22" t="n">
        <v>632</v>
      </c>
      <c r="D22" t="n">
        <v>1608</v>
      </c>
      <c r="E22" t="n">
        <v>782</v>
      </c>
      <c r="F22" t="n">
        <v>55</v>
      </c>
      <c r="G22" t="n">
        <v>1</v>
      </c>
      <c r="H22" t="n">
        <v>15</v>
      </c>
      <c r="I22" t="n">
        <v>206</v>
      </c>
      <c r="J22" t="n">
        <v>323</v>
      </c>
      <c r="K22" t="n">
        <v>150</v>
      </c>
      <c r="L22" t="n">
        <v>41</v>
      </c>
      <c r="M22" t="n">
        <v>0</v>
      </c>
      <c r="N22" t="n">
        <v>0</v>
      </c>
      <c r="O22" t="n">
        <v>3</v>
      </c>
      <c r="P22" t="n">
        <v>4</v>
      </c>
      <c r="Q22" t="n">
        <v>2</v>
      </c>
      <c r="R22" t="n">
        <v>0</v>
      </c>
      <c r="S22" t="n">
        <v>0</v>
      </c>
    </row>
    <row r="23">
      <c r="A23" t="inlineStr">
        <is>
          <t>Ratanak Kiri</t>
        </is>
      </c>
      <c r="B23" t="n">
        <v>69</v>
      </c>
      <c r="C23" t="n">
        <v>320</v>
      </c>
      <c r="D23" t="n">
        <v>774</v>
      </c>
      <c r="E23" t="n">
        <v>259</v>
      </c>
      <c r="F23" t="n">
        <v>8</v>
      </c>
      <c r="G23" t="n">
        <v>0</v>
      </c>
      <c r="H23" t="n">
        <v>16</v>
      </c>
      <c r="I23" t="n">
        <v>32</v>
      </c>
      <c r="J23" t="n">
        <v>51</v>
      </c>
      <c r="K23" t="n">
        <v>38</v>
      </c>
      <c r="L23" t="n">
        <v>5</v>
      </c>
      <c r="M23" t="n">
        <v>0</v>
      </c>
      <c r="N23" t="n">
        <v>1</v>
      </c>
      <c r="O23" t="n">
        <v>2</v>
      </c>
      <c r="P23" t="n">
        <v>16</v>
      </c>
      <c r="Q23" t="n">
        <v>6</v>
      </c>
      <c r="R23" t="n">
        <v>0</v>
      </c>
      <c r="S23" t="n">
        <v>0</v>
      </c>
    </row>
    <row r="24">
      <c r="A24" t="inlineStr">
        <is>
          <t>Siemreap</t>
        </is>
      </c>
      <c r="B24" t="n">
        <v>180</v>
      </c>
      <c r="C24" t="n">
        <v>737</v>
      </c>
      <c r="D24" t="n">
        <v>3136</v>
      </c>
      <c r="E24" t="n">
        <v>1736</v>
      </c>
      <c r="F24" t="n">
        <v>153</v>
      </c>
      <c r="G24" t="n">
        <v>1</v>
      </c>
      <c r="H24" t="n">
        <v>69</v>
      </c>
      <c r="I24" t="n">
        <v>255</v>
      </c>
      <c r="J24" t="n">
        <v>904</v>
      </c>
      <c r="K24" t="n">
        <v>445</v>
      </c>
      <c r="L24" t="n">
        <v>84</v>
      </c>
      <c r="M24" t="n">
        <v>1</v>
      </c>
      <c r="N24" t="n">
        <v>2</v>
      </c>
      <c r="O24" t="n">
        <v>9</v>
      </c>
      <c r="P24" t="n">
        <v>24</v>
      </c>
      <c r="Q24" t="n">
        <v>62</v>
      </c>
      <c r="R24" t="n">
        <v>14</v>
      </c>
      <c r="S24" t="n">
        <v>0</v>
      </c>
    </row>
    <row r="25">
      <c r="A25" t="inlineStr">
        <is>
          <t>Stung Treng</t>
        </is>
      </c>
      <c r="B25" t="n">
        <v>62</v>
      </c>
      <c r="C25" t="n">
        <v>276</v>
      </c>
      <c r="D25" t="n">
        <v>901</v>
      </c>
      <c r="E25" t="n">
        <v>173</v>
      </c>
      <c r="F25" t="n">
        <v>4</v>
      </c>
      <c r="G25" t="n">
        <v>0</v>
      </c>
      <c r="H25" t="n">
        <v>11</v>
      </c>
      <c r="I25" t="n">
        <v>47</v>
      </c>
      <c r="J25" t="n">
        <v>96</v>
      </c>
      <c r="K25" t="n">
        <v>35</v>
      </c>
      <c r="L25" t="n">
        <v>5</v>
      </c>
      <c r="M25" t="n">
        <v>0</v>
      </c>
      <c r="N25" t="n">
        <v>0</v>
      </c>
      <c r="O25" t="n">
        <v>10</v>
      </c>
      <c r="P25" t="n">
        <v>34</v>
      </c>
      <c r="Q25" t="n">
        <v>5</v>
      </c>
      <c r="R25" t="n">
        <v>0</v>
      </c>
      <c r="S25" t="n">
        <v>0</v>
      </c>
    </row>
    <row r="26">
      <c r="A26" t="inlineStr">
        <is>
          <t>Svay Rieng</t>
        </is>
      </c>
      <c r="B26" t="n">
        <v>54</v>
      </c>
      <c r="C26" t="n">
        <v>479</v>
      </c>
      <c r="D26" t="n">
        <v>1865</v>
      </c>
      <c r="E26" t="n">
        <v>1290</v>
      </c>
      <c r="F26" t="n">
        <v>59</v>
      </c>
      <c r="G26" t="n">
        <v>0</v>
      </c>
      <c r="H26" t="n">
        <v>28</v>
      </c>
      <c r="I26" t="n">
        <v>157</v>
      </c>
      <c r="J26" t="n">
        <v>484</v>
      </c>
      <c r="K26" t="n">
        <v>283</v>
      </c>
      <c r="L26" t="n">
        <v>19</v>
      </c>
      <c r="M26" t="n">
        <v>0</v>
      </c>
      <c r="N26" t="n">
        <v>3</v>
      </c>
      <c r="O26" t="n">
        <v>4</v>
      </c>
      <c r="P26" t="n">
        <v>22</v>
      </c>
      <c r="Q26" t="n">
        <v>30</v>
      </c>
      <c r="R26" t="n">
        <v>0</v>
      </c>
      <c r="S26" t="n">
        <v>0</v>
      </c>
    </row>
    <row r="27">
      <c r="A27" t="inlineStr">
        <is>
          <t>Takeo</t>
        </is>
      </c>
      <c r="B27" t="n">
        <v>122</v>
      </c>
      <c r="C27" t="n">
        <v>802</v>
      </c>
      <c r="D27" t="n">
        <v>3039</v>
      </c>
      <c r="E27" t="n">
        <v>2392</v>
      </c>
      <c r="F27" t="n">
        <v>130</v>
      </c>
      <c r="G27" t="n">
        <v>1</v>
      </c>
      <c r="H27" t="n">
        <v>32</v>
      </c>
      <c r="I27" t="n">
        <v>270</v>
      </c>
      <c r="J27" t="n">
        <v>863</v>
      </c>
      <c r="K27" t="n">
        <v>555</v>
      </c>
      <c r="L27" t="n">
        <v>51</v>
      </c>
      <c r="M27" t="n">
        <v>0</v>
      </c>
      <c r="N27" t="n">
        <v>3</v>
      </c>
      <c r="O27" t="n">
        <v>2</v>
      </c>
      <c r="P27" t="n">
        <v>27</v>
      </c>
      <c r="Q27" t="n">
        <v>21</v>
      </c>
      <c r="R27" t="n">
        <v>6</v>
      </c>
      <c r="S27" t="n">
        <v>0</v>
      </c>
    </row>
    <row r="28">
      <c r="A28" t="inlineStr">
        <is>
          <t>Tbaung Khmum</t>
        </is>
      </c>
      <c r="B28" t="n">
        <v>109</v>
      </c>
      <c r="C28" t="n">
        <v>586</v>
      </c>
      <c r="D28" t="n">
        <v>2039</v>
      </c>
      <c r="E28" t="n">
        <v>1107</v>
      </c>
      <c r="F28" t="n">
        <v>64</v>
      </c>
      <c r="G28" t="n">
        <v>0</v>
      </c>
      <c r="H28" t="n">
        <v>42</v>
      </c>
      <c r="I28" t="n">
        <v>181</v>
      </c>
      <c r="J28" t="n">
        <v>417</v>
      </c>
      <c r="K28" t="n">
        <v>231</v>
      </c>
      <c r="L28" t="n">
        <v>43</v>
      </c>
      <c r="M28" t="n">
        <v>0</v>
      </c>
      <c r="N28" t="n">
        <v>2</v>
      </c>
      <c r="O28" t="n">
        <v>37</v>
      </c>
      <c r="P28" t="n">
        <v>56</v>
      </c>
      <c r="Q28" t="n">
        <v>48</v>
      </c>
      <c r="R28" t="n">
        <v>0</v>
      </c>
      <c r="S28" t="n">
        <v>0</v>
      </c>
    </row>
    <row r="29">
      <c r="A29" t="inlineStr">
        <is>
          <t>Whole Kingdom</t>
        </is>
      </c>
      <c r="B29" t="n">
        <v>2796</v>
      </c>
      <c r="C29" t="n">
        <v>15594</v>
      </c>
      <c r="D29" t="n">
        <v>43435</v>
      </c>
      <c r="E29" t="n">
        <v>30568</v>
      </c>
      <c r="F29" t="n">
        <v>2286</v>
      </c>
      <c r="G29" t="n">
        <v>38</v>
      </c>
      <c r="H29" t="n">
        <v>783</v>
      </c>
      <c r="I29" t="n">
        <v>4046</v>
      </c>
      <c r="J29" t="n">
        <v>8380</v>
      </c>
      <c r="K29" t="n">
        <v>6485</v>
      </c>
      <c r="L29" t="n">
        <v>1117</v>
      </c>
      <c r="M29" t="n">
        <v>20</v>
      </c>
      <c r="N29" t="n">
        <v>57</v>
      </c>
      <c r="O29" t="n">
        <v>174</v>
      </c>
      <c r="P29" t="n">
        <v>454</v>
      </c>
      <c r="Q29" t="n">
        <v>504</v>
      </c>
      <c r="R29" t="n">
        <v>56</v>
      </c>
      <c r="S29" t="n">
        <v>3</v>
      </c>
    </row>
    <row r="30">
      <c r="A30" t="inlineStr">
        <is>
          <t>-  Urban Area</t>
        </is>
      </c>
      <c r="B30" t="n">
        <v>631</v>
      </c>
      <c r="C30" t="n">
        <v>3098</v>
      </c>
      <c r="D30" t="n">
        <v>9077</v>
      </c>
      <c r="E30" t="n">
        <v>8698</v>
      </c>
      <c r="F30" t="n">
        <v>1108</v>
      </c>
      <c r="G30" t="n">
        <v>15</v>
      </c>
      <c r="H30" t="n">
        <v>145</v>
      </c>
      <c r="I30" t="n">
        <v>598</v>
      </c>
      <c r="J30" t="n">
        <v>1362</v>
      </c>
      <c r="K30" t="n">
        <v>1301</v>
      </c>
      <c r="L30" t="n">
        <v>362</v>
      </c>
      <c r="M30" t="n">
        <v>9</v>
      </c>
      <c r="N30" t="n">
        <v>16</v>
      </c>
      <c r="O30" t="n">
        <v>19</v>
      </c>
      <c r="P30" t="n">
        <v>44</v>
      </c>
      <c r="Q30" t="n">
        <v>27</v>
      </c>
      <c r="R30" t="n">
        <v>5</v>
      </c>
      <c r="S30" t="n">
        <v>0</v>
      </c>
    </row>
    <row r="31">
      <c r="A31" t="inlineStr">
        <is>
          <t>-  Rural Area</t>
        </is>
      </c>
      <c r="B31" t="n">
        <v>2165</v>
      </c>
      <c r="C31" t="n">
        <v>12496</v>
      </c>
      <c r="D31" t="n">
        <v>34358</v>
      </c>
      <c r="E31" t="n">
        <v>21870</v>
      </c>
      <c r="F31" t="n">
        <v>1178</v>
      </c>
      <c r="G31" t="n">
        <v>23</v>
      </c>
      <c r="H31" t="n">
        <v>638</v>
      </c>
      <c r="I31" t="n">
        <v>3448</v>
      </c>
      <c r="J31" t="n">
        <v>7018</v>
      </c>
      <c r="K31" t="n">
        <v>5184</v>
      </c>
      <c r="L31" t="n">
        <v>755</v>
      </c>
      <c r="M31" t="n">
        <v>11</v>
      </c>
      <c r="N31" t="n">
        <v>41</v>
      </c>
      <c r="O31" t="n">
        <v>155</v>
      </c>
      <c r="P31" t="n">
        <v>410</v>
      </c>
      <c r="Q31" t="n">
        <v>477</v>
      </c>
      <c r="R31" t="n">
        <v>51</v>
      </c>
      <c r="S31" t="n">
        <v>3</v>
      </c>
    </row>
  </sheetData>
  <mergeCells count="5">
    <mergeCell ref="A1:T1"/>
    <mergeCell ref="B2:G2"/>
    <mergeCell ref="N2:S2"/>
    <mergeCell ref="A2:A3"/>
    <mergeCell ref="H2:M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6.5703125" customWidth="1" min="2" max="2"/>
    <col width="6.7109375" customWidth="1" min="3" max="3"/>
    <col width="7.28515625" customWidth="1" min="5" max="5"/>
    <col width="5.42578125" customWidth="1" min="7" max="7"/>
    <col width="6.5703125" customWidth="1" min="8" max="8"/>
    <col width="6.7109375" customWidth="1" min="9" max="9"/>
    <col width="7.28515625" customWidth="1" min="11" max="11"/>
    <col width="5.42578125" customWidth="1" min="13" max="13"/>
    <col width="6.5703125" customWidth="1" min="14" max="14"/>
    <col width="5.5703125" customWidth="1" min="15" max="15"/>
    <col width="7.7109375" customWidth="1" min="16" max="16"/>
    <col width="7.28515625" customWidth="1" min="17" max="17"/>
    <col width="6.7109375" customWidth="1" min="18" max="18"/>
    <col width="5.42578125" customWidth="1" min="19" max="19"/>
    <col width="8.42578125" customWidth="1" min="20" max="20"/>
  </cols>
  <sheetData>
    <row r="1">
      <c r="A1" t="inlineStr">
        <is>
          <t>Table 21: Teaching Staff and Pedagogical Trainning</t>
        </is>
      </c>
    </row>
    <row r="2">
      <c r="A2" t="inlineStr">
        <is>
          <t>Province</t>
        </is>
      </c>
      <c r="B2" t="inlineStr">
        <is>
          <t>Preschool Level</t>
        </is>
      </c>
      <c r="H2" t="inlineStr">
        <is>
          <t>Primary Level</t>
        </is>
      </c>
      <c r="N2" t="inlineStr">
        <is>
          <t>Secondary Level</t>
        </is>
      </c>
      <c r="T2" t="inlineStr">
        <is>
          <t>w/o Pedag.</t>
        </is>
      </c>
    </row>
    <row r="3">
      <c r="B3" t="inlineStr">
        <is>
          <t>Primary</t>
        </is>
      </c>
      <c r="C3" t="inlineStr">
        <is>
          <t>L.Sec.</t>
        </is>
      </c>
      <c r="D3" t="inlineStr">
        <is>
          <t>U.Sec.</t>
        </is>
      </c>
      <c r="E3" t="inlineStr">
        <is>
          <t>Graduate</t>
        </is>
      </c>
      <c r="F3" t="inlineStr">
        <is>
          <t>Post
Graduate</t>
        </is>
      </c>
      <c r="G3" t="inlineStr">
        <is>
          <t>PhD</t>
        </is>
      </c>
      <c r="H3" t="inlineStr">
        <is>
          <t>Primary</t>
        </is>
      </c>
      <c r="I3" t="inlineStr">
        <is>
          <t>L.Sec.</t>
        </is>
      </c>
      <c r="J3" t="inlineStr">
        <is>
          <t>U.Sec.</t>
        </is>
      </c>
      <c r="K3" t="inlineStr">
        <is>
          <t>Graduate</t>
        </is>
      </c>
      <c r="L3" t="inlineStr">
        <is>
          <t>Post
Graduate</t>
        </is>
      </c>
      <c r="M3" t="inlineStr">
        <is>
          <t>PhD</t>
        </is>
      </c>
      <c r="N3" t="inlineStr">
        <is>
          <t>Primary</t>
        </is>
      </c>
      <c r="O3" t="inlineStr">
        <is>
          <t>L.Sec.</t>
        </is>
      </c>
      <c r="P3" t="inlineStr">
        <is>
          <t>U.Sec.</t>
        </is>
      </c>
      <c r="Q3" t="inlineStr">
        <is>
          <t>Graduate</t>
        </is>
      </c>
      <c r="R3" t="inlineStr">
        <is>
          <t>Post
Graduat</t>
        </is>
      </c>
      <c r="S3" t="inlineStr">
        <is>
          <t>PhD</t>
        </is>
      </c>
      <c r="T3" t="inlineStr">
        <is>
          <t>Training</t>
        </is>
      </c>
    </row>
    <row r="4">
      <c r="A4" t="inlineStr">
        <is>
          <t>Banteay Meanchey</t>
        </is>
      </c>
      <c r="B4" t="n">
        <v>0</v>
      </c>
      <c r="C4" t="n">
        <v>22</v>
      </c>
      <c r="D4" t="n">
        <v>54</v>
      </c>
      <c r="E4" t="n">
        <v>15</v>
      </c>
      <c r="F4" t="n">
        <v>0</v>
      </c>
      <c r="G4" t="n">
        <v>0</v>
      </c>
      <c r="H4" t="n">
        <v>63</v>
      </c>
      <c r="I4" t="n">
        <v>639</v>
      </c>
      <c r="J4" t="n">
        <v>1531</v>
      </c>
      <c r="K4" t="n">
        <v>558</v>
      </c>
      <c r="L4" t="n">
        <v>24</v>
      </c>
      <c r="M4" t="n">
        <v>0</v>
      </c>
      <c r="N4" t="n">
        <v>43</v>
      </c>
      <c r="O4" t="n">
        <v>136</v>
      </c>
      <c r="P4" t="n">
        <v>632</v>
      </c>
      <c r="Q4" t="n">
        <v>980</v>
      </c>
      <c r="R4" t="n">
        <v>69</v>
      </c>
      <c r="S4" t="n">
        <v>0</v>
      </c>
      <c r="T4" t="n">
        <v>87</v>
      </c>
    </row>
    <row r="5">
      <c r="A5" t="inlineStr">
        <is>
          <t>Battambang</t>
        </is>
      </c>
      <c r="B5" t="n">
        <v>17</v>
      </c>
      <c r="C5" t="n">
        <v>108</v>
      </c>
      <c r="D5" t="n">
        <v>276</v>
      </c>
      <c r="E5" t="n">
        <v>190</v>
      </c>
      <c r="F5" t="n">
        <v>13</v>
      </c>
      <c r="G5" t="n">
        <v>2</v>
      </c>
      <c r="H5" t="n">
        <v>109</v>
      </c>
      <c r="I5" t="n">
        <v>591</v>
      </c>
      <c r="J5" t="n">
        <v>1635</v>
      </c>
      <c r="K5" t="n">
        <v>1290</v>
      </c>
      <c r="L5" t="n">
        <v>94</v>
      </c>
      <c r="M5" t="n">
        <v>4</v>
      </c>
      <c r="N5" t="n">
        <v>123</v>
      </c>
      <c r="O5" t="n">
        <v>214</v>
      </c>
      <c r="P5" t="n">
        <v>793</v>
      </c>
      <c r="Q5" t="n">
        <v>1462</v>
      </c>
      <c r="R5" t="n">
        <v>164</v>
      </c>
      <c r="S5" t="n">
        <v>14</v>
      </c>
      <c r="T5" t="n">
        <v>97</v>
      </c>
    </row>
    <row r="6">
      <c r="A6" t="inlineStr">
        <is>
          <t>Kampong Cham</t>
        </is>
      </c>
      <c r="B6" t="n">
        <v>20</v>
      </c>
      <c r="C6" t="n">
        <v>90</v>
      </c>
      <c r="D6" t="n">
        <v>163</v>
      </c>
      <c r="E6" t="n">
        <v>60</v>
      </c>
      <c r="F6" t="n">
        <v>2</v>
      </c>
      <c r="G6" t="n">
        <v>0</v>
      </c>
      <c r="H6" t="n">
        <v>92</v>
      </c>
      <c r="I6" t="n">
        <v>768</v>
      </c>
      <c r="J6" t="n">
        <v>1189</v>
      </c>
      <c r="K6" t="n">
        <v>480</v>
      </c>
      <c r="L6" t="n">
        <v>12</v>
      </c>
      <c r="M6" t="n">
        <v>4</v>
      </c>
      <c r="N6" t="n">
        <v>63</v>
      </c>
      <c r="O6" t="n">
        <v>527</v>
      </c>
      <c r="P6" t="n">
        <v>1089</v>
      </c>
      <c r="Q6" t="n">
        <v>1188</v>
      </c>
      <c r="R6" t="n">
        <v>93</v>
      </c>
      <c r="S6" t="n">
        <v>0</v>
      </c>
      <c r="T6" t="n">
        <v>67</v>
      </c>
    </row>
    <row r="7">
      <c r="A7" t="inlineStr">
        <is>
          <t>Kampong Chhnang</t>
        </is>
      </c>
      <c r="B7" t="n">
        <v>4</v>
      </c>
      <c r="C7" t="n">
        <v>59</v>
      </c>
      <c r="D7" t="n">
        <v>89</v>
      </c>
      <c r="E7" t="n">
        <v>22</v>
      </c>
      <c r="F7" t="n">
        <v>1</v>
      </c>
      <c r="G7" t="n">
        <v>0</v>
      </c>
      <c r="H7" t="n">
        <v>49</v>
      </c>
      <c r="I7" t="n">
        <v>255</v>
      </c>
      <c r="J7" t="n">
        <v>999</v>
      </c>
      <c r="K7" t="n">
        <v>461</v>
      </c>
      <c r="L7" t="n">
        <v>12</v>
      </c>
      <c r="M7" t="n">
        <v>0</v>
      </c>
      <c r="N7" t="n">
        <v>1</v>
      </c>
      <c r="O7" t="n">
        <v>153</v>
      </c>
      <c r="P7" t="n">
        <v>493</v>
      </c>
      <c r="Q7" t="n">
        <v>936</v>
      </c>
      <c r="R7" t="n">
        <v>51</v>
      </c>
      <c r="S7" t="n">
        <v>1</v>
      </c>
      <c r="T7" t="n">
        <v>60</v>
      </c>
    </row>
    <row r="8">
      <c r="A8" t="inlineStr">
        <is>
          <t>Kampong Speu</t>
        </is>
      </c>
      <c r="B8" t="n">
        <v>9</v>
      </c>
      <c r="C8" t="n">
        <v>73</v>
      </c>
      <c r="D8" t="n">
        <v>122</v>
      </c>
      <c r="E8" t="n">
        <v>30</v>
      </c>
      <c r="F8" t="n">
        <v>1</v>
      </c>
      <c r="G8" t="n">
        <v>0</v>
      </c>
      <c r="H8" t="n">
        <v>52</v>
      </c>
      <c r="I8" t="n">
        <v>515</v>
      </c>
      <c r="J8" t="n">
        <v>1121</v>
      </c>
      <c r="K8" t="n">
        <v>416</v>
      </c>
      <c r="L8" t="n">
        <v>20</v>
      </c>
      <c r="M8" t="n">
        <v>0</v>
      </c>
      <c r="N8" t="n">
        <v>39</v>
      </c>
      <c r="O8" t="n">
        <v>258</v>
      </c>
      <c r="P8" t="n">
        <v>529</v>
      </c>
      <c r="Q8" t="n">
        <v>1048</v>
      </c>
      <c r="R8" t="n">
        <v>74</v>
      </c>
      <c r="S8" t="n">
        <v>1</v>
      </c>
      <c r="T8" t="n">
        <v>87</v>
      </c>
    </row>
    <row r="9">
      <c r="A9" t="inlineStr">
        <is>
          <t>Kampong Thom</t>
        </is>
      </c>
      <c r="B9" t="n">
        <v>13</v>
      </c>
      <c r="C9" t="n">
        <v>49</v>
      </c>
      <c r="D9" t="n">
        <v>178</v>
      </c>
      <c r="E9" t="n">
        <v>34</v>
      </c>
      <c r="F9" t="n">
        <v>0</v>
      </c>
      <c r="G9" t="n">
        <v>0</v>
      </c>
      <c r="H9" t="n">
        <v>94</v>
      </c>
      <c r="I9" t="n">
        <v>434</v>
      </c>
      <c r="J9" t="n">
        <v>1261</v>
      </c>
      <c r="K9" t="n">
        <v>614</v>
      </c>
      <c r="L9" t="n">
        <v>22</v>
      </c>
      <c r="M9" t="n">
        <v>0</v>
      </c>
      <c r="N9" t="n">
        <v>22</v>
      </c>
      <c r="O9" t="n">
        <v>187</v>
      </c>
      <c r="P9" t="n">
        <v>557</v>
      </c>
      <c r="Q9" t="n">
        <v>898</v>
      </c>
      <c r="R9" t="n">
        <v>100</v>
      </c>
      <c r="S9" t="n">
        <v>0</v>
      </c>
      <c r="T9" t="n">
        <v>44</v>
      </c>
    </row>
    <row r="10">
      <c r="A10" t="inlineStr">
        <is>
          <t>Kampot</t>
        </is>
      </c>
      <c r="B10" t="n">
        <v>12</v>
      </c>
      <c r="C10" t="n">
        <v>57</v>
      </c>
      <c r="D10" t="n">
        <v>175</v>
      </c>
      <c r="E10" t="n">
        <v>22</v>
      </c>
      <c r="F10" t="n">
        <v>0</v>
      </c>
      <c r="G10" t="n">
        <v>0</v>
      </c>
      <c r="H10" t="n">
        <v>39</v>
      </c>
      <c r="I10" t="n">
        <v>400</v>
      </c>
      <c r="J10" t="n">
        <v>1275</v>
      </c>
      <c r="K10" t="n">
        <v>510</v>
      </c>
      <c r="L10" t="n">
        <v>8</v>
      </c>
      <c r="M10" t="n">
        <v>0</v>
      </c>
      <c r="N10" t="n">
        <v>32</v>
      </c>
      <c r="O10" t="n">
        <v>342</v>
      </c>
      <c r="P10" t="n">
        <v>853</v>
      </c>
      <c r="Q10" t="n">
        <v>950</v>
      </c>
      <c r="R10" t="n">
        <v>65</v>
      </c>
      <c r="S10" t="n">
        <v>0</v>
      </c>
      <c r="T10" t="n">
        <v>41</v>
      </c>
    </row>
    <row r="11">
      <c r="A11" t="inlineStr">
        <is>
          <t>Kandal</t>
        </is>
      </c>
      <c r="B11" t="n">
        <v>26</v>
      </c>
      <c r="C11" t="n">
        <v>186</v>
      </c>
      <c r="D11" t="n">
        <v>231</v>
      </c>
      <c r="E11" t="n">
        <v>63</v>
      </c>
      <c r="F11" t="n">
        <v>1</v>
      </c>
      <c r="G11" t="n">
        <v>0</v>
      </c>
      <c r="H11" t="n">
        <v>69</v>
      </c>
      <c r="I11" t="n">
        <v>702</v>
      </c>
      <c r="J11" t="n">
        <v>1246</v>
      </c>
      <c r="K11" t="n">
        <v>387</v>
      </c>
      <c r="L11" t="n">
        <v>21</v>
      </c>
      <c r="M11" t="n">
        <v>0</v>
      </c>
      <c r="N11" t="n">
        <v>179</v>
      </c>
      <c r="O11" t="n">
        <v>455</v>
      </c>
      <c r="P11" t="n">
        <v>1393</v>
      </c>
      <c r="Q11" t="n">
        <v>2161</v>
      </c>
      <c r="R11" t="n">
        <v>179</v>
      </c>
      <c r="S11" t="n">
        <v>0</v>
      </c>
      <c r="T11" t="n">
        <v>38</v>
      </c>
    </row>
    <row r="12">
      <c r="A12" t="inlineStr">
        <is>
          <t>Kep</t>
        </is>
      </c>
      <c r="B12" t="n">
        <v>0</v>
      </c>
      <c r="C12" t="n">
        <v>7</v>
      </c>
      <c r="D12" t="n">
        <v>28</v>
      </c>
      <c r="E12" t="n">
        <v>3</v>
      </c>
      <c r="F12" t="n">
        <v>0</v>
      </c>
      <c r="G12" t="n">
        <v>0</v>
      </c>
      <c r="H12" t="n">
        <v>0</v>
      </c>
      <c r="I12" t="n">
        <v>10</v>
      </c>
      <c r="J12" t="n">
        <v>130</v>
      </c>
      <c r="K12" t="n">
        <v>58</v>
      </c>
      <c r="L12" t="n">
        <v>1</v>
      </c>
      <c r="M12" t="n">
        <v>0</v>
      </c>
      <c r="N12" t="n">
        <v>0</v>
      </c>
      <c r="O12" t="n">
        <v>6</v>
      </c>
      <c r="P12" t="n">
        <v>108</v>
      </c>
      <c r="Q12" t="n">
        <v>116</v>
      </c>
      <c r="R12" t="n">
        <v>9</v>
      </c>
      <c r="S12" t="n">
        <v>0</v>
      </c>
      <c r="T12" t="n">
        <v>1</v>
      </c>
    </row>
    <row r="13">
      <c r="A13" t="inlineStr">
        <is>
          <t>Koh Kong</t>
        </is>
      </c>
      <c r="B13" t="n">
        <v>4</v>
      </c>
      <c r="C13" t="n">
        <v>11</v>
      </c>
      <c r="D13" t="n">
        <v>49</v>
      </c>
      <c r="E13" t="n">
        <v>3</v>
      </c>
      <c r="F13" t="n">
        <v>0</v>
      </c>
      <c r="G13" t="n">
        <v>0</v>
      </c>
      <c r="H13" t="n">
        <v>9</v>
      </c>
      <c r="I13" t="n">
        <v>101</v>
      </c>
      <c r="J13" t="n">
        <v>519</v>
      </c>
      <c r="K13" t="n">
        <v>38</v>
      </c>
      <c r="L13" t="n">
        <v>0</v>
      </c>
      <c r="M13" t="n">
        <v>0</v>
      </c>
      <c r="N13" t="n">
        <v>0</v>
      </c>
      <c r="O13" t="n">
        <v>74</v>
      </c>
      <c r="P13" t="n">
        <v>215</v>
      </c>
      <c r="Q13" t="n">
        <v>174</v>
      </c>
      <c r="R13" t="n">
        <v>2</v>
      </c>
      <c r="S13" t="n">
        <v>0</v>
      </c>
      <c r="T13" t="n">
        <v>30</v>
      </c>
    </row>
    <row r="14">
      <c r="A14" t="inlineStr">
        <is>
          <t>Kratie</t>
        </is>
      </c>
      <c r="B14" t="n">
        <v>6</v>
      </c>
      <c r="C14" t="n">
        <v>52</v>
      </c>
      <c r="D14" t="n">
        <v>92</v>
      </c>
      <c r="E14" t="n">
        <v>3</v>
      </c>
      <c r="F14" t="n">
        <v>0</v>
      </c>
      <c r="G14" t="n">
        <v>0</v>
      </c>
      <c r="H14" t="n">
        <v>29</v>
      </c>
      <c r="I14" t="n">
        <v>404</v>
      </c>
      <c r="J14" t="n">
        <v>1042</v>
      </c>
      <c r="K14" t="n">
        <v>67</v>
      </c>
      <c r="L14" t="n">
        <v>3</v>
      </c>
      <c r="M14" t="n">
        <v>0</v>
      </c>
      <c r="N14" t="n">
        <v>1</v>
      </c>
      <c r="O14" t="n">
        <v>169</v>
      </c>
      <c r="P14" t="n">
        <v>501</v>
      </c>
      <c r="Q14" t="n">
        <v>306</v>
      </c>
      <c r="R14" t="n">
        <v>21</v>
      </c>
      <c r="S14" t="n">
        <v>0</v>
      </c>
      <c r="T14" t="n">
        <v>65</v>
      </c>
    </row>
    <row r="15">
      <c r="A15" t="inlineStr">
        <is>
          <t>Mondul Kiri</t>
        </is>
      </c>
      <c r="B15" t="n">
        <v>3</v>
      </c>
      <c r="C15" t="n">
        <v>4</v>
      </c>
      <c r="D15" t="n">
        <v>35</v>
      </c>
      <c r="E15" t="n">
        <v>0</v>
      </c>
      <c r="F15" t="n">
        <v>0</v>
      </c>
      <c r="G15" t="n">
        <v>0</v>
      </c>
      <c r="H15" t="n">
        <v>56</v>
      </c>
      <c r="I15" t="n">
        <v>187</v>
      </c>
      <c r="J15" t="n">
        <v>381</v>
      </c>
      <c r="K15" t="n">
        <v>6</v>
      </c>
      <c r="L15" t="n">
        <v>1</v>
      </c>
      <c r="M15" t="n">
        <v>0</v>
      </c>
      <c r="N15" t="n">
        <v>0</v>
      </c>
      <c r="O15" t="n">
        <v>19</v>
      </c>
      <c r="P15" t="n">
        <v>161</v>
      </c>
      <c r="Q15" t="n">
        <v>81</v>
      </c>
      <c r="R15" t="n">
        <v>3</v>
      </c>
      <c r="S15" t="n">
        <v>0</v>
      </c>
      <c r="T15" t="n">
        <v>0</v>
      </c>
    </row>
    <row r="16">
      <c r="A16" t="inlineStr">
        <is>
          <t>Otdar Meanchey</t>
        </is>
      </c>
      <c r="B16" t="n">
        <v>13</v>
      </c>
      <c r="C16" t="n">
        <v>13</v>
      </c>
      <c r="D16" t="n">
        <v>81</v>
      </c>
      <c r="E16" t="n">
        <v>1</v>
      </c>
      <c r="F16" t="n">
        <v>0</v>
      </c>
      <c r="G16" t="n">
        <v>0</v>
      </c>
      <c r="H16" t="n">
        <v>90</v>
      </c>
      <c r="I16" t="n">
        <v>247</v>
      </c>
      <c r="J16" t="n">
        <v>592</v>
      </c>
      <c r="K16" t="n">
        <v>55</v>
      </c>
      <c r="L16" t="n">
        <v>3</v>
      </c>
      <c r="M16" t="n">
        <v>0</v>
      </c>
      <c r="N16" t="n">
        <v>8</v>
      </c>
      <c r="O16" t="n">
        <v>80</v>
      </c>
      <c r="P16" t="n">
        <v>230</v>
      </c>
      <c r="Q16" t="n">
        <v>220</v>
      </c>
      <c r="R16" t="n">
        <v>8</v>
      </c>
      <c r="S16" t="n">
        <v>0</v>
      </c>
      <c r="T16" t="n">
        <v>26</v>
      </c>
    </row>
    <row r="17">
      <c r="A17" t="inlineStr">
        <is>
          <t>Pailin</t>
        </is>
      </c>
      <c r="B17" t="n">
        <v>1</v>
      </c>
      <c r="C17" t="n">
        <v>4</v>
      </c>
      <c r="D17" t="n">
        <v>28</v>
      </c>
      <c r="E17" t="n">
        <v>3</v>
      </c>
      <c r="F17" t="n">
        <v>0</v>
      </c>
      <c r="G17" t="n">
        <v>0</v>
      </c>
      <c r="H17" t="n">
        <v>11</v>
      </c>
      <c r="I17" t="n">
        <v>70</v>
      </c>
      <c r="J17" t="n">
        <v>153</v>
      </c>
      <c r="K17" t="n">
        <v>60</v>
      </c>
      <c r="L17" t="n">
        <v>5</v>
      </c>
      <c r="M17" t="n">
        <v>0</v>
      </c>
      <c r="N17" t="n">
        <v>0</v>
      </c>
      <c r="O17" t="n">
        <v>1</v>
      </c>
      <c r="P17" t="n">
        <v>185</v>
      </c>
      <c r="Q17" t="n">
        <v>147</v>
      </c>
      <c r="R17" t="n">
        <v>1</v>
      </c>
      <c r="S17" t="n">
        <v>0</v>
      </c>
      <c r="T17" t="n">
        <v>0</v>
      </c>
    </row>
    <row r="18">
      <c r="A18" t="inlineStr">
        <is>
          <t>Phnom Penh</t>
        </is>
      </c>
      <c r="B18" t="n">
        <v>22</v>
      </c>
      <c r="C18" t="n">
        <v>114</v>
      </c>
      <c r="D18" t="n">
        <v>114</v>
      </c>
      <c r="E18" t="n">
        <v>35</v>
      </c>
      <c r="F18" t="n">
        <v>6</v>
      </c>
      <c r="G18" t="n">
        <v>1</v>
      </c>
      <c r="H18" t="n">
        <v>153</v>
      </c>
      <c r="I18" t="n">
        <v>649</v>
      </c>
      <c r="J18" t="n">
        <v>1669</v>
      </c>
      <c r="K18" t="n">
        <v>666</v>
      </c>
      <c r="L18" t="n">
        <v>70</v>
      </c>
      <c r="M18" t="n">
        <v>0</v>
      </c>
      <c r="N18" t="n">
        <v>170</v>
      </c>
      <c r="O18" t="n">
        <v>491</v>
      </c>
      <c r="P18" t="n">
        <v>1547</v>
      </c>
      <c r="Q18" t="n">
        <v>3041</v>
      </c>
      <c r="R18" t="n">
        <v>487</v>
      </c>
      <c r="S18" t="n">
        <v>7</v>
      </c>
      <c r="T18" t="n">
        <v>49</v>
      </c>
    </row>
    <row r="19">
      <c r="A19" t="inlineStr">
        <is>
          <t>Preah Sihanouk</t>
        </is>
      </c>
      <c r="B19" t="n">
        <v>5</v>
      </c>
      <c r="C19" t="n">
        <v>28</v>
      </c>
      <c r="D19" t="n">
        <v>49</v>
      </c>
      <c r="E19" t="n">
        <v>7</v>
      </c>
      <c r="F19" t="n">
        <v>0</v>
      </c>
      <c r="G19" t="n">
        <v>0</v>
      </c>
      <c r="H19" t="n">
        <v>25</v>
      </c>
      <c r="I19" t="n">
        <v>143</v>
      </c>
      <c r="J19" t="n">
        <v>511</v>
      </c>
      <c r="K19" t="n">
        <v>142</v>
      </c>
      <c r="L19" t="n">
        <v>7</v>
      </c>
      <c r="M19" t="n">
        <v>0</v>
      </c>
      <c r="N19" t="n">
        <v>14</v>
      </c>
      <c r="O19" t="n">
        <v>8</v>
      </c>
      <c r="P19" t="n">
        <v>388</v>
      </c>
      <c r="Q19" t="n">
        <v>300</v>
      </c>
      <c r="R19" t="n">
        <v>31</v>
      </c>
      <c r="S19" t="n">
        <v>0</v>
      </c>
      <c r="T19" t="n">
        <v>4</v>
      </c>
    </row>
    <row r="20">
      <c r="A20" t="inlineStr">
        <is>
          <t>Preah Vihear</t>
        </is>
      </c>
      <c r="B20" t="n">
        <v>12</v>
      </c>
      <c r="C20" t="n">
        <v>29</v>
      </c>
      <c r="D20" t="n">
        <v>55</v>
      </c>
      <c r="E20" t="n">
        <v>4</v>
      </c>
      <c r="F20" t="n">
        <v>0</v>
      </c>
      <c r="G20" t="n">
        <v>0</v>
      </c>
      <c r="H20" t="n">
        <v>79</v>
      </c>
      <c r="I20" t="n">
        <v>230</v>
      </c>
      <c r="J20" t="n">
        <v>881</v>
      </c>
      <c r="K20" t="n">
        <v>77</v>
      </c>
      <c r="L20" t="n">
        <v>2</v>
      </c>
      <c r="M20" t="n">
        <v>0</v>
      </c>
      <c r="N20" t="n">
        <v>5</v>
      </c>
      <c r="O20" t="n">
        <v>53</v>
      </c>
      <c r="P20" t="n">
        <v>417</v>
      </c>
      <c r="Q20" t="n">
        <v>303</v>
      </c>
      <c r="R20" t="n">
        <v>31</v>
      </c>
      <c r="S20" t="n">
        <v>0</v>
      </c>
      <c r="T20" t="n">
        <v>6</v>
      </c>
    </row>
    <row r="21">
      <c r="A21" t="inlineStr">
        <is>
          <t>Prey Veng</t>
        </is>
      </c>
      <c r="B21" t="n">
        <v>35</v>
      </c>
      <c r="C21" t="n">
        <v>133</v>
      </c>
      <c r="D21" t="n">
        <v>188</v>
      </c>
      <c r="E21" t="n">
        <v>113</v>
      </c>
      <c r="F21" t="n">
        <v>2</v>
      </c>
      <c r="G21" t="n">
        <v>0</v>
      </c>
      <c r="H21" t="n">
        <v>144</v>
      </c>
      <c r="I21" t="n">
        <v>794</v>
      </c>
      <c r="J21" t="n">
        <v>1020</v>
      </c>
      <c r="K21" t="n">
        <v>797</v>
      </c>
      <c r="L21" t="n">
        <v>12</v>
      </c>
      <c r="M21" t="n">
        <v>0</v>
      </c>
      <c r="N21" t="n">
        <v>73</v>
      </c>
      <c r="O21" t="n">
        <v>411</v>
      </c>
      <c r="P21" t="n">
        <v>820</v>
      </c>
      <c r="Q21" t="n">
        <v>1228</v>
      </c>
      <c r="R21" t="n">
        <v>82</v>
      </c>
      <c r="S21" t="n">
        <v>1</v>
      </c>
      <c r="T21" t="n">
        <v>55</v>
      </c>
    </row>
    <row r="22">
      <c r="A22" t="inlineStr">
        <is>
          <t>Pursat</t>
        </is>
      </c>
      <c r="B22" t="n">
        <v>10</v>
      </c>
      <c r="C22" t="n">
        <v>54</v>
      </c>
      <c r="D22" t="n">
        <v>124</v>
      </c>
      <c r="E22" t="n">
        <v>10</v>
      </c>
      <c r="F22" t="n">
        <v>1</v>
      </c>
      <c r="G22" t="n">
        <v>0</v>
      </c>
      <c r="H22" t="n">
        <v>48</v>
      </c>
      <c r="I22" t="n">
        <v>341</v>
      </c>
      <c r="J22" t="n">
        <v>896</v>
      </c>
      <c r="K22" t="n">
        <v>192</v>
      </c>
      <c r="L22" t="n">
        <v>5</v>
      </c>
      <c r="M22" t="n">
        <v>1</v>
      </c>
      <c r="N22" t="n">
        <v>4</v>
      </c>
      <c r="O22" t="n">
        <v>237</v>
      </c>
      <c r="P22" t="n">
        <v>588</v>
      </c>
      <c r="Q22" t="n">
        <v>580</v>
      </c>
      <c r="R22" t="n">
        <v>49</v>
      </c>
      <c r="S22" t="n">
        <v>0</v>
      </c>
      <c r="T22" t="n">
        <v>9</v>
      </c>
    </row>
    <row r="23">
      <c r="A23" t="inlineStr">
        <is>
          <t>Ratanak Kiri</t>
        </is>
      </c>
      <c r="B23" t="n">
        <v>6</v>
      </c>
      <c r="C23" t="n">
        <v>29</v>
      </c>
      <c r="D23" t="n">
        <v>46</v>
      </c>
      <c r="E23" t="n">
        <v>3</v>
      </c>
      <c r="F23" t="n">
        <v>0</v>
      </c>
      <c r="G23" t="n">
        <v>0</v>
      </c>
      <c r="H23" t="n">
        <v>62</v>
      </c>
      <c r="I23" t="n">
        <v>259</v>
      </c>
      <c r="J23" t="n">
        <v>500</v>
      </c>
      <c r="K23" t="n">
        <v>36</v>
      </c>
      <c r="L23" t="n">
        <v>1</v>
      </c>
      <c r="M23" t="n">
        <v>0</v>
      </c>
      <c r="N23" t="n">
        <v>1</v>
      </c>
      <c r="O23" t="n">
        <v>32</v>
      </c>
      <c r="P23" t="n">
        <v>228</v>
      </c>
      <c r="Q23" t="n">
        <v>220</v>
      </c>
      <c r="R23" t="n">
        <v>7</v>
      </c>
      <c r="S23" t="n">
        <v>0</v>
      </c>
      <c r="T23" t="n">
        <v>25</v>
      </c>
    </row>
    <row r="24">
      <c r="A24" t="inlineStr">
        <is>
          <t>Siemreap</t>
        </is>
      </c>
      <c r="B24" t="n">
        <v>12</v>
      </c>
      <c r="C24" t="n">
        <v>81</v>
      </c>
      <c r="D24" t="n">
        <v>354</v>
      </c>
      <c r="E24" t="n">
        <v>38</v>
      </c>
      <c r="F24" t="n">
        <v>0</v>
      </c>
      <c r="G24" t="n">
        <v>0</v>
      </c>
      <c r="H24" t="n">
        <v>134</v>
      </c>
      <c r="I24" t="n">
        <v>438</v>
      </c>
      <c r="J24" t="n">
        <v>2007</v>
      </c>
      <c r="K24" t="n">
        <v>392</v>
      </c>
      <c r="L24" t="n">
        <v>28</v>
      </c>
      <c r="M24" t="n">
        <v>0</v>
      </c>
      <c r="N24" t="n">
        <v>34</v>
      </c>
      <c r="O24" t="n">
        <v>218</v>
      </c>
      <c r="P24" t="n">
        <v>775</v>
      </c>
      <c r="Q24" t="n">
        <v>1306</v>
      </c>
      <c r="R24" t="n">
        <v>125</v>
      </c>
      <c r="S24" t="n">
        <v>1</v>
      </c>
      <c r="T24" t="n">
        <v>97</v>
      </c>
    </row>
    <row r="25">
      <c r="A25" t="inlineStr">
        <is>
          <t>Stung Treng</t>
        </is>
      </c>
      <c r="B25" t="n">
        <v>10</v>
      </c>
      <c r="C25" t="n">
        <v>9</v>
      </c>
      <c r="D25" t="n">
        <v>38</v>
      </c>
      <c r="E25" t="n">
        <v>1</v>
      </c>
      <c r="F25" t="n">
        <v>0</v>
      </c>
      <c r="G25" t="n">
        <v>0</v>
      </c>
      <c r="H25" t="n">
        <v>50</v>
      </c>
      <c r="I25" t="n">
        <v>199</v>
      </c>
      <c r="J25" t="n">
        <v>551</v>
      </c>
      <c r="K25" t="n">
        <v>34</v>
      </c>
      <c r="L25" t="n">
        <v>1</v>
      </c>
      <c r="M25" t="n">
        <v>0</v>
      </c>
      <c r="N25" t="n">
        <v>2</v>
      </c>
      <c r="O25" t="n">
        <v>68</v>
      </c>
      <c r="P25" t="n">
        <v>312</v>
      </c>
      <c r="Q25" t="n">
        <v>138</v>
      </c>
      <c r="R25" t="n">
        <v>3</v>
      </c>
      <c r="S25" t="n">
        <v>0</v>
      </c>
      <c r="T25" t="n">
        <v>49</v>
      </c>
    </row>
    <row r="26">
      <c r="A26" t="inlineStr">
        <is>
          <t>Svay Rieng</t>
        </is>
      </c>
      <c r="B26" t="n">
        <v>16</v>
      </c>
      <c r="C26" t="n">
        <v>68</v>
      </c>
      <c r="D26" t="n">
        <v>119</v>
      </c>
      <c r="E26" t="n">
        <v>38</v>
      </c>
      <c r="F26" t="n">
        <v>0</v>
      </c>
      <c r="G26" t="n">
        <v>0</v>
      </c>
      <c r="H26" t="n">
        <v>12</v>
      </c>
      <c r="I26" t="n">
        <v>227</v>
      </c>
      <c r="J26" t="n">
        <v>1065</v>
      </c>
      <c r="K26" t="n">
        <v>314</v>
      </c>
      <c r="L26" t="n">
        <v>1</v>
      </c>
      <c r="M26" t="n">
        <v>0</v>
      </c>
      <c r="N26" t="n">
        <v>26</v>
      </c>
      <c r="O26" t="n">
        <v>184</v>
      </c>
      <c r="P26" t="n">
        <v>681</v>
      </c>
      <c r="Q26" t="n">
        <v>938</v>
      </c>
      <c r="R26" t="n">
        <v>58</v>
      </c>
      <c r="S26" t="n">
        <v>0</v>
      </c>
      <c r="T26" t="n">
        <v>59</v>
      </c>
    </row>
    <row r="27">
      <c r="A27" t="inlineStr">
        <is>
          <t>Takeo</t>
        </is>
      </c>
      <c r="B27" t="n">
        <v>20</v>
      </c>
      <c r="C27" t="n">
        <v>106</v>
      </c>
      <c r="D27" t="n">
        <v>239</v>
      </c>
      <c r="E27" t="n">
        <v>60</v>
      </c>
      <c r="F27" t="n">
        <v>0</v>
      </c>
      <c r="G27" t="n">
        <v>0</v>
      </c>
      <c r="H27" t="n">
        <v>62</v>
      </c>
      <c r="I27" t="n">
        <v>454</v>
      </c>
      <c r="J27" t="n">
        <v>1556</v>
      </c>
      <c r="K27" t="n">
        <v>696</v>
      </c>
      <c r="L27" t="n">
        <v>9</v>
      </c>
      <c r="M27" t="n">
        <v>0</v>
      </c>
      <c r="N27" t="n">
        <v>40</v>
      </c>
      <c r="O27" t="n">
        <v>242</v>
      </c>
      <c r="P27" t="n">
        <v>1244</v>
      </c>
      <c r="Q27" t="n">
        <v>1636</v>
      </c>
      <c r="R27" t="n">
        <v>121</v>
      </c>
      <c r="S27" t="n">
        <v>1</v>
      </c>
      <c r="T27" t="n">
        <v>53</v>
      </c>
    </row>
    <row r="28">
      <c r="A28" t="inlineStr">
        <is>
          <t>Tbaung Khmum</t>
        </is>
      </c>
      <c r="B28" t="n">
        <v>8</v>
      </c>
      <c r="C28" t="n">
        <v>56</v>
      </c>
      <c r="D28" t="n">
        <v>147</v>
      </c>
      <c r="E28" t="n">
        <v>37</v>
      </c>
      <c r="F28" t="n">
        <v>1</v>
      </c>
      <c r="G28" t="n">
        <v>0</v>
      </c>
      <c r="H28" t="n">
        <v>82</v>
      </c>
      <c r="I28" t="n">
        <v>360</v>
      </c>
      <c r="J28" t="n">
        <v>1198</v>
      </c>
      <c r="K28" t="n">
        <v>454</v>
      </c>
      <c r="L28" t="n">
        <v>12</v>
      </c>
      <c r="M28" t="n">
        <v>0</v>
      </c>
      <c r="N28" t="n">
        <v>19</v>
      </c>
      <c r="O28" t="n">
        <v>170</v>
      </c>
      <c r="P28" t="n">
        <v>694</v>
      </c>
      <c r="Q28" t="n">
        <v>616</v>
      </c>
      <c r="R28" t="n">
        <v>51</v>
      </c>
      <c r="S28" t="n">
        <v>0</v>
      </c>
      <c r="T28" t="n">
        <v>143</v>
      </c>
    </row>
    <row r="29">
      <c r="A29" t="inlineStr">
        <is>
          <t>Whole Kingdom</t>
        </is>
      </c>
      <c r="B29" t="n">
        <v>284</v>
      </c>
      <c r="C29" t="n">
        <v>1442</v>
      </c>
      <c r="D29" t="n">
        <v>3074</v>
      </c>
      <c r="E29" t="n">
        <v>795</v>
      </c>
      <c r="F29" t="n">
        <v>28</v>
      </c>
      <c r="G29" t="n">
        <v>3</v>
      </c>
      <c r="H29" t="n">
        <v>1613</v>
      </c>
      <c r="I29" t="n">
        <v>9417</v>
      </c>
      <c r="J29" t="n">
        <v>24928</v>
      </c>
      <c r="K29" t="n">
        <v>8800</v>
      </c>
      <c r="L29" t="n">
        <v>374</v>
      </c>
      <c r="M29" t="n">
        <v>9</v>
      </c>
      <c r="N29" t="n">
        <v>899</v>
      </c>
      <c r="O29" t="n">
        <v>4735</v>
      </c>
      <c r="P29" t="n">
        <v>15433</v>
      </c>
      <c r="Q29" t="n">
        <v>20973</v>
      </c>
      <c r="R29" t="n">
        <v>1884</v>
      </c>
      <c r="S29" t="n">
        <v>26</v>
      </c>
      <c r="T29" t="n">
        <v>1192</v>
      </c>
    </row>
    <row r="30">
      <c r="A30" t="inlineStr">
        <is>
          <t>-  Urban Area</t>
        </is>
      </c>
      <c r="B30" t="n">
        <v>44</v>
      </c>
      <c r="C30" t="n">
        <v>286</v>
      </c>
      <c r="D30" t="n">
        <v>535</v>
      </c>
      <c r="E30" t="n">
        <v>147</v>
      </c>
      <c r="F30" t="n">
        <v>10</v>
      </c>
      <c r="G30" t="n">
        <v>1</v>
      </c>
      <c r="H30" t="n">
        <v>345</v>
      </c>
      <c r="I30" t="n">
        <v>1663</v>
      </c>
      <c r="J30" t="n">
        <v>4710</v>
      </c>
      <c r="K30" t="n">
        <v>1971</v>
      </c>
      <c r="L30" t="n">
        <v>159</v>
      </c>
      <c r="M30" t="n">
        <v>2</v>
      </c>
      <c r="N30" t="n">
        <v>242</v>
      </c>
      <c r="O30" t="n">
        <v>1149</v>
      </c>
      <c r="P30" t="n">
        <v>3832</v>
      </c>
      <c r="Q30" t="n">
        <v>6580</v>
      </c>
      <c r="R30" t="n">
        <v>939</v>
      </c>
      <c r="S30" t="n">
        <v>12</v>
      </c>
      <c r="T30" t="n">
        <v>106</v>
      </c>
    </row>
    <row r="31">
      <c r="A31" t="inlineStr">
        <is>
          <t>-  Rural Area</t>
        </is>
      </c>
      <c r="B31" t="n">
        <v>240</v>
      </c>
      <c r="C31" t="n">
        <v>1156</v>
      </c>
      <c r="D31" t="n">
        <v>2539</v>
      </c>
      <c r="E31" t="n">
        <v>648</v>
      </c>
      <c r="F31" t="n">
        <v>18</v>
      </c>
      <c r="G31" t="n">
        <v>2</v>
      </c>
      <c r="H31" t="n">
        <v>1268</v>
      </c>
      <c r="I31" t="n">
        <v>7754</v>
      </c>
      <c r="J31" t="n">
        <v>20218</v>
      </c>
      <c r="K31" t="n">
        <v>6829</v>
      </c>
      <c r="L31" t="n">
        <v>215</v>
      </c>
      <c r="M31" t="n">
        <v>7</v>
      </c>
      <c r="N31" t="n">
        <v>657</v>
      </c>
      <c r="O31" t="n">
        <v>3586</v>
      </c>
      <c r="P31" t="n">
        <v>11601</v>
      </c>
      <c r="Q31" t="n">
        <v>14393</v>
      </c>
      <c r="R31" t="n">
        <v>945</v>
      </c>
      <c r="S31" t="n">
        <v>14</v>
      </c>
      <c r="T31" t="n">
        <v>1086</v>
      </c>
    </row>
  </sheetData>
  <mergeCells count="5">
    <mergeCell ref="B2:G2"/>
    <mergeCell ref="N2:S2"/>
    <mergeCell ref="A2:A3"/>
    <mergeCell ref="A1:U1"/>
    <mergeCell ref="H2:M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9D18E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11.5703125" customWidth="1" min="2" max="2"/>
    <col width="10.140625" customWidth="1" min="3" max="3"/>
    <col width="12.140625" customWidth="1" min="4" max="4"/>
    <col width="12.42578125" customWidth="1" min="5" max="5"/>
    <col width="12" customWidth="1" min="6" max="6"/>
    <col width="14.5703125" customWidth="1" min="9" max="9"/>
    <col width="26" customWidth="1" min="11" max="11"/>
  </cols>
  <sheetData>
    <row r="1">
      <c r="A1" t="inlineStr">
        <is>
          <t>Table 23: Condition of Classrooms and Existence of Separate School Office and Library</t>
        </is>
      </c>
    </row>
    <row r="2">
      <c r="A2" t="inlineStr">
        <is>
          <t>Province</t>
        </is>
      </c>
      <c r="B2" t="inlineStr">
        <is>
          <t>Number of</t>
        </is>
      </c>
      <c r="C2" t="inlineStr">
        <is>
          <t>Number of Classrooms</t>
        </is>
      </c>
      <c r="F2" t="inlineStr">
        <is>
          <t>Classrooms Without Good</t>
        </is>
      </c>
      <c r="I2" t="inlineStr">
        <is>
          <t>Schools with Separate</t>
        </is>
      </c>
    </row>
    <row r="3">
      <c r="B3" t="inlineStr">
        <is>
          <t>Classrooms</t>
        </is>
      </c>
      <c r="C3" t="inlineStr">
        <is>
          <t>in Pagoda</t>
        </is>
      </c>
      <c r="D3" t="inlineStr">
        <is>
          <t>New Repaired</t>
        </is>
      </c>
      <c r="E3" t="inlineStr">
        <is>
          <t>New Constr.</t>
        </is>
      </c>
      <c r="F3" t="inlineStr">
        <is>
          <t>Floor</t>
        </is>
      </c>
      <c r="G3" t="inlineStr">
        <is>
          <t>Roof</t>
        </is>
      </c>
      <c r="H3" t="inlineStr">
        <is>
          <t>Wall</t>
        </is>
      </c>
      <c r="I3" t="inlineStr">
        <is>
          <t>Office</t>
        </is>
      </c>
      <c r="J3" t="inlineStr">
        <is>
          <t>Library</t>
        </is>
      </c>
    </row>
    <row r="4">
      <c r="A4" t="inlineStr">
        <is>
          <t>Banteay Meanchey</t>
        </is>
      </c>
      <c r="B4" t="n">
        <v>3976</v>
      </c>
      <c r="C4" t="n">
        <v>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144</v>
      </c>
      <c r="J4" t="n">
        <v>164</v>
      </c>
    </row>
    <row r="5">
      <c r="A5" t="inlineStr">
        <is>
          <t>Battambang</t>
        </is>
      </c>
      <c r="B5" t="n">
        <v>5777</v>
      </c>
      <c r="C5" t="n">
        <v>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203</v>
      </c>
      <c r="J5" t="n">
        <v>154</v>
      </c>
    </row>
    <row r="6">
      <c r="A6" t="inlineStr">
        <is>
          <t>Kampong Cham</t>
        </is>
      </c>
      <c r="B6" t="n">
        <v>4846</v>
      </c>
      <c r="C6" t="n">
        <v>146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132</v>
      </c>
      <c r="J6" t="n">
        <v>161</v>
      </c>
    </row>
    <row r="7">
      <c r="A7" t="inlineStr">
        <is>
          <t>Kampong Chhnang</t>
        </is>
      </c>
      <c r="B7" t="n">
        <v>2554</v>
      </c>
      <c r="C7" t="n">
        <v>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85</v>
      </c>
      <c r="J7" t="n">
        <v>85</v>
      </c>
    </row>
    <row r="8">
      <c r="A8" t="inlineStr">
        <is>
          <t>Kampong Speu</t>
        </is>
      </c>
      <c r="B8" t="n">
        <v>3409</v>
      </c>
      <c r="C8" t="n">
        <v>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123</v>
      </c>
    </row>
    <row r="9">
      <c r="A9" t="inlineStr">
        <is>
          <t>Kampong Thom</t>
        </is>
      </c>
      <c r="B9" t="n">
        <v>3857</v>
      </c>
      <c r="C9" t="n">
        <v>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117</v>
      </c>
      <c r="J9" t="n">
        <v>146</v>
      </c>
    </row>
    <row r="10">
      <c r="A10" t="inlineStr">
        <is>
          <t>Kampot</t>
        </is>
      </c>
      <c r="B10" t="n">
        <v>3216</v>
      </c>
      <c r="C10" t="n">
        <v>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121</v>
      </c>
      <c r="J10" t="n">
        <v>87</v>
      </c>
    </row>
    <row r="11">
      <c r="A11" t="inlineStr">
        <is>
          <t>Kandal</t>
        </is>
      </c>
      <c r="B11" t="n">
        <v>5590</v>
      </c>
      <c r="C11" t="n">
        <v>175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147</v>
      </c>
      <c r="J11" t="n">
        <v>116</v>
      </c>
    </row>
    <row r="12">
      <c r="A12" t="inlineStr">
        <is>
          <t>Kep</t>
        </is>
      </c>
      <c r="B12" t="n">
        <v>262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9</v>
      </c>
    </row>
    <row r="13">
      <c r="A13" t="inlineStr">
        <is>
          <t>Koh Kong</t>
        </is>
      </c>
      <c r="B13" t="n">
        <v>869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</v>
      </c>
      <c r="J13" t="n">
        <v>27</v>
      </c>
    </row>
    <row r="14">
      <c r="A14" t="inlineStr">
        <is>
          <t>Kratie</t>
        </is>
      </c>
      <c r="B14" t="n">
        <v>2091</v>
      </c>
      <c r="C14" t="n">
        <v>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</v>
      </c>
      <c r="J14" t="n">
        <v>80</v>
      </c>
    </row>
    <row r="15">
      <c r="A15" t="inlineStr">
        <is>
          <t>Mondul Kiri</t>
        </is>
      </c>
      <c r="B15" t="n">
        <v>653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</v>
      </c>
      <c r="J15" t="n">
        <v>7</v>
      </c>
    </row>
    <row r="16">
      <c r="A16" t="inlineStr">
        <is>
          <t>Otdar Meanchey</t>
        </is>
      </c>
      <c r="B16" t="n">
        <v>1561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</v>
      </c>
      <c r="J16" t="n">
        <v>23</v>
      </c>
    </row>
    <row r="17">
      <c r="A17" t="inlineStr">
        <is>
          <t>Pailin</t>
        </is>
      </c>
      <c r="B17" t="n">
        <v>426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</v>
      </c>
      <c r="J17" t="n">
        <v>21</v>
      </c>
    </row>
    <row r="18">
      <c r="A18" t="inlineStr">
        <is>
          <t>Phnom Penh</t>
        </is>
      </c>
      <c r="B18" t="n">
        <v>4051</v>
      </c>
      <c r="C18" t="n">
        <v>115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97</v>
      </c>
      <c r="J18" t="n">
        <v>95</v>
      </c>
    </row>
    <row r="19">
      <c r="A19" t="inlineStr">
        <is>
          <t>Preah Sihanouk</t>
        </is>
      </c>
      <c r="B19" t="n">
        <v>1087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</v>
      </c>
      <c r="J19" t="n">
        <v>25</v>
      </c>
    </row>
    <row r="20">
      <c r="A20" t="inlineStr">
        <is>
          <t>Preah Vihear</t>
        </is>
      </c>
      <c r="B20" t="n">
        <v>1820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</v>
      </c>
      <c r="J20" t="n">
        <v>48</v>
      </c>
    </row>
    <row r="21">
      <c r="A21" t="inlineStr">
        <is>
          <t>Prey Veng</t>
        </is>
      </c>
      <c r="B21" t="n">
        <v>5738</v>
      </c>
      <c r="C21" t="n">
        <v>163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206</v>
      </c>
      <c r="J21" t="n">
        <v>209</v>
      </c>
    </row>
    <row r="22">
      <c r="A22" t="inlineStr">
        <is>
          <t>Pursat</t>
        </is>
      </c>
      <c r="B22" t="n">
        <v>2583</v>
      </c>
      <c r="C22" t="n">
        <v>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</v>
      </c>
      <c r="J22" t="n">
        <v>59</v>
      </c>
    </row>
    <row r="23">
      <c r="A23" t="inlineStr">
        <is>
          <t>Ratanak Kiri</t>
        </is>
      </c>
      <c r="B23" t="n">
        <v>1302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</v>
      </c>
      <c r="J23" t="n">
        <v>34</v>
      </c>
    </row>
    <row r="24">
      <c r="A24" t="inlineStr">
        <is>
          <t>Siemreap</t>
        </is>
      </c>
      <c r="B24" t="n">
        <v>5611</v>
      </c>
      <c r="C24" t="n">
        <v>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207</v>
      </c>
      <c r="J24" t="n">
        <v>250</v>
      </c>
    </row>
    <row r="25">
      <c r="A25" t="inlineStr">
        <is>
          <t>Stung Treng</t>
        </is>
      </c>
      <c r="B25" t="n">
        <v>1077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</v>
      </c>
      <c r="J25" t="n">
        <v>18</v>
      </c>
    </row>
    <row r="26">
      <c r="A26" t="inlineStr">
        <is>
          <t>Svay Rieng</t>
        </is>
      </c>
      <c r="B26" t="n">
        <v>3085</v>
      </c>
      <c r="C26" t="n">
        <v>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</v>
      </c>
      <c r="J26" t="n">
        <v>96</v>
      </c>
    </row>
    <row r="27">
      <c r="A27" t="inlineStr">
        <is>
          <t>Takeo</t>
        </is>
      </c>
      <c r="B27" t="n">
        <v>5423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174</v>
      </c>
      <c r="J27" t="n">
        <v>175</v>
      </c>
    </row>
    <row r="28">
      <c r="A28" t="inlineStr">
        <is>
          <t>Tbaung Khmum</t>
        </is>
      </c>
      <c r="B28" t="n">
        <v>3764</v>
      </c>
      <c r="C28" t="n">
        <v>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113</v>
      </c>
      <c r="J28" t="n">
        <v>112</v>
      </c>
    </row>
    <row r="29">
      <c r="A29" t="inlineStr">
        <is>
          <t>Whole Kingdom</t>
        </is>
      </c>
      <c r="B29" t="n">
        <v>74628</v>
      </c>
      <c r="C29" t="n">
        <v>1393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2414</v>
      </c>
      <c r="J29" t="n">
        <v>2324</v>
      </c>
    </row>
    <row r="30">
      <c r="A30" t="inlineStr">
        <is>
          <t>-  Urban Area</t>
        </is>
      </c>
      <c r="B30" t="n">
        <v>12495</v>
      </c>
      <c r="C30" t="n">
        <v>230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382</v>
      </c>
      <c r="J30" t="n">
        <v>364</v>
      </c>
    </row>
    <row r="31">
      <c r="A31" t="inlineStr">
        <is>
          <t>-  Rural Area</t>
        </is>
      </c>
      <c r="B31" t="n">
        <v>62133</v>
      </c>
      <c r="C31" t="n">
        <v>1163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2032</v>
      </c>
      <c r="J31" t="n">
        <v>1960</v>
      </c>
    </row>
  </sheetData>
  <mergeCells count="5">
    <mergeCell ref="C2:E2"/>
    <mergeCell ref="I2:J2"/>
    <mergeCell ref="F2:H2"/>
    <mergeCell ref="A2:A3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9D18E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" customWidth="1" min="2" max="2"/>
    <col width="7.28515625" customWidth="1" min="4" max="4"/>
    <col width="7.140625" customWidth="1" min="5" max="5"/>
    <col width="8.42578125" customWidth="1" min="6" max="6"/>
    <col width="10.28515625" customWidth="1" min="8" max="8"/>
    <col width="9.85546875" customWidth="1" min="9" max="9"/>
    <col width="9.28515625" customWidth="1" min="10" max="10"/>
    <col width="12.85546875" customWidth="1" min="12" max="12"/>
    <col width="7.42578125" customWidth="1" min="13" max="13"/>
    <col width="8.5703125" customWidth="1" min="14" max="14"/>
  </cols>
  <sheetData>
    <row r="1">
      <c r="A1" t="inlineStr">
        <is>
          <t>Table 25: Community Participation and Financing</t>
        </is>
      </c>
    </row>
    <row r="2">
      <c r="A2" t="inlineStr">
        <is>
          <t>Province</t>
        </is>
      </c>
      <c r="B2" t="inlineStr">
        <is>
          <t>Parent Association</t>
        </is>
      </c>
      <c r="F2" t="inlineStr">
        <is>
          <t>Commu.</t>
        </is>
      </c>
      <c r="G2" t="inlineStr">
        <is>
          <t>Teaching</t>
        </is>
      </c>
      <c r="H2" t="inlineStr">
        <is>
          <t>PB Fund (Riel)</t>
        </is>
      </c>
      <c r="J2" t="inlineStr">
        <is>
          <t>Number of Schools Obtaining Funds from</t>
        </is>
      </c>
    </row>
    <row r="3">
      <c r="B3" t="inlineStr">
        <is>
          <t>Exists</t>
        </is>
      </c>
      <c r="C3" t="inlineStr">
        <is>
          <t>Held Meet.</t>
        </is>
      </c>
      <c r="D3" t="inlineStr">
        <is>
          <t>Total</t>
        </is>
      </c>
      <c r="E3" t="inlineStr">
        <is>
          <t>Female</t>
        </is>
      </c>
      <c r="F3" t="inlineStr">
        <is>
          <t>Teachers</t>
        </is>
      </c>
      <c r="G3" t="inlineStr">
        <is>
          <t>Monks</t>
        </is>
      </c>
      <c r="H3" t="inlineStr">
        <is>
          <t>per Student</t>
        </is>
      </c>
      <c r="I3" t="inlineStr">
        <is>
          <t>per School</t>
        </is>
      </c>
      <c r="J3" t="inlineStr">
        <is>
          <t>Sch. Income</t>
        </is>
      </c>
      <c r="K3" t="inlineStr">
        <is>
          <t>Community</t>
        </is>
      </c>
      <c r="L3" t="inlineStr">
        <is>
          <t>Gvt. For building</t>
        </is>
      </c>
      <c r="M3" t="inlineStr">
        <is>
          <t>Abroad</t>
        </is>
      </c>
      <c r="N3" t="inlineStr">
        <is>
          <t>IOs/NGOs</t>
        </is>
      </c>
    </row>
    <row r="4">
      <c r="A4" t="inlineStr">
        <is>
          <t>Banteay Meanchey</t>
        </is>
      </c>
      <c r="B4" t="n">
        <v>679</v>
      </c>
      <c r="C4" t="n">
        <v>645</v>
      </c>
      <c r="D4" t="n">
        <v>6</v>
      </c>
      <c r="E4" t="n">
        <v>2</v>
      </c>
      <c r="F4" t="n">
        <v>7</v>
      </c>
      <c r="G4" t="n">
        <v>2</v>
      </c>
      <c r="H4" t="n">
        <v>54531</v>
      </c>
      <c r="I4" t="n">
        <v>10708094</v>
      </c>
      <c r="J4" t="n">
        <v>111</v>
      </c>
      <c r="K4" t="n">
        <v>30</v>
      </c>
      <c r="L4" t="n">
        <v>24</v>
      </c>
      <c r="M4" t="n">
        <v>169</v>
      </c>
      <c r="N4" t="n">
        <v>23</v>
      </c>
    </row>
    <row r="5">
      <c r="A5" t="inlineStr">
        <is>
          <t>Battambang</t>
        </is>
      </c>
      <c r="B5" t="n">
        <v>1146</v>
      </c>
      <c r="C5" t="n">
        <v>1107</v>
      </c>
      <c r="D5" t="n">
        <v>6</v>
      </c>
      <c r="E5" t="n">
        <v>2</v>
      </c>
      <c r="F5" t="n">
        <v>4</v>
      </c>
      <c r="G5" t="n">
        <v>8</v>
      </c>
      <c r="H5" t="n">
        <v>57855</v>
      </c>
      <c r="I5" t="n">
        <v>11941720</v>
      </c>
      <c r="J5" t="n">
        <v>119</v>
      </c>
      <c r="K5" t="n">
        <v>49</v>
      </c>
      <c r="L5" t="n">
        <v>58</v>
      </c>
      <c r="M5" t="n">
        <v>452</v>
      </c>
      <c r="N5" t="n">
        <v>24</v>
      </c>
    </row>
    <row r="6">
      <c r="A6" t="inlineStr">
        <is>
          <t>Kampong Cham</t>
        </is>
      </c>
      <c r="B6" t="n">
        <v>708</v>
      </c>
      <c r="C6" t="n">
        <v>671</v>
      </c>
      <c r="D6" t="n">
        <v>7</v>
      </c>
      <c r="E6" t="n">
        <v>2</v>
      </c>
      <c r="F6" t="n">
        <v>18</v>
      </c>
      <c r="G6" t="n">
        <v>0</v>
      </c>
      <c r="H6" t="n">
        <v>102781</v>
      </c>
      <c r="I6" t="n">
        <v>26856795</v>
      </c>
      <c r="J6" t="n">
        <v>61</v>
      </c>
      <c r="K6" t="n">
        <v>28</v>
      </c>
      <c r="L6" t="n">
        <v>33</v>
      </c>
      <c r="M6" t="n">
        <v>447</v>
      </c>
      <c r="N6" t="n">
        <v>11</v>
      </c>
    </row>
    <row r="7">
      <c r="A7" t="inlineStr">
        <is>
          <t>Kampong Chhnang</t>
        </is>
      </c>
      <c r="B7" t="n">
        <v>446</v>
      </c>
      <c r="C7" t="n">
        <v>428</v>
      </c>
      <c r="D7" t="n">
        <v>7</v>
      </c>
      <c r="E7" t="n">
        <v>2</v>
      </c>
      <c r="F7" t="n">
        <v>14</v>
      </c>
      <c r="G7" t="n">
        <v>0</v>
      </c>
      <c r="H7" t="n">
        <v>56805</v>
      </c>
      <c r="I7" t="n">
        <v>13849282</v>
      </c>
      <c r="J7" t="n">
        <v>66</v>
      </c>
      <c r="K7" t="n">
        <v>36</v>
      </c>
      <c r="L7" t="n">
        <v>13</v>
      </c>
      <c r="M7" t="n">
        <v>220</v>
      </c>
      <c r="N7" t="n">
        <v>23</v>
      </c>
    </row>
    <row r="8">
      <c r="A8" t="inlineStr">
        <is>
          <t>Kampong Speu</t>
        </is>
      </c>
      <c r="B8" t="n">
        <v>591</v>
      </c>
      <c r="C8" t="n">
        <v>568</v>
      </c>
      <c r="D8" t="n">
        <v>7</v>
      </c>
      <c r="E8" t="n">
        <v>1</v>
      </c>
      <c r="F8" t="n">
        <v>3</v>
      </c>
      <c r="G8" t="n">
        <v>0</v>
      </c>
      <c r="H8" t="n">
        <v>46762</v>
      </c>
      <c r="I8" t="n">
        <v>12081357</v>
      </c>
      <c r="J8" t="n">
        <v>127</v>
      </c>
      <c r="K8" t="n">
        <v>47</v>
      </c>
      <c r="L8" t="n">
        <v>21</v>
      </c>
      <c r="M8" t="n">
        <v>313</v>
      </c>
      <c r="N8" t="n">
        <v>20</v>
      </c>
    </row>
    <row r="9">
      <c r="A9" t="inlineStr">
        <is>
          <t>Kampong Thom</t>
        </is>
      </c>
      <c r="B9" t="n">
        <v>752</v>
      </c>
      <c r="C9" t="n">
        <v>708</v>
      </c>
      <c r="D9" t="n">
        <v>7</v>
      </c>
      <c r="E9" t="n">
        <v>2</v>
      </c>
      <c r="F9" t="n">
        <v>16</v>
      </c>
      <c r="G9" t="n">
        <v>2</v>
      </c>
      <c r="H9" t="n">
        <v>56449</v>
      </c>
      <c r="I9" t="n">
        <v>10947376</v>
      </c>
      <c r="J9" t="n">
        <v>149</v>
      </c>
      <c r="K9" t="n">
        <v>38</v>
      </c>
      <c r="L9" t="n">
        <v>28</v>
      </c>
      <c r="M9" t="n">
        <v>370</v>
      </c>
      <c r="N9" t="n">
        <v>48</v>
      </c>
    </row>
    <row r="10">
      <c r="A10" t="inlineStr">
        <is>
          <t>Kampot</t>
        </is>
      </c>
      <c r="B10" t="n">
        <v>556</v>
      </c>
      <c r="C10" t="n">
        <v>540</v>
      </c>
      <c r="D10" t="n">
        <v>7</v>
      </c>
      <c r="E10" t="n">
        <v>2</v>
      </c>
      <c r="F10" t="n">
        <v>3</v>
      </c>
      <c r="G10" t="n">
        <v>0</v>
      </c>
      <c r="H10" t="n">
        <v>54838</v>
      </c>
      <c r="I10" t="n">
        <v>11038603</v>
      </c>
      <c r="J10" t="n">
        <v>32</v>
      </c>
      <c r="K10" t="n">
        <v>7</v>
      </c>
      <c r="L10" t="n">
        <v>15</v>
      </c>
      <c r="M10" t="n">
        <v>255</v>
      </c>
      <c r="N10" t="n">
        <v>12</v>
      </c>
    </row>
    <row r="11">
      <c r="A11" t="inlineStr">
        <is>
          <t>Kandal</t>
        </is>
      </c>
      <c r="B11" t="n">
        <v>702</v>
      </c>
      <c r="C11" t="n">
        <v>658</v>
      </c>
      <c r="D11" t="n">
        <v>7</v>
      </c>
      <c r="E11" t="n">
        <v>2</v>
      </c>
      <c r="F11" t="n">
        <v>18</v>
      </c>
      <c r="G11" t="n">
        <v>10</v>
      </c>
      <c r="H11" t="n">
        <v>42889</v>
      </c>
      <c r="I11" t="n">
        <v>15734624</v>
      </c>
      <c r="J11" t="n">
        <v>24</v>
      </c>
      <c r="K11" t="n">
        <v>13</v>
      </c>
      <c r="L11" t="n">
        <v>16</v>
      </c>
      <c r="M11" t="n">
        <v>291</v>
      </c>
      <c r="N11" t="n">
        <v>8</v>
      </c>
    </row>
    <row r="12">
      <c r="A12" t="inlineStr">
        <is>
          <t>Kep</t>
        </is>
      </c>
      <c r="B12" t="n">
        <v>35</v>
      </c>
      <c r="C12" t="n">
        <v>34</v>
      </c>
      <c r="D12" t="n">
        <v>7</v>
      </c>
      <c r="E12" t="n">
        <v>2</v>
      </c>
      <c r="F12" t="n">
        <v>0</v>
      </c>
      <c r="G12" t="n">
        <v>0</v>
      </c>
      <c r="H12" t="n">
        <v>66392</v>
      </c>
      <c r="I12" t="n">
        <v>10941171</v>
      </c>
      <c r="J12" t="n">
        <v>1</v>
      </c>
      <c r="K12" t="n">
        <v>0</v>
      </c>
      <c r="L12" t="n">
        <v>0</v>
      </c>
      <c r="M12" t="n">
        <v>28</v>
      </c>
      <c r="N12" t="n">
        <v>0</v>
      </c>
    </row>
    <row r="13">
      <c r="A13" t="inlineStr">
        <is>
          <t>Koh Kong</t>
        </is>
      </c>
      <c r="B13" t="n">
        <v>197</v>
      </c>
      <c r="C13" t="n">
        <v>186</v>
      </c>
      <c r="D13" t="n">
        <v>6</v>
      </c>
      <c r="E13" t="n">
        <v>2</v>
      </c>
      <c r="F13" t="n">
        <v>7</v>
      </c>
      <c r="G13" t="n">
        <v>0</v>
      </c>
      <c r="H13" t="n">
        <v>570032</v>
      </c>
      <c r="I13" t="n">
        <v>70449073</v>
      </c>
      <c r="J13" t="n">
        <v>30</v>
      </c>
      <c r="K13" t="n">
        <v>3</v>
      </c>
      <c r="L13" t="n">
        <v>24</v>
      </c>
      <c r="M13" t="n">
        <v>100</v>
      </c>
      <c r="N13" t="n">
        <v>0</v>
      </c>
    </row>
    <row r="14">
      <c r="A14" t="inlineStr">
        <is>
          <t>Kratie</t>
        </is>
      </c>
      <c r="B14" t="n">
        <v>422</v>
      </c>
      <c r="C14" t="n">
        <v>405</v>
      </c>
      <c r="D14" t="n">
        <v>7</v>
      </c>
      <c r="E14" t="n">
        <v>2</v>
      </c>
      <c r="F14" t="n">
        <v>7</v>
      </c>
      <c r="G14" t="n">
        <v>0</v>
      </c>
      <c r="H14" t="n">
        <v>57461</v>
      </c>
      <c r="I14" t="n">
        <v>11499434</v>
      </c>
      <c r="J14" t="n">
        <v>42</v>
      </c>
      <c r="K14" t="n">
        <v>22</v>
      </c>
      <c r="L14" t="n">
        <v>11</v>
      </c>
      <c r="M14" t="n">
        <v>204</v>
      </c>
      <c r="N14" t="n">
        <v>6</v>
      </c>
    </row>
    <row r="15">
      <c r="A15" t="inlineStr">
        <is>
          <t>Mondul Kiri</t>
        </is>
      </c>
      <c r="B15" t="n">
        <v>116</v>
      </c>
      <c r="C15" t="n">
        <v>107</v>
      </c>
      <c r="D15" t="n">
        <v>6</v>
      </c>
      <c r="E15" t="n">
        <v>2</v>
      </c>
      <c r="F15" t="n">
        <v>0</v>
      </c>
      <c r="G15" t="n">
        <v>0</v>
      </c>
      <c r="H15" t="n">
        <v>66419</v>
      </c>
      <c r="I15" t="n">
        <v>11620402</v>
      </c>
      <c r="J15" t="n">
        <v>14</v>
      </c>
      <c r="K15" t="n">
        <v>5</v>
      </c>
      <c r="L15" t="n">
        <v>12</v>
      </c>
      <c r="M15" t="n">
        <v>66</v>
      </c>
      <c r="N15" t="n">
        <v>1</v>
      </c>
    </row>
    <row r="16">
      <c r="A16" t="inlineStr">
        <is>
          <t>Otdar Meanchey</t>
        </is>
      </c>
      <c r="B16" t="n">
        <v>332</v>
      </c>
      <c r="C16" t="n">
        <v>316</v>
      </c>
      <c r="D16" t="n">
        <v>5</v>
      </c>
      <c r="E16" t="n">
        <v>1</v>
      </c>
      <c r="F16" t="n">
        <v>2</v>
      </c>
      <c r="G16" t="n">
        <v>1</v>
      </c>
      <c r="H16" t="n">
        <v>69574</v>
      </c>
      <c r="I16" t="n">
        <v>10455374</v>
      </c>
      <c r="J16" t="n">
        <v>39</v>
      </c>
      <c r="K16" t="n">
        <v>41</v>
      </c>
      <c r="L16" t="n">
        <v>13</v>
      </c>
      <c r="M16" t="n">
        <v>102</v>
      </c>
      <c r="N16" t="n">
        <v>3</v>
      </c>
    </row>
    <row r="17">
      <c r="A17" t="inlineStr">
        <is>
          <t>Pailin</t>
        </is>
      </c>
      <c r="B17" t="n">
        <v>72</v>
      </c>
      <c r="C17" t="n">
        <v>69</v>
      </c>
      <c r="D17" t="n">
        <v>5</v>
      </c>
      <c r="E17" t="n">
        <v>2</v>
      </c>
      <c r="F17" t="n">
        <v>0</v>
      </c>
      <c r="G17" t="n">
        <v>0</v>
      </c>
      <c r="H17" t="n">
        <v>63926</v>
      </c>
      <c r="I17" t="n">
        <v>12026426</v>
      </c>
      <c r="J17" t="n">
        <v>4</v>
      </c>
      <c r="K17" t="n">
        <v>1</v>
      </c>
      <c r="L17" t="n">
        <v>5</v>
      </c>
      <c r="M17" t="n">
        <v>10</v>
      </c>
      <c r="N17" t="n">
        <v>0</v>
      </c>
    </row>
    <row r="18">
      <c r="A18" t="inlineStr">
        <is>
          <t>Phnom Penh</t>
        </is>
      </c>
      <c r="B18" t="n">
        <v>360</v>
      </c>
      <c r="C18" t="n">
        <v>340</v>
      </c>
      <c r="D18" t="n">
        <v>9</v>
      </c>
      <c r="E18" t="n">
        <v>4</v>
      </c>
      <c r="F18" t="n">
        <v>1</v>
      </c>
      <c r="G18" t="n">
        <v>0</v>
      </c>
      <c r="H18" t="n">
        <v>35642</v>
      </c>
      <c r="I18" t="n">
        <v>21811142</v>
      </c>
      <c r="J18" t="n">
        <v>78</v>
      </c>
      <c r="K18" t="n">
        <v>15</v>
      </c>
      <c r="L18" t="n">
        <v>16</v>
      </c>
      <c r="M18" t="n">
        <v>90</v>
      </c>
      <c r="N18" t="n">
        <v>6</v>
      </c>
    </row>
    <row r="19">
      <c r="A19" t="inlineStr">
        <is>
          <t>Preah Sihanouk</t>
        </is>
      </c>
      <c r="B19" t="n">
        <v>144</v>
      </c>
      <c r="C19" t="n">
        <v>130</v>
      </c>
      <c r="D19" t="n">
        <v>7</v>
      </c>
      <c r="E19" t="n">
        <v>3</v>
      </c>
      <c r="F19" t="n">
        <v>2</v>
      </c>
      <c r="G19" t="n">
        <v>0</v>
      </c>
      <c r="H19" t="n">
        <v>47900</v>
      </c>
      <c r="I19" t="n">
        <v>14100375</v>
      </c>
      <c r="J19" t="n">
        <v>16</v>
      </c>
      <c r="K19" t="n">
        <v>3</v>
      </c>
      <c r="L19" t="n">
        <v>1</v>
      </c>
      <c r="M19" t="n">
        <v>12</v>
      </c>
      <c r="N19" t="n">
        <v>1</v>
      </c>
    </row>
    <row r="20">
      <c r="A20" t="inlineStr">
        <is>
          <t>Preah Vihear</t>
        </is>
      </c>
      <c r="B20" t="n">
        <v>349</v>
      </c>
      <c r="C20" t="n">
        <v>344</v>
      </c>
      <c r="D20" t="n">
        <v>8</v>
      </c>
      <c r="E20" t="n">
        <v>3</v>
      </c>
      <c r="F20" t="n">
        <v>2</v>
      </c>
      <c r="G20" t="n">
        <v>-1</v>
      </c>
      <c r="H20" t="n">
        <v>71370</v>
      </c>
      <c r="I20" t="n">
        <v>9705553</v>
      </c>
      <c r="J20" t="n">
        <v>39</v>
      </c>
      <c r="K20" t="n">
        <v>18</v>
      </c>
      <c r="L20" t="n">
        <v>14</v>
      </c>
      <c r="M20" t="n">
        <v>152</v>
      </c>
      <c r="N20" t="n">
        <v>5</v>
      </c>
    </row>
    <row r="21">
      <c r="A21" t="inlineStr">
        <is>
          <t>Prey Veng</t>
        </is>
      </c>
      <c r="B21" t="n">
        <v>970</v>
      </c>
      <c r="C21" t="n">
        <v>915</v>
      </c>
      <c r="D21" t="n">
        <v>7</v>
      </c>
      <c r="E21" t="n">
        <v>2</v>
      </c>
      <c r="F21" t="n">
        <v>1</v>
      </c>
      <c r="G21" t="n">
        <v>1</v>
      </c>
      <c r="H21" t="n">
        <v>48146</v>
      </c>
      <c r="I21" t="n">
        <v>10388864</v>
      </c>
      <c r="J21" t="n">
        <v>204</v>
      </c>
      <c r="K21" t="n">
        <v>38</v>
      </c>
      <c r="L21" t="n">
        <v>47</v>
      </c>
      <c r="M21" t="n">
        <v>476</v>
      </c>
      <c r="N21" t="n">
        <v>58</v>
      </c>
    </row>
    <row r="22">
      <c r="A22" t="inlineStr">
        <is>
          <t>Pursat</t>
        </is>
      </c>
      <c r="B22" t="n">
        <v>478</v>
      </c>
      <c r="C22" t="n">
        <v>468</v>
      </c>
      <c r="D22" t="n">
        <v>6</v>
      </c>
      <c r="E22" t="n">
        <v>2</v>
      </c>
      <c r="F22" t="n">
        <v>5</v>
      </c>
      <c r="G22" t="n">
        <v>2</v>
      </c>
      <c r="H22" t="n">
        <v>53958</v>
      </c>
      <c r="I22" t="n">
        <v>9990529</v>
      </c>
      <c r="J22" t="n">
        <v>77</v>
      </c>
      <c r="K22" t="n">
        <v>22</v>
      </c>
      <c r="L22" t="n">
        <v>34</v>
      </c>
      <c r="M22" t="n">
        <v>253</v>
      </c>
      <c r="N22" t="n">
        <v>8</v>
      </c>
    </row>
    <row r="23">
      <c r="A23" t="inlineStr">
        <is>
          <t>Ratanak Kiri</t>
        </is>
      </c>
      <c r="B23" t="n">
        <v>308</v>
      </c>
      <c r="C23" t="n">
        <v>298</v>
      </c>
      <c r="D23" t="n">
        <v>6</v>
      </c>
      <c r="E23" t="n">
        <v>2</v>
      </c>
      <c r="F23" t="n">
        <v>27</v>
      </c>
      <c r="G23" t="n">
        <v>0</v>
      </c>
      <c r="H23" t="n">
        <v>73928</v>
      </c>
      <c r="I23" t="n">
        <v>12728947</v>
      </c>
      <c r="J23" t="n">
        <v>13</v>
      </c>
      <c r="K23" t="n">
        <v>20</v>
      </c>
      <c r="L23" t="n">
        <v>23</v>
      </c>
      <c r="M23" t="n">
        <v>130</v>
      </c>
      <c r="N23" t="n">
        <v>0</v>
      </c>
    </row>
    <row r="24">
      <c r="A24" t="inlineStr">
        <is>
          <t>Siemreap</t>
        </is>
      </c>
      <c r="B24" t="n">
        <v>945</v>
      </c>
      <c r="C24" t="n">
        <v>919</v>
      </c>
      <c r="D24" t="n">
        <v>8</v>
      </c>
      <c r="E24" t="n">
        <v>3</v>
      </c>
      <c r="F24" t="n">
        <v>11</v>
      </c>
      <c r="G24" t="n">
        <v>29</v>
      </c>
      <c r="H24" t="n">
        <v>57282</v>
      </c>
      <c r="I24" t="n">
        <v>13180032</v>
      </c>
      <c r="J24" t="n">
        <v>128</v>
      </c>
      <c r="K24" t="n">
        <v>42</v>
      </c>
      <c r="L24" t="n">
        <v>33</v>
      </c>
      <c r="M24" t="n">
        <v>399</v>
      </c>
      <c r="N24" t="n">
        <v>19</v>
      </c>
    </row>
    <row r="25">
      <c r="A25" t="inlineStr">
        <is>
          <t>Stung Treng</t>
        </is>
      </c>
      <c r="B25" t="n">
        <v>234</v>
      </c>
      <c r="C25" t="n">
        <v>234</v>
      </c>
      <c r="D25" t="n">
        <v>6</v>
      </c>
      <c r="E25" t="n">
        <v>2</v>
      </c>
      <c r="F25" t="n">
        <v>23</v>
      </c>
      <c r="G25" t="n">
        <v>0</v>
      </c>
      <c r="H25" t="n">
        <v>76671</v>
      </c>
      <c r="I25" t="n">
        <v>11112503</v>
      </c>
      <c r="J25" t="n">
        <v>17</v>
      </c>
      <c r="K25" t="n">
        <v>11</v>
      </c>
      <c r="L25" t="n">
        <v>8</v>
      </c>
      <c r="M25" t="n">
        <v>138</v>
      </c>
      <c r="N25" t="n">
        <v>0</v>
      </c>
    </row>
    <row r="26">
      <c r="A26" t="inlineStr">
        <is>
          <t>Svay Rieng</t>
        </is>
      </c>
      <c r="B26" t="n">
        <v>439</v>
      </c>
      <c r="C26" t="n">
        <v>429</v>
      </c>
      <c r="D26" t="n">
        <v>10</v>
      </c>
      <c r="E26" t="n">
        <v>2</v>
      </c>
      <c r="F26" t="n">
        <v>12</v>
      </c>
      <c r="G26" t="n">
        <v>0</v>
      </c>
      <c r="H26" t="n">
        <v>49730</v>
      </c>
      <c r="I26" t="n">
        <v>11448052</v>
      </c>
      <c r="J26" t="n">
        <v>130</v>
      </c>
      <c r="K26" t="n">
        <v>18</v>
      </c>
      <c r="L26" t="n">
        <v>31</v>
      </c>
      <c r="M26" t="n">
        <v>240</v>
      </c>
      <c r="N26" t="n">
        <v>72</v>
      </c>
    </row>
    <row r="27">
      <c r="A27" t="inlineStr">
        <is>
          <t>Takeo</t>
        </is>
      </c>
      <c r="B27" t="n">
        <v>732</v>
      </c>
      <c r="C27" t="n">
        <v>705</v>
      </c>
      <c r="D27" t="n">
        <v>10</v>
      </c>
      <c r="E27" t="n">
        <v>2</v>
      </c>
      <c r="F27" t="n">
        <v>9</v>
      </c>
      <c r="G27" t="n">
        <v>0</v>
      </c>
      <c r="H27" t="n">
        <v>49695</v>
      </c>
      <c r="I27" t="n">
        <v>11823126</v>
      </c>
      <c r="J27" t="n">
        <v>89</v>
      </c>
      <c r="K27" t="n">
        <v>25</v>
      </c>
      <c r="L27" t="n">
        <v>17</v>
      </c>
      <c r="M27" t="n">
        <v>271</v>
      </c>
      <c r="N27" t="n">
        <v>18</v>
      </c>
    </row>
    <row r="28">
      <c r="A28" t="inlineStr">
        <is>
          <t>Tbaung Khmum</t>
        </is>
      </c>
      <c r="B28" t="n">
        <v>664</v>
      </c>
      <c r="C28" t="n">
        <v>639</v>
      </c>
      <c r="D28" t="n">
        <v>6</v>
      </c>
      <c r="E28" t="n">
        <v>2</v>
      </c>
      <c r="F28" t="n">
        <v>16</v>
      </c>
      <c r="G28" t="n">
        <v>0</v>
      </c>
      <c r="H28" t="n">
        <v>47517</v>
      </c>
      <c r="I28" t="n">
        <v>10705143</v>
      </c>
      <c r="J28" t="n">
        <v>57</v>
      </c>
      <c r="K28" t="n">
        <v>20</v>
      </c>
      <c r="L28" t="n">
        <v>43</v>
      </c>
      <c r="M28" t="n">
        <v>306</v>
      </c>
      <c r="N28" t="n">
        <v>4</v>
      </c>
    </row>
    <row r="29">
      <c r="A29" t="inlineStr">
        <is>
          <t>Whole Kingdom</t>
        </is>
      </c>
      <c r="B29" t="n">
        <v>12377</v>
      </c>
      <c r="C29" t="n">
        <v>11863</v>
      </c>
      <c r="D29" t="n">
        <v>7</v>
      </c>
      <c r="E29" t="n">
        <v>2</v>
      </c>
      <c r="F29" t="n">
        <v>208</v>
      </c>
      <c r="G29" t="n">
        <v>54</v>
      </c>
      <c r="H29" t="n">
        <v>60151</v>
      </c>
      <c r="I29" t="n">
        <v>13874789</v>
      </c>
      <c r="J29" t="n">
        <v>1667</v>
      </c>
      <c r="K29" t="n">
        <v>552</v>
      </c>
      <c r="L29" t="n">
        <v>540</v>
      </c>
      <c r="M29" t="n">
        <v>5494</v>
      </c>
      <c r="N29" t="n">
        <v>370</v>
      </c>
    </row>
    <row r="30">
      <c r="A30" t="inlineStr">
        <is>
          <t>-  Urban Area</t>
        </is>
      </c>
      <c r="B30" t="n">
        <v>1330</v>
      </c>
      <c r="C30" t="n">
        <v>1266</v>
      </c>
      <c r="D30" t="n">
        <v>8</v>
      </c>
      <c r="E30" t="n">
        <v>3</v>
      </c>
      <c r="F30" t="n">
        <v>18</v>
      </c>
      <c r="G30" t="n">
        <v>34</v>
      </c>
      <c r="H30" t="n">
        <v>41666</v>
      </c>
      <c r="I30" t="n">
        <v>17020180</v>
      </c>
      <c r="J30" t="n">
        <v>178</v>
      </c>
      <c r="K30" t="n">
        <v>70</v>
      </c>
      <c r="L30" t="n">
        <v>50</v>
      </c>
      <c r="M30" t="n">
        <v>472</v>
      </c>
      <c r="N30" t="n">
        <v>20</v>
      </c>
    </row>
    <row r="31">
      <c r="A31" t="inlineStr">
        <is>
          <t>-  Rural Area</t>
        </is>
      </c>
      <c r="B31" t="n">
        <v>11047</v>
      </c>
      <c r="C31" t="n">
        <v>10597</v>
      </c>
      <c r="D31" t="n">
        <v>7</v>
      </c>
      <c r="E31" t="n">
        <v>2</v>
      </c>
      <c r="F31" t="n">
        <v>190</v>
      </c>
      <c r="G31" t="n">
        <v>20</v>
      </c>
      <c r="H31" t="n">
        <v>64537</v>
      </c>
      <c r="I31" t="n">
        <v>13492794</v>
      </c>
      <c r="J31" t="n">
        <v>1489</v>
      </c>
      <c r="K31" t="n">
        <v>482</v>
      </c>
      <c r="L31" t="n">
        <v>490</v>
      </c>
      <c r="M31" t="n">
        <v>5022</v>
      </c>
      <c r="N31" t="n">
        <v>350</v>
      </c>
    </row>
  </sheetData>
  <mergeCells count="5">
    <mergeCell ref="H2:I2"/>
    <mergeCell ref="J2:N2"/>
    <mergeCell ref="A1:O1"/>
    <mergeCell ref="A2:A3"/>
    <mergeCell ref="B2: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A9D18E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7109375" customWidth="1" min="2" max="2"/>
    <col width="8.42578125" customWidth="1" min="3" max="3"/>
    <col width="8.7109375" customWidth="1" min="4" max="4"/>
    <col width="8.42578125" customWidth="1" min="5" max="5"/>
    <col width="8.7109375" customWidth="1" min="6" max="6"/>
    <col width="8.42578125" customWidth="1" min="7" max="7"/>
    <col width="8.7109375" customWidth="1" min="8" max="8"/>
    <col width="8.42578125" customWidth="1" min="9" max="9"/>
    <col width="9.42578125" customWidth="1" min="11" max="11"/>
    <col width="7.7109375" customWidth="1" min="12" max="12"/>
  </cols>
  <sheetData>
    <row r="1">
      <c r="A1" t="inlineStr">
        <is>
          <t>Table 22: Condition of School Buildings</t>
        </is>
      </c>
    </row>
    <row r="2">
      <c r="A2" t="inlineStr">
        <is>
          <t>Province</t>
        </is>
      </c>
      <c r="B2" t="inlineStr">
        <is>
          <t>Total Number of</t>
        </is>
      </c>
      <c r="D2" t="inlineStr">
        <is>
          <t>Concrete/Brick Structure</t>
        </is>
      </c>
      <c r="F2" t="inlineStr">
        <is>
          <t>Wooden Structure</t>
        </is>
      </c>
      <c r="H2" t="inlineStr">
        <is>
          <t>Bamboo Structure</t>
        </is>
      </c>
      <c r="J2" t="inlineStr">
        <is>
          <t>New Buildings</t>
        </is>
      </c>
      <c r="L2" t="inlineStr">
        <is>
          <t>Buildings Without Good</t>
        </is>
      </c>
    </row>
    <row r="3">
      <c r="B3" t="inlineStr">
        <is>
          <t>Buildings</t>
        </is>
      </c>
      <c r="C3" t="inlineStr">
        <is>
          <t>Rooms</t>
        </is>
      </c>
      <c r="D3" t="inlineStr">
        <is>
          <t>Buildings</t>
        </is>
      </c>
      <c r="E3" t="inlineStr">
        <is>
          <t>Rooms</t>
        </is>
      </c>
      <c r="F3" t="inlineStr">
        <is>
          <t>Buildings</t>
        </is>
      </c>
      <c r="G3" t="inlineStr">
        <is>
          <t>Rooms</t>
        </is>
      </c>
      <c r="H3" t="inlineStr">
        <is>
          <t>Buildings</t>
        </is>
      </c>
      <c r="I3" t="inlineStr">
        <is>
          <t>Rooms</t>
        </is>
      </c>
      <c r="J3" t="inlineStr">
        <is>
          <t>Repaired</t>
        </is>
      </c>
      <c r="K3" t="inlineStr">
        <is>
          <t>Constructed</t>
        </is>
      </c>
      <c r="L3" t="inlineStr">
        <is>
          <t>Floor</t>
        </is>
      </c>
      <c r="M3" t="inlineStr">
        <is>
          <t>Roof</t>
        </is>
      </c>
      <c r="N3" t="inlineStr">
        <is>
          <t>Wall</t>
        </is>
      </c>
    </row>
    <row r="4">
      <c r="A4" t="inlineStr">
        <is>
          <t>Banteay Meanchey</t>
        </is>
      </c>
      <c r="B4" t="n">
        <v>1192</v>
      </c>
      <c r="C4" t="n">
        <v>5347</v>
      </c>
      <c r="D4" t="n">
        <v>993</v>
      </c>
      <c r="E4" t="n">
        <v>4749</v>
      </c>
      <c r="F4" t="n">
        <v>199</v>
      </c>
      <c r="G4" t="n">
        <v>598</v>
      </c>
      <c r="H4" t="n">
        <v>0</v>
      </c>
      <c r="I4" t="n">
        <v>0</v>
      </c>
      <c r="J4" t="n">
        <v>2120</v>
      </c>
      <c r="K4" t="n">
        <v>2151</v>
      </c>
      <c r="L4" t="n">
        <v>1382</v>
      </c>
      <c r="M4" t="n">
        <v>1271</v>
      </c>
      <c r="N4" t="n">
        <v>1213</v>
      </c>
    </row>
    <row r="5">
      <c r="A5" t="inlineStr">
        <is>
          <t>Battambang</t>
        </is>
      </c>
      <c r="B5" t="n">
        <v>1722</v>
      </c>
      <c r="C5" t="n">
        <v>7364</v>
      </c>
      <c r="D5" t="n">
        <v>1423</v>
      </c>
      <c r="E5" t="n">
        <v>6442</v>
      </c>
      <c r="F5" t="n">
        <v>299</v>
      </c>
      <c r="G5" t="n">
        <v>922</v>
      </c>
      <c r="H5" t="n">
        <v>0</v>
      </c>
      <c r="I5" t="n">
        <v>0</v>
      </c>
      <c r="J5" t="n">
        <v>3166</v>
      </c>
      <c r="K5" t="n">
        <v>3142</v>
      </c>
      <c r="L5" t="n">
        <v>1667</v>
      </c>
      <c r="M5" t="n">
        <v>1471</v>
      </c>
      <c r="N5" t="n">
        <v>1440</v>
      </c>
    </row>
    <row r="6">
      <c r="A6" t="inlineStr">
        <is>
          <t>Kampong Cham</t>
        </is>
      </c>
      <c r="B6" t="n">
        <v>1435</v>
      </c>
      <c r="C6" t="n">
        <v>7003</v>
      </c>
      <c r="D6" t="n">
        <v>1379</v>
      </c>
      <c r="E6" t="n">
        <v>6830</v>
      </c>
      <c r="F6" t="n">
        <v>56</v>
      </c>
      <c r="G6" t="n">
        <v>173</v>
      </c>
      <c r="H6" t="n">
        <v>0</v>
      </c>
      <c r="I6" t="n">
        <v>0</v>
      </c>
      <c r="J6" t="n">
        <v>2640</v>
      </c>
      <c r="K6" t="n">
        <v>2707</v>
      </c>
      <c r="L6" t="n">
        <v>1729</v>
      </c>
      <c r="M6" t="n">
        <v>1801</v>
      </c>
      <c r="N6" t="n">
        <v>1702</v>
      </c>
    </row>
    <row r="7">
      <c r="A7" t="inlineStr">
        <is>
          <t>Kampong Chhnang</t>
        </is>
      </c>
      <c r="B7" t="n">
        <v>842</v>
      </c>
      <c r="C7" t="n">
        <v>3888</v>
      </c>
      <c r="D7" t="n">
        <v>794</v>
      </c>
      <c r="E7" t="n">
        <v>3762</v>
      </c>
      <c r="F7" t="n">
        <v>48</v>
      </c>
      <c r="G7" t="n">
        <v>126</v>
      </c>
      <c r="H7" t="n">
        <v>0</v>
      </c>
      <c r="I7" t="n">
        <v>0</v>
      </c>
      <c r="J7" t="n">
        <v>1645</v>
      </c>
      <c r="K7" t="n">
        <v>1619</v>
      </c>
      <c r="L7" t="n">
        <v>602</v>
      </c>
      <c r="M7" t="n">
        <v>481</v>
      </c>
      <c r="N7" t="n">
        <v>444</v>
      </c>
    </row>
    <row r="8">
      <c r="A8" t="inlineStr">
        <is>
          <t>Kampong Speu</t>
        </is>
      </c>
      <c r="B8" t="n">
        <v>1092</v>
      </c>
      <c r="C8" t="n">
        <v>4605</v>
      </c>
      <c r="D8" t="n">
        <v>1041</v>
      </c>
      <c r="E8" t="n">
        <v>4454</v>
      </c>
      <c r="F8" t="n">
        <v>51</v>
      </c>
      <c r="G8" t="n">
        <v>151</v>
      </c>
      <c r="H8" t="n">
        <v>0</v>
      </c>
      <c r="I8" t="n">
        <v>0</v>
      </c>
      <c r="J8" t="n">
        <v>2074</v>
      </c>
      <c r="K8" t="n">
        <v>2131</v>
      </c>
      <c r="L8" t="n">
        <v>1068</v>
      </c>
      <c r="M8" t="n">
        <v>1115</v>
      </c>
      <c r="N8" t="n">
        <v>869</v>
      </c>
    </row>
    <row r="9">
      <c r="A9" t="inlineStr">
        <is>
          <t>Kampong Thom</t>
        </is>
      </c>
      <c r="B9" t="n">
        <v>1198</v>
      </c>
      <c r="C9" t="n">
        <v>4756</v>
      </c>
      <c r="D9" t="n">
        <v>1108</v>
      </c>
      <c r="E9" t="n">
        <v>4555</v>
      </c>
      <c r="F9" t="n">
        <v>90</v>
      </c>
      <c r="G9" t="n">
        <v>201</v>
      </c>
      <c r="H9" t="n">
        <v>0</v>
      </c>
      <c r="I9" t="n">
        <v>0</v>
      </c>
      <c r="J9" t="n">
        <v>2124</v>
      </c>
      <c r="K9" t="n">
        <v>2221</v>
      </c>
      <c r="L9" t="n">
        <v>1012</v>
      </c>
      <c r="M9" t="n">
        <v>863</v>
      </c>
      <c r="N9" t="n">
        <v>706</v>
      </c>
    </row>
    <row r="10">
      <c r="A10" t="inlineStr">
        <is>
          <t>Kampot</t>
        </is>
      </c>
      <c r="B10" t="n">
        <v>917</v>
      </c>
      <c r="C10" t="n">
        <v>4274</v>
      </c>
      <c r="D10" t="n">
        <v>886</v>
      </c>
      <c r="E10" t="n">
        <v>4185</v>
      </c>
      <c r="F10" t="n">
        <v>31</v>
      </c>
      <c r="G10" t="n">
        <v>89</v>
      </c>
      <c r="H10" t="n">
        <v>0</v>
      </c>
      <c r="I10" t="n">
        <v>0</v>
      </c>
      <c r="J10" t="n">
        <v>1721</v>
      </c>
      <c r="K10" t="n">
        <v>1749</v>
      </c>
      <c r="L10" t="n">
        <v>1054</v>
      </c>
      <c r="M10" t="n">
        <v>1019</v>
      </c>
      <c r="N10" t="n">
        <v>849</v>
      </c>
    </row>
    <row r="11">
      <c r="A11" t="inlineStr">
        <is>
          <t>Kandal</t>
        </is>
      </c>
      <c r="B11" t="n">
        <v>1511</v>
      </c>
      <c r="C11" t="n">
        <v>6924</v>
      </c>
      <c r="D11" t="n">
        <v>1488</v>
      </c>
      <c r="E11" t="n">
        <v>6866</v>
      </c>
      <c r="F11" t="n">
        <v>23</v>
      </c>
      <c r="G11" t="n">
        <v>58</v>
      </c>
      <c r="H11" t="n">
        <v>0</v>
      </c>
      <c r="I11" t="n">
        <v>0</v>
      </c>
      <c r="J11" t="n">
        <v>2516</v>
      </c>
      <c r="K11" t="n">
        <v>2593</v>
      </c>
      <c r="L11" t="n">
        <v>1440</v>
      </c>
      <c r="M11" t="n">
        <v>1324</v>
      </c>
      <c r="N11" t="n">
        <v>1106</v>
      </c>
    </row>
    <row r="12">
      <c r="A12" t="inlineStr">
        <is>
          <t>Kep</t>
        </is>
      </c>
      <c r="B12" t="n">
        <v>91</v>
      </c>
      <c r="C12" t="n">
        <v>521</v>
      </c>
      <c r="D12" t="n">
        <v>91</v>
      </c>
      <c r="E12" t="n">
        <v>521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205</v>
      </c>
      <c r="L12" t="n">
        <v>36</v>
      </c>
      <c r="M12" t="n">
        <v>50</v>
      </c>
      <c r="N12" t="n">
        <v>43</v>
      </c>
    </row>
    <row r="13">
      <c r="A13" t="inlineStr">
        <is>
          <t>Koh Kong</t>
        </is>
      </c>
      <c r="B13" t="n">
        <v>288</v>
      </c>
      <c r="C13" t="n">
        <v>1261</v>
      </c>
      <c r="D13" t="n">
        <v>233</v>
      </c>
      <c r="E13" t="n">
        <v>1131</v>
      </c>
      <c r="F13" t="n">
        <v>55</v>
      </c>
      <c r="G13" t="n">
        <v>130</v>
      </c>
      <c r="H13" t="n">
        <v>0</v>
      </c>
      <c r="I13" t="n">
        <v>0</v>
      </c>
      <c r="J13" t="n">
        <v>535</v>
      </c>
      <c r="K13" t="n">
        <v>547</v>
      </c>
      <c r="L13" t="n">
        <v>259</v>
      </c>
      <c r="M13" t="n">
        <v>287</v>
      </c>
      <c r="N13" t="n">
        <v>243</v>
      </c>
    </row>
    <row r="14">
      <c r="A14" t="inlineStr">
        <is>
          <t>Kratie</t>
        </is>
      </c>
      <c r="B14" t="n">
        <v>732</v>
      </c>
      <c r="C14" t="n">
        <v>2783</v>
      </c>
      <c r="D14" t="n">
        <v>510</v>
      </c>
      <c r="E14" t="n">
        <v>2296</v>
      </c>
      <c r="F14" t="n">
        <v>222</v>
      </c>
      <c r="G14" t="n">
        <v>487</v>
      </c>
      <c r="H14" t="n">
        <v>0</v>
      </c>
      <c r="I14" t="n">
        <v>0</v>
      </c>
      <c r="J14" t="n">
        <v>1314</v>
      </c>
      <c r="K14" t="n">
        <v>1349</v>
      </c>
      <c r="L14" t="n">
        <v>678</v>
      </c>
      <c r="M14" t="n">
        <v>625</v>
      </c>
      <c r="N14" t="n">
        <v>619</v>
      </c>
    </row>
    <row r="15">
      <c r="A15" t="inlineStr">
        <is>
          <t>Mondul Kiri</t>
        </is>
      </c>
      <c r="B15" t="n">
        <v>216</v>
      </c>
      <c r="C15" t="n">
        <v>844</v>
      </c>
      <c r="D15" t="n">
        <v>109</v>
      </c>
      <c r="E15" t="n">
        <v>578</v>
      </c>
      <c r="F15" t="n">
        <v>107</v>
      </c>
      <c r="G15" t="n">
        <v>266</v>
      </c>
      <c r="H15" t="n">
        <v>0</v>
      </c>
      <c r="I15" t="n">
        <v>0</v>
      </c>
      <c r="J15" t="n">
        <v>390</v>
      </c>
      <c r="K15" t="n">
        <v>393</v>
      </c>
      <c r="L15" t="n">
        <v>93</v>
      </c>
      <c r="M15" t="n">
        <v>55</v>
      </c>
      <c r="N15" t="n">
        <v>49</v>
      </c>
    </row>
    <row r="16">
      <c r="A16" t="inlineStr">
        <is>
          <t>Otdar Meanchey</t>
        </is>
      </c>
      <c r="B16" t="n">
        <v>431</v>
      </c>
      <c r="C16" t="n">
        <v>2058</v>
      </c>
      <c r="D16" t="n">
        <v>346</v>
      </c>
      <c r="E16" t="n">
        <v>1846</v>
      </c>
      <c r="F16" t="n">
        <v>85</v>
      </c>
      <c r="G16" t="n">
        <v>212</v>
      </c>
      <c r="H16" t="n">
        <v>0</v>
      </c>
      <c r="I16" t="n">
        <v>0</v>
      </c>
      <c r="J16" t="n">
        <v>819</v>
      </c>
      <c r="K16" t="n">
        <v>814</v>
      </c>
      <c r="L16" t="n">
        <v>344</v>
      </c>
      <c r="M16" t="n">
        <v>287</v>
      </c>
      <c r="N16" t="n">
        <v>271</v>
      </c>
    </row>
    <row r="17">
      <c r="A17" t="inlineStr">
        <is>
          <t>Pailin</t>
        </is>
      </c>
      <c r="B17" t="n">
        <v>132</v>
      </c>
      <c r="C17" t="n">
        <v>723</v>
      </c>
      <c r="D17" t="n">
        <v>122</v>
      </c>
      <c r="E17" t="n">
        <v>706</v>
      </c>
      <c r="F17" t="n">
        <v>10</v>
      </c>
      <c r="G17" t="n">
        <v>17</v>
      </c>
      <c r="H17" t="n">
        <v>0</v>
      </c>
      <c r="I17" t="n">
        <v>0</v>
      </c>
      <c r="J17" t="n">
        <v>252</v>
      </c>
      <c r="K17" t="n">
        <v>247</v>
      </c>
      <c r="L17" t="n">
        <v>158</v>
      </c>
      <c r="M17" t="n">
        <v>130</v>
      </c>
      <c r="N17" t="n">
        <v>97</v>
      </c>
    </row>
    <row r="18">
      <c r="A18" t="inlineStr">
        <is>
          <t>Phnom Penh</t>
        </is>
      </c>
      <c r="B18" t="n">
        <v>868</v>
      </c>
      <c r="C18" t="n">
        <v>5398</v>
      </c>
      <c r="D18" t="n">
        <v>852</v>
      </c>
      <c r="E18" t="n">
        <v>5339</v>
      </c>
      <c r="F18" t="n">
        <v>16</v>
      </c>
      <c r="G18" t="n">
        <v>59</v>
      </c>
      <c r="H18" t="n">
        <v>0</v>
      </c>
      <c r="I18" t="n">
        <v>0</v>
      </c>
      <c r="J18" t="n">
        <v>1513</v>
      </c>
      <c r="K18" t="n">
        <v>1550</v>
      </c>
      <c r="L18" t="n">
        <v>1177</v>
      </c>
      <c r="M18" t="n">
        <v>1282</v>
      </c>
      <c r="N18" t="n">
        <v>1050</v>
      </c>
    </row>
    <row r="19">
      <c r="A19" t="inlineStr">
        <is>
          <t>Preah Sihanouk</t>
        </is>
      </c>
      <c r="B19" t="n">
        <v>214</v>
      </c>
      <c r="C19" t="n">
        <v>1616</v>
      </c>
      <c r="D19" t="n">
        <v>206</v>
      </c>
      <c r="E19" t="n">
        <v>1595</v>
      </c>
      <c r="F19" t="n">
        <v>7</v>
      </c>
      <c r="G19" t="n">
        <v>16</v>
      </c>
      <c r="H19" t="n">
        <v>1</v>
      </c>
      <c r="I19" t="n">
        <v>5</v>
      </c>
      <c r="J19" t="n">
        <v>380</v>
      </c>
      <c r="K19" t="n">
        <v>377</v>
      </c>
      <c r="L19" t="n">
        <v>137</v>
      </c>
      <c r="M19" t="n">
        <v>145</v>
      </c>
      <c r="N19" t="n">
        <v>116</v>
      </c>
    </row>
    <row r="20">
      <c r="A20" t="inlineStr">
        <is>
          <t>Preah Vihear</t>
        </is>
      </c>
      <c r="B20" t="n">
        <v>529</v>
      </c>
      <c r="C20" t="n">
        <v>2387</v>
      </c>
      <c r="D20" t="n">
        <v>357</v>
      </c>
      <c r="E20" t="n">
        <v>1974</v>
      </c>
      <c r="F20" t="n">
        <v>172</v>
      </c>
      <c r="G20" t="n">
        <v>413</v>
      </c>
      <c r="H20" t="n">
        <v>0</v>
      </c>
      <c r="I20" t="n">
        <v>0</v>
      </c>
      <c r="J20" t="n">
        <v>1109</v>
      </c>
      <c r="K20" t="n">
        <v>1119</v>
      </c>
      <c r="L20" t="n">
        <v>507</v>
      </c>
      <c r="M20" t="n">
        <v>475</v>
      </c>
      <c r="N20" t="n">
        <v>377</v>
      </c>
    </row>
    <row r="21">
      <c r="A21" t="inlineStr">
        <is>
          <t>Prey Veng</t>
        </is>
      </c>
      <c r="B21" t="n">
        <v>1702</v>
      </c>
      <c r="C21" t="n">
        <v>7548</v>
      </c>
      <c r="D21" t="n">
        <v>1629</v>
      </c>
      <c r="E21" t="n">
        <v>7339</v>
      </c>
      <c r="F21" t="n">
        <v>73</v>
      </c>
      <c r="G21" t="n">
        <v>209</v>
      </c>
      <c r="H21" t="n">
        <v>0</v>
      </c>
      <c r="I21" t="n">
        <v>0</v>
      </c>
      <c r="J21" t="n">
        <v>3115</v>
      </c>
      <c r="K21" t="n">
        <v>3144</v>
      </c>
      <c r="L21" t="n">
        <v>1756</v>
      </c>
      <c r="M21" t="n">
        <v>1639</v>
      </c>
      <c r="N21" t="n">
        <v>1527</v>
      </c>
    </row>
    <row r="22">
      <c r="A22" t="inlineStr">
        <is>
          <t>Pursat</t>
        </is>
      </c>
      <c r="B22" t="n">
        <v>829</v>
      </c>
      <c r="C22" t="n">
        <v>3483</v>
      </c>
      <c r="D22" t="n">
        <v>649</v>
      </c>
      <c r="E22" t="n">
        <v>3044</v>
      </c>
      <c r="F22" t="n">
        <v>180</v>
      </c>
      <c r="G22" t="n">
        <v>439</v>
      </c>
      <c r="H22" t="n">
        <v>0</v>
      </c>
      <c r="I22" t="n">
        <v>0</v>
      </c>
      <c r="J22" t="n">
        <v>1504</v>
      </c>
      <c r="K22" t="n">
        <v>1536</v>
      </c>
      <c r="L22" t="n">
        <v>443</v>
      </c>
      <c r="M22" t="n">
        <v>357</v>
      </c>
      <c r="N22" t="n">
        <v>363</v>
      </c>
    </row>
    <row r="23">
      <c r="A23" t="inlineStr">
        <is>
          <t>Ratanak Kiri</t>
        </is>
      </c>
      <c r="B23" t="n">
        <v>480</v>
      </c>
      <c r="C23" t="n">
        <v>1727</v>
      </c>
      <c r="D23" t="n">
        <v>290</v>
      </c>
      <c r="E23" t="n">
        <v>1209</v>
      </c>
      <c r="F23" t="n">
        <v>190</v>
      </c>
      <c r="G23" t="n">
        <v>518</v>
      </c>
      <c r="H23" t="n">
        <v>0</v>
      </c>
      <c r="I23" t="n">
        <v>0</v>
      </c>
      <c r="J23" t="n">
        <v>959</v>
      </c>
      <c r="K23" t="n">
        <v>933</v>
      </c>
      <c r="L23" t="n">
        <v>466</v>
      </c>
      <c r="M23" t="n">
        <v>430</v>
      </c>
      <c r="N23" t="n">
        <v>357</v>
      </c>
    </row>
    <row r="24">
      <c r="A24" t="inlineStr">
        <is>
          <t>Siemreap</t>
        </is>
      </c>
      <c r="B24" t="n">
        <v>1857</v>
      </c>
      <c r="C24" t="n">
        <v>7023</v>
      </c>
      <c r="D24" t="n">
        <v>1698</v>
      </c>
      <c r="E24" t="n">
        <v>6631</v>
      </c>
      <c r="F24" t="n">
        <v>156</v>
      </c>
      <c r="G24" t="n">
        <v>385</v>
      </c>
      <c r="H24" t="n">
        <v>3</v>
      </c>
      <c r="I24" t="n">
        <v>7</v>
      </c>
      <c r="J24" t="n">
        <v>3816</v>
      </c>
      <c r="K24" t="n">
        <v>3840</v>
      </c>
      <c r="L24" t="n">
        <v>1345</v>
      </c>
      <c r="M24" t="n">
        <v>1199</v>
      </c>
      <c r="N24" t="n">
        <v>959</v>
      </c>
    </row>
    <row r="25">
      <c r="A25" t="inlineStr">
        <is>
          <t>Stung Treng</t>
        </is>
      </c>
      <c r="B25" t="n">
        <v>354</v>
      </c>
      <c r="C25" t="n">
        <v>1305</v>
      </c>
      <c r="D25" t="n">
        <v>209</v>
      </c>
      <c r="E25" t="n">
        <v>889</v>
      </c>
      <c r="F25" t="n">
        <v>145</v>
      </c>
      <c r="G25" t="n">
        <v>416</v>
      </c>
      <c r="H25" t="n">
        <v>0</v>
      </c>
      <c r="I25" t="n">
        <v>0</v>
      </c>
      <c r="J25" t="n">
        <v>627</v>
      </c>
      <c r="K25" t="n">
        <v>635</v>
      </c>
      <c r="L25" t="n">
        <v>255</v>
      </c>
      <c r="M25" t="n">
        <v>253</v>
      </c>
      <c r="N25" t="n">
        <v>231</v>
      </c>
    </row>
    <row r="26">
      <c r="A26" t="inlineStr">
        <is>
          <t>Svay Rieng</t>
        </is>
      </c>
      <c r="B26" t="n">
        <v>940</v>
      </c>
      <c r="C26" t="n">
        <v>4066</v>
      </c>
      <c r="D26" t="n">
        <v>918</v>
      </c>
      <c r="E26" t="n">
        <v>4009</v>
      </c>
      <c r="F26" t="n">
        <v>22</v>
      </c>
      <c r="G26" t="n">
        <v>57</v>
      </c>
      <c r="H26" t="n">
        <v>0</v>
      </c>
      <c r="I26" t="n">
        <v>0</v>
      </c>
      <c r="J26" t="n">
        <v>1698</v>
      </c>
      <c r="K26" t="n">
        <v>1718</v>
      </c>
      <c r="L26" t="n">
        <v>928</v>
      </c>
      <c r="M26" t="n">
        <v>798</v>
      </c>
      <c r="N26" t="n">
        <v>791</v>
      </c>
    </row>
    <row r="27">
      <c r="A27" t="inlineStr">
        <is>
          <t>Takeo</t>
        </is>
      </c>
      <c r="B27" t="n">
        <v>1636</v>
      </c>
      <c r="C27" t="n">
        <v>7486</v>
      </c>
      <c r="D27" t="n">
        <v>1607</v>
      </c>
      <c r="E27" t="n">
        <v>7389</v>
      </c>
      <c r="F27" t="n">
        <v>29</v>
      </c>
      <c r="G27" t="n">
        <v>97</v>
      </c>
      <c r="H27" t="n">
        <v>0</v>
      </c>
      <c r="I27" t="n">
        <v>0</v>
      </c>
      <c r="J27" t="n">
        <v>2926</v>
      </c>
      <c r="K27" t="n">
        <v>3040</v>
      </c>
      <c r="L27" t="n">
        <v>1980</v>
      </c>
      <c r="M27" t="n">
        <v>1953</v>
      </c>
      <c r="N27" t="n">
        <v>1651</v>
      </c>
    </row>
    <row r="28">
      <c r="A28" t="inlineStr">
        <is>
          <t>Tbaung Khmum</t>
        </is>
      </c>
      <c r="B28" t="n">
        <v>1063</v>
      </c>
      <c r="C28" t="n">
        <v>4821</v>
      </c>
      <c r="D28" t="n">
        <v>1027</v>
      </c>
      <c r="E28" t="n">
        <v>4725</v>
      </c>
      <c r="F28" t="n">
        <v>35</v>
      </c>
      <c r="G28" t="n">
        <v>96</v>
      </c>
      <c r="H28" t="n">
        <v>1</v>
      </c>
      <c r="I28" t="n">
        <v>0</v>
      </c>
      <c r="J28" t="n">
        <v>1887</v>
      </c>
      <c r="K28" t="n">
        <v>1914</v>
      </c>
      <c r="L28" t="n">
        <v>1027</v>
      </c>
      <c r="M28" t="n">
        <v>992</v>
      </c>
      <c r="N28" t="n">
        <v>784</v>
      </c>
    </row>
    <row r="29">
      <c r="A29" t="inlineStr">
        <is>
          <t>Whole Kingdom</t>
        </is>
      </c>
      <c r="B29" t="n">
        <v>22271</v>
      </c>
      <c r="C29" t="n">
        <v>99211</v>
      </c>
      <c r="D29" t="n">
        <v>19965</v>
      </c>
      <c r="E29" t="n">
        <v>93064</v>
      </c>
      <c r="F29" t="n">
        <v>2301</v>
      </c>
      <c r="G29" t="n">
        <v>6135</v>
      </c>
      <c r="H29" t="n">
        <v>5</v>
      </c>
      <c r="I29" t="n">
        <v>12</v>
      </c>
      <c r="J29" t="n">
        <v>41052</v>
      </c>
      <c r="K29" t="n">
        <v>41674</v>
      </c>
      <c r="L29" t="n">
        <v>21543</v>
      </c>
      <c r="M29" t="n">
        <v>20302</v>
      </c>
      <c r="N29" t="n">
        <v>17857</v>
      </c>
    </row>
    <row r="30">
      <c r="A30" t="inlineStr">
        <is>
          <t>-  Urban Area</t>
        </is>
      </c>
      <c r="B30" t="n">
        <v>3195</v>
      </c>
      <c r="C30" t="n">
        <v>17047</v>
      </c>
      <c r="D30" t="n">
        <v>2996</v>
      </c>
      <c r="E30" t="n">
        <v>16467</v>
      </c>
      <c r="F30" t="n">
        <v>198</v>
      </c>
      <c r="G30" t="n">
        <v>575</v>
      </c>
      <c r="H30" t="n">
        <v>1</v>
      </c>
      <c r="I30" t="n">
        <v>5</v>
      </c>
      <c r="J30" t="n">
        <v>5655</v>
      </c>
      <c r="K30" t="n">
        <v>5742</v>
      </c>
      <c r="L30" t="n">
        <v>3449</v>
      </c>
      <c r="M30" t="n">
        <v>3367</v>
      </c>
      <c r="N30" t="n">
        <v>2847</v>
      </c>
    </row>
    <row r="31">
      <c r="A31" t="inlineStr">
        <is>
          <t>-  Rural Area</t>
        </is>
      </c>
      <c r="B31" t="n">
        <v>19076</v>
      </c>
      <c r="C31" t="n">
        <v>82164</v>
      </c>
      <c r="D31" t="n">
        <v>16969</v>
      </c>
      <c r="E31" t="n">
        <v>76597</v>
      </c>
      <c r="F31" t="n">
        <v>2103</v>
      </c>
      <c r="G31" t="n">
        <v>5560</v>
      </c>
      <c r="H31" t="n">
        <v>4</v>
      </c>
      <c r="I31" t="n">
        <v>7</v>
      </c>
      <c r="J31" t="n">
        <v>35397</v>
      </c>
      <c r="K31" t="n">
        <v>35932</v>
      </c>
      <c r="L31" t="n">
        <v>18094</v>
      </c>
      <c r="M31" t="n">
        <v>16935</v>
      </c>
      <c r="N31" t="n">
        <v>15010</v>
      </c>
    </row>
  </sheetData>
  <mergeCells count="8">
    <mergeCell ref="F2:G2"/>
    <mergeCell ref="B2:C2"/>
    <mergeCell ref="H2:I2"/>
    <mergeCell ref="D2:E2"/>
    <mergeCell ref="J2:K2"/>
    <mergeCell ref="A1:O1"/>
    <mergeCell ref="A2:A3"/>
    <mergeCell ref="L2:N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A9D18E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6.42578125" customWidth="1" min="2" max="2"/>
    <col width="10.140625" customWidth="1" min="3" max="3"/>
    <col width="10.28515625" customWidth="1" min="4" max="4"/>
    <col width="12" customWidth="1" min="5" max="5"/>
    <col width="9.28515625" customWidth="1" min="6" max="6"/>
    <col width="8" customWidth="1" min="7" max="7"/>
    <col width="9.42578125" customWidth="1" min="8" max="8"/>
    <col width="10" customWidth="1" min="9" max="9"/>
    <col width="9.140625" customWidth="1" min="10" max="10"/>
    <col width="9.85546875" customWidth="1" min="11" max="11"/>
    <col width="10" customWidth="1" min="12" max="12"/>
    <col width="8" customWidth="1" min="13" max="13"/>
  </cols>
  <sheetData>
    <row r="1">
      <c r="A1" t="inlineStr">
        <is>
          <t>Table 24: School Space and Sports Facilities</t>
        </is>
      </c>
    </row>
    <row r="2">
      <c r="A2" t="inlineStr">
        <is>
          <t>Province</t>
        </is>
      </c>
      <c r="B2" t="inlineStr">
        <is>
          <t>School Area (m2)</t>
        </is>
      </c>
      <c r="D2" t="inlineStr">
        <is>
          <t>Cl.room Area</t>
        </is>
      </c>
      <c r="E2" t="inlineStr">
        <is>
          <t>Pre-School with</t>
        </is>
      </c>
      <c r="F2" t="inlineStr">
        <is>
          <t>Schools with Sport Ground, Equipment and Teams / Player for</t>
        </is>
      </c>
    </row>
    <row r="3">
      <c r="B3" t="inlineStr">
        <is>
          <t>Land</t>
        </is>
      </c>
      <c r="C3" t="inlineStr">
        <is>
          <t>Playground</t>
        </is>
      </c>
      <c r="D3" t="inlineStr">
        <is>
          <t>per Student</t>
        </is>
      </c>
      <c r="E3" t="inlineStr">
        <is>
          <t>Sport Facility</t>
        </is>
      </c>
      <c r="F3" t="inlineStr">
        <is>
          <t>Volleyball</t>
        </is>
      </c>
      <c r="G3" t="inlineStr">
        <is>
          <t>Football</t>
        </is>
      </c>
      <c r="H3" t="inlineStr">
        <is>
          <t>Basketball</t>
        </is>
      </c>
      <c r="I3" t="inlineStr">
        <is>
          <t>Climb.Ropes</t>
        </is>
      </c>
      <c r="J3" t="inlineStr">
        <is>
          <t>Shotput</t>
        </is>
      </c>
      <c r="K3" t="inlineStr">
        <is>
          <t>High Jump</t>
        </is>
      </c>
      <c r="L3" t="inlineStr">
        <is>
          <t>Long Jump</t>
        </is>
      </c>
      <c r="M3" t="inlineStr">
        <is>
          <t>Running</t>
        </is>
      </c>
    </row>
    <row r="4">
      <c r="A4" t="inlineStr">
        <is>
          <t>Banteay Meanchey</t>
        </is>
      </c>
      <c r="B4" t="n">
        <v>38262</v>
      </c>
      <c r="C4" t="n">
        <v>11108</v>
      </c>
      <c r="D4" t="n">
        <v>1.38</v>
      </c>
      <c r="E4" t="n">
        <v>159</v>
      </c>
      <c r="F4" t="n">
        <v>141</v>
      </c>
      <c r="G4" t="n">
        <v>167</v>
      </c>
      <c r="H4" t="n">
        <v>23</v>
      </c>
      <c r="I4" t="n">
        <v>26</v>
      </c>
      <c r="J4" t="n">
        <v>43</v>
      </c>
      <c r="K4" t="n">
        <v>81</v>
      </c>
      <c r="L4" t="n">
        <v>67</v>
      </c>
      <c r="M4" t="n">
        <v>73</v>
      </c>
    </row>
    <row r="5">
      <c r="A5" t="inlineStr">
        <is>
          <t>Battambang</t>
        </is>
      </c>
      <c r="B5" t="n">
        <v>49856</v>
      </c>
      <c r="C5" t="n">
        <v>5843</v>
      </c>
      <c r="D5" t="n">
        <v>1.24</v>
      </c>
      <c r="E5" t="n">
        <v>209</v>
      </c>
      <c r="F5" t="n">
        <v>167</v>
      </c>
      <c r="G5" t="n">
        <v>152</v>
      </c>
      <c r="H5" t="n">
        <v>25</v>
      </c>
      <c r="I5" t="n">
        <v>43</v>
      </c>
      <c r="J5" t="n">
        <v>63</v>
      </c>
      <c r="K5" t="n">
        <v>90</v>
      </c>
      <c r="L5" t="n">
        <v>80</v>
      </c>
      <c r="M5" t="n">
        <v>111</v>
      </c>
    </row>
    <row r="6">
      <c r="A6" t="inlineStr">
        <is>
          <t>Kampong Cham</t>
        </is>
      </c>
      <c r="B6" t="n">
        <v>18721</v>
      </c>
      <c r="C6" t="n">
        <v>8885</v>
      </c>
      <c r="D6" t="n">
        <v>1.25</v>
      </c>
      <c r="E6" t="n">
        <v>110</v>
      </c>
      <c r="F6" t="n">
        <v>118</v>
      </c>
      <c r="G6" t="n">
        <v>34</v>
      </c>
      <c r="H6" t="n">
        <v>12</v>
      </c>
      <c r="I6" t="n">
        <v>21</v>
      </c>
      <c r="J6" t="n">
        <v>35</v>
      </c>
      <c r="K6" t="n">
        <v>42</v>
      </c>
      <c r="L6" t="n">
        <v>44</v>
      </c>
      <c r="M6" t="n">
        <v>46</v>
      </c>
    </row>
    <row r="7">
      <c r="A7" t="inlineStr">
        <is>
          <t>Kampong Chhnang</t>
        </is>
      </c>
      <c r="B7" t="n">
        <v>24193</v>
      </c>
      <c r="C7" t="n">
        <v>67839</v>
      </c>
      <c r="D7" t="n">
        <v>1.21</v>
      </c>
      <c r="E7" t="n">
        <v>45</v>
      </c>
      <c r="F7" t="n">
        <v>119</v>
      </c>
      <c r="G7" t="n">
        <v>84</v>
      </c>
      <c r="H7" t="n">
        <v>22</v>
      </c>
      <c r="I7" t="n">
        <v>37</v>
      </c>
      <c r="J7" t="n">
        <v>53</v>
      </c>
      <c r="K7" t="n">
        <v>114</v>
      </c>
      <c r="L7" t="n">
        <v>111</v>
      </c>
      <c r="M7" t="n">
        <v>111</v>
      </c>
    </row>
    <row r="8">
      <c r="A8" t="inlineStr">
        <is>
          <t>Kampong Speu</t>
        </is>
      </c>
      <c r="B8" t="n">
        <v>27613</v>
      </c>
      <c r="C8" t="n">
        <v>16225</v>
      </c>
      <c r="D8" t="n">
        <v>1.35</v>
      </c>
      <c r="E8" t="n">
        <v>113</v>
      </c>
      <c r="F8" t="n">
        <v>259</v>
      </c>
      <c r="G8" t="n">
        <v>219</v>
      </c>
      <c r="H8" t="n">
        <v>34</v>
      </c>
      <c r="I8" t="n">
        <v>38</v>
      </c>
      <c r="J8" t="n">
        <v>62</v>
      </c>
      <c r="K8" t="n">
        <v>207</v>
      </c>
      <c r="L8" t="n">
        <v>196</v>
      </c>
      <c r="M8" t="n">
        <v>182</v>
      </c>
    </row>
    <row r="9">
      <c r="A9" t="inlineStr">
        <is>
          <t>Kampong Thom</t>
        </is>
      </c>
      <c r="B9" t="n">
        <v>46279</v>
      </c>
      <c r="C9" t="n">
        <v>11758</v>
      </c>
      <c r="D9" t="n">
        <v>1.59</v>
      </c>
      <c r="E9" t="n">
        <v>94</v>
      </c>
      <c r="F9" t="n">
        <v>121</v>
      </c>
      <c r="G9" t="n">
        <v>91</v>
      </c>
      <c r="H9" t="n">
        <v>10</v>
      </c>
      <c r="I9" t="n">
        <v>10</v>
      </c>
      <c r="J9" t="n">
        <v>48</v>
      </c>
      <c r="K9" t="n">
        <v>121</v>
      </c>
      <c r="L9" t="n">
        <v>105</v>
      </c>
      <c r="M9" t="n">
        <v>108</v>
      </c>
    </row>
    <row r="10">
      <c r="A10" t="inlineStr">
        <is>
          <t>Kampot</t>
        </is>
      </c>
      <c r="B10" t="n">
        <v>10370</v>
      </c>
      <c r="C10" t="n">
        <v>5138</v>
      </c>
      <c r="D10" t="n">
        <v>1.49</v>
      </c>
      <c r="E10" t="n">
        <v>54</v>
      </c>
      <c r="F10" t="n">
        <v>171</v>
      </c>
      <c r="G10" t="n">
        <v>84</v>
      </c>
      <c r="H10" t="n">
        <v>22</v>
      </c>
      <c r="I10" t="n">
        <v>46</v>
      </c>
      <c r="J10" t="n">
        <v>108</v>
      </c>
      <c r="K10" t="n">
        <v>172</v>
      </c>
      <c r="L10" t="n">
        <v>159</v>
      </c>
      <c r="M10" t="n">
        <v>158</v>
      </c>
    </row>
    <row r="11">
      <c r="A11" t="inlineStr">
        <is>
          <t>Kandal</t>
        </is>
      </c>
      <c r="B11" t="n">
        <v>50102</v>
      </c>
      <c r="C11" t="n">
        <v>12238</v>
      </c>
      <c r="D11" t="n">
        <v>1.36</v>
      </c>
      <c r="E11" t="n">
        <v>126</v>
      </c>
      <c r="F11" t="n">
        <v>173</v>
      </c>
      <c r="G11" t="n">
        <v>99</v>
      </c>
      <c r="H11" t="n">
        <v>40</v>
      </c>
      <c r="I11" t="n">
        <v>78</v>
      </c>
      <c r="J11" t="n">
        <v>94</v>
      </c>
      <c r="K11" t="n">
        <v>181</v>
      </c>
      <c r="L11" t="n">
        <v>164</v>
      </c>
      <c r="M11" t="n">
        <v>177</v>
      </c>
    </row>
    <row r="12">
      <c r="A12" t="inlineStr">
        <is>
          <t>Kep</t>
        </is>
      </c>
      <c r="B12" t="n">
        <v>13701</v>
      </c>
      <c r="C12" t="n">
        <v>1898</v>
      </c>
      <c r="D12" t="n">
        <v>1.73</v>
      </c>
      <c r="E12" t="n">
        <v>3</v>
      </c>
      <c r="F12" t="n">
        <v>13</v>
      </c>
      <c r="G12" t="n">
        <v>8</v>
      </c>
      <c r="H12" t="n">
        <v>0</v>
      </c>
      <c r="I12" t="n">
        <v>0</v>
      </c>
      <c r="J12" t="n">
        <v>12</v>
      </c>
      <c r="K12" t="n">
        <v>20</v>
      </c>
      <c r="L12" t="n">
        <v>18</v>
      </c>
      <c r="M12" t="n">
        <v>18</v>
      </c>
    </row>
    <row r="13">
      <c r="A13" t="inlineStr">
        <is>
          <t>Koh Kong</t>
        </is>
      </c>
      <c r="B13" t="n">
        <v>15453</v>
      </c>
      <c r="C13" t="n">
        <v>9466</v>
      </c>
      <c r="D13" t="n">
        <v>1.87</v>
      </c>
      <c r="E13" t="n">
        <v>24</v>
      </c>
      <c r="F13" t="n">
        <v>26</v>
      </c>
      <c r="G13" t="n">
        <v>25</v>
      </c>
      <c r="H13" t="n">
        <v>5</v>
      </c>
      <c r="I13" t="n">
        <v>3</v>
      </c>
      <c r="J13" t="n">
        <v>4</v>
      </c>
      <c r="K13" t="n">
        <v>9</v>
      </c>
      <c r="L13" t="n">
        <v>10</v>
      </c>
      <c r="M13" t="n">
        <v>12</v>
      </c>
    </row>
    <row r="14">
      <c r="A14" t="inlineStr">
        <is>
          <t>Kratie</t>
        </is>
      </c>
      <c r="B14" t="n">
        <v>88054</v>
      </c>
      <c r="C14" t="n">
        <v>17137</v>
      </c>
      <c r="D14" t="n">
        <v>1.35</v>
      </c>
      <c r="E14" t="n">
        <v>68</v>
      </c>
      <c r="F14" t="n">
        <v>95</v>
      </c>
      <c r="G14" t="n">
        <v>73</v>
      </c>
      <c r="H14" t="n">
        <v>18</v>
      </c>
      <c r="I14" t="n">
        <v>19</v>
      </c>
      <c r="J14" t="n">
        <v>46</v>
      </c>
      <c r="K14" t="n">
        <v>98</v>
      </c>
      <c r="L14" t="n">
        <v>94</v>
      </c>
      <c r="M14" t="n">
        <v>93</v>
      </c>
    </row>
    <row r="15">
      <c r="A15" t="inlineStr">
        <is>
          <t>Mondul Kiri</t>
        </is>
      </c>
      <c r="B15" t="n">
        <v>18812</v>
      </c>
      <c r="C15" t="n">
        <v>5357</v>
      </c>
      <c r="D15" t="n">
        <v>1.88</v>
      </c>
      <c r="E15" t="n">
        <v>8</v>
      </c>
      <c r="F15" t="n">
        <v>33</v>
      </c>
      <c r="G15" t="n">
        <v>26</v>
      </c>
      <c r="H15" t="n">
        <v>2</v>
      </c>
      <c r="I15" t="n">
        <v>2</v>
      </c>
      <c r="J15" t="n">
        <v>6</v>
      </c>
      <c r="K15" t="n">
        <v>6</v>
      </c>
      <c r="L15" t="n">
        <v>6</v>
      </c>
      <c r="M15" t="n">
        <v>4</v>
      </c>
    </row>
    <row r="16">
      <c r="A16" t="inlineStr">
        <is>
          <t>Otdar Meanchey</t>
        </is>
      </c>
      <c r="B16" t="n">
        <v>21988</v>
      </c>
      <c r="C16" t="n">
        <v>8615</v>
      </c>
      <c r="D16" t="n">
        <v>1.78</v>
      </c>
      <c r="E16" t="n">
        <v>50</v>
      </c>
      <c r="F16" t="n">
        <v>96</v>
      </c>
      <c r="G16" t="n">
        <v>93</v>
      </c>
      <c r="H16" t="n">
        <v>11</v>
      </c>
      <c r="I16" t="n">
        <v>13</v>
      </c>
      <c r="J16" t="n">
        <v>34</v>
      </c>
      <c r="K16" t="n">
        <v>50</v>
      </c>
      <c r="L16" t="n">
        <v>46</v>
      </c>
      <c r="M16" t="n">
        <v>45</v>
      </c>
    </row>
    <row r="17">
      <c r="A17" t="inlineStr">
        <is>
          <t>Pailin</t>
        </is>
      </c>
      <c r="B17" t="n">
        <v>20589</v>
      </c>
      <c r="C17" t="n">
        <v>4782</v>
      </c>
      <c r="D17" t="n">
        <v>1.63</v>
      </c>
      <c r="E17" t="n">
        <v>10</v>
      </c>
      <c r="F17" t="n">
        <v>16</v>
      </c>
      <c r="G17" t="n">
        <v>18</v>
      </c>
      <c r="H17" t="n">
        <v>7</v>
      </c>
      <c r="I17" t="n">
        <v>3</v>
      </c>
      <c r="J17" t="n">
        <v>10</v>
      </c>
      <c r="K17" t="n">
        <v>18</v>
      </c>
      <c r="L17" t="n">
        <v>19</v>
      </c>
      <c r="M17" t="n">
        <v>15</v>
      </c>
    </row>
    <row r="18">
      <c r="A18" t="inlineStr">
        <is>
          <t>Phnom Penh</t>
        </is>
      </c>
      <c r="B18" t="n">
        <v>61702</v>
      </c>
      <c r="C18" t="n">
        <v>16502</v>
      </c>
      <c r="D18" t="n">
        <v>1.02</v>
      </c>
      <c r="E18" t="n">
        <v>91</v>
      </c>
      <c r="F18" t="n">
        <v>84</v>
      </c>
      <c r="G18" t="n">
        <v>56</v>
      </c>
      <c r="H18" t="n">
        <v>30</v>
      </c>
      <c r="I18" t="n">
        <v>22</v>
      </c>
      <c r="J18" t="n">
        <v>39</v>
      </c>
      <c r="K18" t="n">
        <v>90</v>
      </c>
      <c r="L18" t="n">
        <v>85</v>
      </c>
      <c r="M18" t="n">
        <v>89</v>
      </c>
    </row>
    <row r="19">
      <c r="A19" t="inlineStr">
        <is>
          <t>Preah Sihanouk</t>
        </is>
      </c>
      <c r="B19" t="n">
        <v>24816</v>
      </c>
      <c r="C19" t="n">
        <v>14552</v>
      </c>
      <c r="D19" t="n">
        <v>1.48</v>
      </c>
      <c r="E19" t="n">
        <v>16</v>
      </c>
      <c r="F19" t="n">
        <v>34</v>
      </c>
      <c r="G19" t="n">
        <v>22</v>
      </c>
      <c r="H19" t="n">
        <v>12</v>
      </c>
      <c r="I19" t="n">
        <v>4</v>
      </c>
      <c r="J19" t="n">
        <v>11</v>
      </c>
      <c r="K19" t="n">
        <v>19</v>
      </c>
      <c r="L19" t="n">
        <v>18</v>
      </c>
      <c r="M19" t="n">
        <v>17</v>
      </c>
    </row>
    <row r="20">
      <c r="A20" t="inlineStr">
        <is>
          <t>Preah Vihear</t>
        </is>
      </c>
      <c r="B20" t="n">
        <v>29921</v>
      </c>
      <c r="C20" t="n">
        <v>13101</v>
      </c>
      <c r="D20" t="n">
        <v>1.77</v>
      </c>
      <c r="E20" t="n">
        <v>33</v>
      </c>
      <c r="F20" t="n">
        <v>82</v>
      </c>
      <c r="G20" t="n">
        <v>80</v>
      </c>
      <c r="H20" t="n">
        <v>12</v>
      </c>
      <c r="I20" t="n">
        <v>13</v>
      </c>
      <c r="J20" t="n">
        <v>32</v>
      </c>
      <c r="K20" t="n">
        <v>38</v>
      </c>
      <c r="L20" t="n">
        <v>37</v>
      </c>
      <c r="M20" t="n">
        <v>36</v>
      </c>
    </row>
    <row r="21">
      <c r="A21" t="inlineStr">
        <is>
          <t>Prey Veng</t>
        </is>
      </c>
      <c r="B21" t="n">
        <v>14208</v>
      </c>
      <c r="C21" t="n">
        <v>5611</v>
      </c>
      <c r="D21" t="n">
        <v>1.41</v>
      </c>
      <c r="E21" t="n">
        <v>142</v>
      </c>
      <c r="F21" t="n">
        <v>278</v>
      </c>
      <c r="G21" t="n">
        <v>195</v>
      </c>
      <c r="H21" t="n">
        <v>23</v>
      </c>
      <c r="I21" t="n">
        <v>38</v>
      </c>
      <c r="J21" t="n">
        <v>81</v>
      </c>
      <c r="K21" t="n">
        <v>128</v>
      </c>
      <c r="L21" t="n">
        <v>114</v>
      </c>
      <c r="M21" t="n">
        <v>130</v>
      </c>
    </row>
    <row r="22">
      <c r="A22" t="inlineStr">
        <is>
          <t>Pursat</t>
        </is>
      </c>
      <c r="B22" t="n">
        <v>36462</v>
      </c>
      <c r="C22" t="n">
        <v>9185</v>
      </c>
      <c r="D22" t="n">
        <v>1.32</v>
      </c>
      <c r="E22" t="n">
        <v>70</v>
      </c>
      <c r="F22" t="n">
        <v>143</v>
      </c>
      <c r="G22" t="n">
        <v>80</v>
      </c>
      <c r="H22" t="n">
        <v>16</v>
      </c>
      <c r="I22" t="n">
        <v>16</v>
      </c>
      <c r="J22" t="n">
        <v>33</v>
      </c>
      <c r="K22" t="n">
        <v>76</v>
      </c>
      <c r="L22" t="n">
        <v>75</v>
      </c>
      <c r="M22" t="n">
        <v>85</v>
      </c>
    </row>
    <row r="23">
      <c r="A23" t="inlineStr">
        <is>
          <t>Ratanak Kiri</t>
        </is>
      </c>
      <c r="B23" t="n">
        <v>27114</v>
      </c>
      <c r="C23" t="n">
        <v>4593</v>
      </c>
      <c r="D23" t="n">
        <v>1.44</v>
      </c>
      <c r="E23" t="n">
        <v>32</v>
      </c>
      <c r="F23" t="n">
        <v>99</v>
      </c>
      <c r="G23" t="n">
        <v>88</v>
      </c>
      <c r="H23" t="n">
        <v>13</v>
      </c>
      <c r="I23" t="n">
        <v>12</v>
      </c>
      <c r="J23" t="n">
        <v>29</v>
      </c>
      <c r="K23" t="n">
        <v>53</v>
      </c>
      <c r="L23" t="n">
        <v>52</v>
      </c>
      <c r="M23" t="n">
        <v>40</v>
      </c>
    </row>
    <row r="24">
      <c r="A24" t="inlineStr">
        <is>
          <t>Siemreap</t>
        </is>
      </c>
      <c r="B24" t="n">
        <v>21936</v>
      </c>
      <c r="C24" t="n">
        <v>7467</v>
      </c>
      <c r="D24" t="n">
        <v>1.18</v>
      </c>
      <c r="E24" t="n">
        <v>203</v>
      </c>
      <c r="F24" t="n">
        <v>134</v>
      </c>
      <c r="G24" t="n">
        <v>133</v>
      </c>
      <c r="H24" t="n">
        <v>27</v>
      </c>
      <c r="I24" t="n">
        <v>13</v>
      </c>
      <c r="J24" t="n">
        <v>40</v>
      </c>
      <c r="K24" t="n">
        <v>53</v>
      </c>
      <c r="L24" t="n">
        <v>61</v>
      </c>
      <c r="M24" t="n">
        <v>68</v>
      </c>
    </row>
    <row r="25">
      <c r="A25" t="inlineStr">
        <is>
          <t>Stung Treng</t>
        </is>
      </c>
      <c r="B25" t="n">
        <v>18435</v>
      </c>
      <c r="C25" t="n">
        <v>5527</v>
      </c>
      <c r="D25" t="n">
        <v>1.73</v>
      </c>
      <c r="E25" t="n">
        <v>25</v>
      </c>
      <c r="F25" t="n">
        <v>69</v>
      </c>
      <c r="G25" t="n">
        <v>62</v>
      </c>
      <c r="H25" t="n">
        <v>4</v>
      </c>
      <c r="I25" t="n">
        <v>7</v>
      </c>
      <c r="J25" t="n">
        <v>21</v>
      </c>
      <c r="K25" t="n">
        <v>47</v>
      </c>
      <c r="L25" t="n">
        <v>42</v>
      </c>
      <c r="M25" t="n">
        <v>36</v>
      </c>
    </row>
    <row r="26">
      <c r="A26" t="inlineStr">
        <is>
          <t>Svay Rieng</t>
        </is>
      </c>
      <c r="B26" t="n">
        <v>31286</v>
      </c>
      <c r="C26" t="n">
        <v>9210</v>
      </c>
      <c r="D26" t="n">
        <v>1.47</v>
      </c>
      <c r="E26" t="n">
        <v>76</v>
      </c>
      <c r="F26" t="n">
        <v>113</v>
      </c>
      <c r="G26" t="n">
        <v>88</v>
      </c>
      <c r="H26" t="n">
        <v>18</v>
      </c>
      <c r="I26" t="n">
        <v>29</v>
      </c>
      <c r="J26" t="n">
        <v>32</v>
      </c>
      <c r="K26" t="n">
        <v>65</v>
      </c>
      <c r="L26" t="n">
        <v>56</v>
      </c>
      <c r="M26" t="n">
        <v>69</v>
      </c>
    </row>
    <row r="27">
      <c r="A27" t="inlineStr">
        <is>
          <t>Takeo</t>
        </is>
      </c>
      <c r="B27" t="n">
        <v>30165</v>
      </c>
      <c r="C27" t="n">
        <v>47268</v>
      </c>
      <c r="D27" t="n">
        <v>1.79</v>
      </c>
      <c r="E27" t="n">
        <v>161</v>
      </c>
      <c r="F27" t="n">
        <v>299</v>
      </c>
      <c r="G27" t="n">
        <v>119</v>
      </c>
      <c r="H27" t="n">
        <v>30</v>
      </c>
      <c r="I27" t="n">
        <v>77</v>
      </c>
      <c r="J27" t="n">
        <v>86</v>
      </c>
      <c r="K27" t="n">
        <v>226</v>
      </c>
      <c r="L27" t="n">
        <v>221</v>
      </c>
      <c r="M27" t="n">
        <v>246</v>
      </c>
    </row>
    <row r="28">
      <c r="A28" t="inlineStr">
        <is>
          <t>Tbaung Khmum</t>
        </is>
      </c>
      <c r="B28" t="n">
        <v>27543</v>
      </c>
      <c r="C28" t="n">
        <v>10073</v>
      </c>
      <c r="D28" t="n">
        <v>1.28</v>
      </c>
      <c r="E28" t="n">
        <v>107</v>
      </c>
      <c r="F28" t="n">
        <v>101</v>
      </c>
      <c r="G28" t="n">
        <v>71</v>
      </c>
      <c r="H28" t="n">
        <v>14</v>
      </c>
      <c r="I28" t="n">
        <v>18</v>
      </c>
      <c r="J28" t="n">
        <v>23</v>
      </c>
      <c r="K28" t="n">
        <v>34</v>
      </c>
      <c r="L28" t="n">
        <v>36</v>
      </c>
      <c r="M28" t="n">
        <v>38</v>
      </c>
    </row>
    <row r="29">
      <c r="A29" t="inlineStr">
        <is>
          <t>Whole Kingdom</t>
        </is>
      </c>
      <c r="B29" t="n">
        <v>33069</v>
      </c>
      <c r="C29" t="n">
        <v>13856</v>
      </c>
      <c r="D29" t="n">
        <v>1.37</v>
      </c>
      <c r="E29" t="n">
        <v>2029</v>
      </c>
      <c r="F29" t="n">
        <v>2984</v>
      </c>
      <c r="G29" t="n">
        <v>2167</v>
      </c>
      <c r="H29" t="n">
        <v>430</v>
      </c>
      <c r="I29" t="n">
        <v>588</v>
      </c>
      <c r="J29" t="n">
        <v>1045</v>
      </c>
      <c r="K29" t="n">
        <v>2038</v>
      </c>
      <c r="L29" t="n">
        <v>1916</v>
      </c>
      <c r="M29" t="n">
        <v>2007</v>
      </c>
    </row>
    <row r="30">
      <c r="A30" t="inlineStr">
        <is>
          <t>-  Urban Area</t>
        </is>
      </c>
      <c r="B30" t="n">
        <v>40758</v>
      </c>
      <c r="C30" t="n">
        <v>10747</v>
      </c>
      <c r="D30" t="n">
        <v>1.2</v>
      </c>
      <c r="E30" t="n">
        <v>300</v>
      </c>
      <c r="F30" t="n">
        <v>281</v>
      </c>
      <c r="G30" t="n">
        <v>226</v>
      </c>
      <c r="H30" t="n">
        <v>115</v>
      </c>
      <c r="I30" t="n">
        <v>73</v>
      </c>
      <c r="J30" t="n">
        <v>152</v>
      </c>
      <c r="K30" t="n">
        <v>273</v>
      </c>
      <c r="L30" t="n">
        <v>262</v>
      </c>
      <c r="M30" t="n">
        <v>272</v>
      </c>
    </row>
    <row r="31">
      <c r="A31" t="inlineStr">
        <is>
          <t>-  Rural Area</t>
        </is>
      </c>
      <c r="B31" t="n">
        <v>32128</v>
      </c>
      <c r="C31" t="n">
        <v>14234</v>
      </c>
      <c r="D31" t="n">
        <v>1.42</v>
      </c>
      <c r="E31" t="n">
        <v>1729</v>
      </c>
      <c r="F31" t="n">
        <v>2703</v>
      </c>
      <c r="G31" t="n">
        <v>1941</v>
      </c>
      <c r="H31" t="n">
        <v>315</v>
      </c>
      <c r="I31" t="n">
        <v>515</v>
      </c>
      <c r="J31" t="n">
        <v>893</v>
      </c>
      <c r="K31" t="n">
        <v>1765</v>
      </c>
      <c r="L31" t="n">
        <v>1654</v>
      </c>
      <c r="M31" t="n">
        <v>1735</v>
      </c>
    </row>
  </sheetData>
  <mergeCells count="4">
    <mergeCell ref="F2:M2"/>
    <mergeCell ref="B2:C2"/>
    <mergeCell ref="A2:A3"/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030A0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13.140625" customWidth="1" min="2" max="2"/>
    <col width="11.42578125" customWidth="1" min="3" max="3"/>
    <col width="12.42578125" customWidth="1" min="4" max="4"/>
    <col width="14.42578125" customWidth="1" min="5" max="5"/>
    <col width="13.28515625" customWidth="1" min="6" max="6"/>
    <col width="9.140625" customWidth="1" min="7" max="7"/>
    <col width="9" customWidth="1" min="8" max="8"/>
    <col width="9.28515625" customWidth="1" min="9" max="9"/>
    <col width="12.85546875" customWidth="1" min="10" max="10"/>
  </cols>
  <sheetData>
    <row r="1">
      <c r="A1" t="inlineStr">
        <is>
          <t>Table12: Indicators on Access, Gross and Net Enrolment Ratios by Province for Male</t>
        </is>
      </c>
    </row>
    <row r="2">
      <c r="A2" t="inlineStr">
        <is>
          <t>Province</t>
        </is>
      </c>
      <c r="B2" t="inlineStr">
        <is>
          <t>Gross Admission</t>
        </is>
      </c>
      <c r="C2" t="inlineStr">
        <is>
          <t>Net Admission</t>
        </is>
      </c>
      <c r="D2" t="inlineStr">
        <is>
          <t>% Over-age (6+)</t>
        </is>
      </c>
      <c r="E2" t="inlineStr">
        <is>
          <t>Transition Rate</t>
        </is>
      </c>
      <c r="F2" t="inlineStr">
        <is>
          <t>Transition Rate</t>
        </is>
      </c>
      <c r="G2" t="inlineStr">
        <is>
          <t>Gross Enrollment Rate</t>
        </is>
      </c>
      <c r="J2" t="inlineStr">
        <is>
          <t>Net Enrollment Rate</t>
        </is>
      </c>
    </row>
    <row r="3">
      <c r="B3" t="inlineStr">
        <is>
          <t>Rate</t>
        </is>
      </c>
      <c r="C3" t="inlineStr">
        <is>
          <t>Rate</t>
        </is>
      </c>
      <c r="D3" t="inlineStr">
        <is>
          <t>Admission</t>
        </is>
      </c>
      <c r="E3" t="inlineStr">
        <is>
          <t>to Lower Sec.
2020/2021</t>
        </is>
      </c>
      <c r="F3" t="inlineStr">
        <is>
          <t>to Upper Sec.
2020/2021</t>
        </is>
      </c>
      <c r="G3" t="inlineStr">
        <is>
          <t>Primary</t>
        </is>
      </c>
      <c r="H3" t="inlineStr">
        <is>
          <t>L.Sec.</t>
        </is>
      </c>
      <c r="I3" t="inlineStr">
        <is>
          <t>U.Sec.</t>
        </is>
      </c>
      <c r="J3" t="inlineStr">
        <is>
          <t>Primary</t>
        </is>
      </c>
    </row>
    <row r="4">
      <c r="A4" t="inlineStr">
        <is>
          <t>Banteay Meanchey</t>
        </is>
      </c>
      <c r="B4" t="n">
        <v>97.40000000000001</v>
      </c>
      <c r="C4" t="n">
        <v>66.90000000000001</v>
      </c>
      <c r="D4" t="n">
        <v>31.3</v>
      </c>
      <c r="E4" t="n">
        <v>80.40000000000001</v>
      </c>
      <c r="F4" t="n">
        <v>77.5</v>
      </c>
      <c r="G4" t="n">
        <v>97.40000000000001</v>
      </c>
      <c r="H4" t="n">
        <v>50.1</v>
      </c>
      <c r="I4" t="n">
        <v>23.9</v>
      </c>
      <c r="J4" t="n">
        <v>80.40000000000001</v>
      </c>
    </row>
    <row r="5">
      <c r="A5" t="inlineStr">
        <is>
          <t>Battambang</t>
        </is>
      </c>
      <c r="B5" t="n">
        <v>137.2</v>
      </c>
      <c r="C5" t="n">
        <v>90.90000000000001</v>
      </c>
      <c r="D5" t="n">
        <v>33.8</v>
      </c>
      <c r="E5" t="n">
        <v>77</v>
      </c>
      <c r="F5" t="n">
        <v>75.09999999999999</v>
      </c>
      <c r="G5" t="n">
        <v>145.2</v>
      </c>
      <c r="H5" t="n">
        <v>68.7</v>
      </c>
      <c r="I5" t="n">
        <v>34.1</v>
      </c>
      <c r="J5" t="n">
        <v>95.09999999999999</v>
      </c>
    </row>
    <row r="6">
      <c r="A6" t="inlineStr">
        <is>
          <t>Kampong Cham</t>
        </is>
      </c>
      <c r="B6" t="n">
        <v>125.8</v>
      </c>
      <c r="C6" t="n">
        <v>91.40000000000001</v>
      </c>
      <c r="D6" t="n">
        <v>27.4</v>
      </c>
      <c r="E6" t="n">
        <v>78.09999999999999</v>
      </c>
      <c r="F6" t="n">
        <v>77.09999999999999</v>
      </c>
      <c r="G6" t="n">
        <v>123.5</v>
      </c>
      <c r="H6" t="n">
        <v>67.3</v>
      </c>
      <c r="I6" t="n">
        <v>38.5</v>
      </c>
      <c r="J6" t="n">
        <v>95.8</v>
      </c>
    </row>
    <row r="7">
      <c r="A7" t="inlineStr">
        <is>
          <t>Kampong Chhnang</t>
        </is>
      </c>
      <c r="B7" t="n">
        <v>114.2</v>
      </c>
      <c r="C7" t="n">
        <v>96.40000000000001</v>
      </c>
      <c r="D7" t="n">
        <v>15.6</v>
      </c>
      <c r="E7" t="n">
        <v>81.3</v>
      </c>
      <c r="F7" t="n">
        <v>71.8</v>
      </c>
      <c r="G7" t="n">
        <v>117.8</v>
      </c>
      <c r="H7" t="n">
        <v>66.09999999999999</v>
      </c>
      <c r="I7" t="n">
        <v>33.3</v>
      </c>
      <c r="J7" t="n">
        <v>93.2</v>
      </c>
    </row>
    <row r="8">
      <c r="A8" t="inlineStr">
        <is>
          <t>Kampong Speu</t>
        </is>
      </c>
      <c r="B8" t="n">
        <v>97.8</v>
      </c>
      <c r="C8" t="n">
        <v>73.2</v>
      </c>
      <c r="D8" t="n">
        <v>25.2</v>
      </c>
      <c r="E8" t="n">
        <v>78.09999999999999</v>
      </c>
      <c r="F8" t="n">
        <v>69.3</v>
      </c>
      <c r="G8" t="n">
        <v>104.9</v>
      </c>
      <c r="H8" t="n">
        <v>56.3</v>
      </c>
      <c r="I8" t="n">
        <v>25.2</v>
      </c>
      <c r="J8" t="n">
        <v>88.2</v>
      </c>
    </row>
    <row r="9">
      <c r="A9" t="inlineStr">
        <is>
          <t>Kampong Thom</t>
        </is>
      </c>
      <c r="B9" t="n">
        <v>123.1</v>
      </c>
      <c r="C9" t="n">
        <v>95.2</v>
      </c>
      <c r="D9" t="n">
        <v>22.6</v>
      </c>
      <c r="E9" t="n">
        <v>82.7</v>
      </c>
      <c r="F9" t="n">
        <v>76.8</v>
      </c>
      <c r="G9" t="n">
        <v>117.3</v>
      </c>
      <c r="H9" t="n">
        <v>61.1</v>
      </c>
      <c r="I9" t="n">
        <v>34</v>
      </c>
      <c r="J9" t="n">
        <v>92.8</v>
      </c>
    </row>
    <row r="10">
      <c r="A10" t="inlineStr">
        <is>
          <t>Kampot</t>
        </is>
      </c>
      <c r="B10" t="n">
        <v>112.5</v>
      </c>
      <c r="C10" t="n">
        <v>85.7</v>
      </c>
      <c r="D10" t="n">
        <v>23.8</v>
      </c>
      <c r="E10" t="n">
        <v>86.8</v>
      </c>
      <c r="F10" t="n">
        <v>74.2</v>
      </c>
      <c r="G10" t="n">
        <v>111.3</v>
      </c>
      <c r="H10" t="n">
        <v>65.8</v>
      </c>
      <c r="I10" t="n">
        <v>38</v>
      </c>
      <c r="J10" t="n">
        <v>94.90000000000001</v>
      </c>
    </row>
    <row r="11">
      <c r="A11" t="inlineStr">
        <is>
          <t>Kandal</t>
        </is>
      </c>
      <c r="B11" t="n">
        <v>108.5</v>
      </c>
      <c r="C11" t="n">
        <v>86.8</v>
      </c>
      <c r="D11" t="n">
        <v>20</v>
      </c>
      <c r="E11" t="n">
        <v>82.2</v>
      </c>
      <c r="F11" t="n">
        <v>77.59999999999999</v>
      </c>
      <c r="G11" t="n">
        <v>117.8</v>
      </c>
      <c r="H11" t="n">
        <v>66.5</v>
      </c>
      <c r="I11" t="n">
        <v>35.4</v>
      </c>
      <c r="J11" t="n">
        <v>98</v>
      </c>
    </row>
    <row r="12">
      <c r="A12" t="inlineStr">
        <is>
          <t>Kep</t>
        </is>
      </c>
      <c r="B12" t="n">
        <v>108.7</v>
      </c>
      <c r="C12" t="n">
        <v>73.59999999999999</v>
      </c>
      <c r="D12" t="n">
        <v>32.3</v>
      </c>
      <c r="E12" t="n">
        <v>82.40000000000001</v>
      </c>
      <c r="F12" t="n">
        <v>77.09999999999999</v>
      </c>
      <c r="G12" t="n">
        <v>109.4</v>
      </c>
      <c r="H12" t="n">
        <v>55.8</v>
      </c>
      <c r="I12" t="n">
        <v>33.1</v>
      </c>
      <c r="J12" t="n">
        <v>87.5</v>
      </c>
    </row>
    <row r="13">
      <c r="A13" t="inlineStr">
        <is>
          <t>Koh Kong</t>
        </is>
      </c>
      <c r="B13" t="n">
        <v>117.8</v>
      </c>
      <c r="C13" t="n">
        <v>66.90000000000001</v>
      </c>
      <c r="D13" t="n">
        <v>43.2</v>
      </c>
      <c r="E13" t="n">
        <v>83.59999999999999</v>
      </c>
      <c r="F13" t="n">
        <v>83.40000000000001</v>
      </c>
      <c r="G13" t="n">
        <v>113.8</v>
      </c>
      <c r="H13" t="n">
        <v>63</v>
      </c>
      <c r="I13" t="n">
        <v>35.9</v>
      </c>
      <c r="J13" t="n">
        <v>87.90000000000001</v>
      </c>
    </row>
    <row r="14">
      <c r="A14" t="inlineStr">
        <is>
          <t>Kratie</t>
        </is>
      </c>
      <c r="B14" t="n">
        <v>141.1</v>
      </c>
      <c r="C14" t="n">
        <v>99.40000000000001</v>
      </c>
      <c r="D14" t="n">
        <v>29.6</v>
      </c>
      <c r="E14" t="n">
        <v>70.3</v>
      </c>
      <c r="F14" t="n">
        <v>70.90000000000001</v>
      </c>
      <c r="G14" t="n">
        <v>132.9</v>
      </c>
      <c r="H14" t="n">
        <v>50.9</v>
      </c>
      <c r="I14" t="n">
        <v>23.8</v>
      </c>
      <c r="J14" t="n">
        <v>88.09999999999999</v>
      </c>
    </row>
    <row r="15">
      <c r="A15" t="inlineStr">
        <is>
          <t>Mondul Kiri</t>
        </is>
      </c>
      <c r="B15" t="n">
        <v>141.6</v>
      </c>
      <c r="C15" t="n">
        <v>77</v>
      </c>
      <c r="D15" t="n">
        <v>45.6</v>
      </c>
      <c r="E15" t="n">
        <v>82</v>
      </c>
      <c r="F15" t="n">
        <v>78.09999999999999</v>
      </c>
      <c r="G15" t="n">
        <v>125.6</v>
      </c>
      <c r="H15" t="n">
        <v>53.7</v>
      </c>
      <c r="I15" t="n">
        <v>28</v>
      </c>
      <c r="J15" t="n">
        <v>83.59999999999999</v>
      </c>
    </row>
    <row r="16">
      <c r="A16" t="inlineStr">
        <is>
          <t>Otdar Meanchey</t>
        </is>
      </c>
      <c r="B16" t="n">
        <v>119.8</v>
      </c>
      <c r="C16" t="n">
        <v>85.09999999999999</v>
      </c>
      <c r="D16" t="n">
        <v>28.9</v>
      </c>
      <c r="E16" t="n">
        <v>80.59999999999999</v>
      </c>
      <c r="F16" t="n">
        <v>77.3</v>
      </c>
      <c r="G16" t="n">
        <v>115.4</v>
      </c>
      <c r="H16" t="n">
        <v>51.3</v>
      </c>
      <c r="I16" t="n">
        <v>27.5</v>
      </c>
      <c r="J16" t="n">
        <v>93.2</v>
      </c>
    </row>
    <row r="17">
      <c r="A17" t="inlineStr">
        <is>
          <t>Pailin</t>
        </is>
      </c>
      <c r="B17" t="n">
        <v>108</v>
      </c>
      <c r="C17" t="n">
        <v>71</v>
      </c>
      <c r="D17" t="n">
        <v>34.2</v>
      </c>
      <c r="E17" t="n">
        <v>98.40000000000001</v>
      </c>
      <c r="F17" t="n">
        <v>65.8</v>
      </c>
      <c r="G17" t="n">
        <v>106.9</v>
      </c>
      <c r="H17" t="n">
        <v>63.1</v>
      </c>
      <c r="I17" t="n">
        <v>31.7</v>
      </c>
      <c r="J17" t="n">
        <v>83</v>
      </c>
    </row>
    <row r="18">
      <c r="A18" t="inlineStr">
        <is>
          <t>Phnom Penh</t>
        </is>
      </c>
      <c r="B18" t="n">
        <v>54.2</v>
      </c>
      <c r="C18" t="n">
        <v>40.7</v>
      </c>
      <c r="D18" t="n">
        <v>24.9</v>
      </c>
      <c r="E18" t="n">
        <v>93</v>
      </c>
      <c r="F18" t="n">
        <v>84.40000000000001</v>
      </c>
      <c r="G18" t="n">
        <v>51.9</v>
      </c>
      <c r="H18" t="n">
        <v>38.7</v>
      </c>
      <c r="I18" t="n">
        <v>27.6</v>
      </c>
      <c r="J18" t="n">
        <v>44.4</v>
      </c>
    </row>
    <row r="19">
      <c r="A19" t="inlineStr">
        <is>
          <t>Preah Sihanouk</t>
        </is>
      </c>
      <c r="B19" t="n">
        <v>79.5</v>
      </c>
      <c r="C19" t="n">
        <v>39.4</v>
      </c>
      <c r="D19" t="n">
        <v>50.5</v>
      </c>
      <c r="E19" t="n">
        <v>88.5</v>
      </c>
      <c r="F19" t="n">
        <v>79</v>
      </c>
      <c r="G19" t="n">
        <v>73.40000000000001</v>
      </c>
      <c r="H19" t="n">
        <v>40.4</v>
      </c>
      <c r="I19" t="n">
        <v>21.2</v>
      </c>
      <c r="J19" t="n">
        <v>57.2</v>
      </c>
    </row>
    <row r="20">
      <c r="A20" t="inlineStr">
        <is>
          <t>Preah Vihear</t>
        </is>
      </c>
      <c r="B20" t="n">
        <v>115.2</v>
      </c>
      <c r="C20" t="n">
        <v>83.09999999999999</v>
      </c>
      <c r="D20" t="n">
        <v>27.8</v>
      </c>
      <c r="E20" t="n">
        <v>87.40000000000001</v>
      </c>
      <c r="F20" t="n">
        <v>83.3</v>
      </c>
      <c r="G20" t="n">
        <v>120.2</v>
      </c>
      <c r="H20" t="n">
        <v>54.3</v>
      </c>
      <c r="I20" t="n">
        <v>29.7</v>
      </c>
      <c r="J20" t="n">
        <v>93.90000000000001</v>
      </c>
    </row>
    <row r="21">
      <c r="A21" t="inlineStr">
        <is>
          <t>Prey Veng</t>
        </is>
      </c>
      <c r="B21" t="n">
        <v>117</v>
      </c>
      <c r="C21" t="n">
        <v>89.40000000000001</v>
      </c>
      <c r="D21" t="n">
        <v>23.6</v>
      </c>
      <c r="E21" t="n">
        <v>77.40000000000001</v>
      </c>
      <c r="F21" t="n">
        <v>73.7</v>
      </c>
      <c r="G21" t="n">
        <v>128.2</v>
      </c>
      <c r="H21" t="n">
        <v>70.2</v>
      </c>
      <c r="I21" t="n">
        <v>35.6</v>
      </c>
      <c r="J21" t="n">
        <v>99.5</v>
      </c>
    </row>
    <row r="22">
      <c r="A22" t="inlineStr">
        <is>
          <t>Pursat</t>
        </is>
      </c>
      <c r="B22" t="n">
        <v>142.1</v>
      </c>
      <c r="C22" t="n">
        <v>96.7</v>
      </c>
      <c r="D22" t="n">
        <v>31.9</v>
      </c>
      <c r="E22" t="n">
        <v>83</v>
      </c>
      <c r="F22" t="n">
        <v>81.90000000000001</v>
      </c>
      <c r="G22" t="n">
        <v>134.5</v>
      </c>
      <c r="H22" t="n">
        <v>67.09999999999999</v>
      </c>
      <c r="I22" t="n">
        <v>36</v>
      </c>
      <c r="J22" t="n">
        <v>88.40000000000001</v>
      </c>
    </row>
    <row r="23">
      <c r="A23" t="inlineStr">
        <is>
          <t>Ratanak Kiri</t>
        </is>
      </c>
      <c r="B23" t="n">
        <v>147.4</v>
      </c>
      <c r="C23" t="n">
        <v>72.8</v>
      </c>
      <c r="D23" t="n">
        <v>50.6</v>
      </c>
      <c r="E23" t="n">
        <v>75.7</v>
      </c>
      <c r="F23" t="n">
        <v>74.2</v>
      </c>
      <c r="G23" t="n">
        <v>147.5</v>
      </c>
      <c r="H23" t="n">
        <v>58.9</v>
      </c>
      <c r="I23" t="n">
        <v>32.3</v>
      </c>
      <c r="J23" t="n">
        <v>93.5</v>
      </c>
    </row>
    <row r="24">
      <c r="A24" t="inlineStr">
        <is>
          <t>Siemreap</t>
        </is>
      </c>
      <c r="B24" t="n">
        <v>138</v>
      </c>
      <c r="C24" t="n">
        <v>93.3</v>
      </c>
      <c r="D24" t="n">
        <v>32.4</v>
      </c>
      <c r="E24" t="n">
        <v>80.3</v>
      </c>
      <c r="F24" t="n">
        <v>80.3</v>
      </c>
      <c r="G24" t="n">
        <v>135.1</v>
      </c>
      <c r="H24" t="n">
        <v>70.5</v>
      </c>
      <c r="I24" t="n">
        <v>40.7</v>
      </c>
      <c r="J24" t="n">
        <v>96.90000000000001</v>
      </c>
    </row>
    <row r="25">
      <c r="A25" t="inlineStr">
        <is>
          <t>Stung Treng</t>
        </is>
      </c>
      <c r="B25" t="n">
        <v>139.9</v>
      </c>
      <c r="C25" t="n">
        <v>92.09999999999999</v>
      </c>
      <c r="D25" t="n">
        <v>34.1</v>
      </c>
      <c r="E25" t="n">
        <v>74.09999999999999</v>
      </c>
      <c r="F25" t="n">
        <v>77</v>
      </c>
      <c r="G25" t="n">
        <v>132.2</v>
      </c>
      <c r="H25" t="n">
        <v>47</v>
      </c>
      <c r="I25" t="n">
        <v>23.2</v>
      </c>
      <c r="J25" t="n">
        <v>92.3</v>
      </c>
    </row>
    <row r="26">
      <c r="A26" t="inlineStr">
        <is>
          <t>Svay Rieng</t>
        </is>
      </c>
      <c r="B26" t="n">
        <v>123.6</v>
      </c>
      <c r="C26" t="n">
        <v>93</v>
      </c>
      <c r="D26" t="n">
        <v>24.8</v>
      </c>
      <c r="E26" t="n">
        <v>87.09999999999999</v>
      </c>
      <c r="F26" t="n">
        <v>70.2</v>
      </c>
      <c r="G26" t="n">
        <v>127.6</v>
      </c>
      <c r="H26" t="n">
        <v>75.40000000000001</v>
      </c>
      <c r="I26" t="n">
        <v>36.5</v>
      </c>
      <c r="J26" t="n">
        <v>98.5</v>
      </c>
    </row>
    <row r="27">
      <c r="A27" t="inlineStr">
        <is>
          <t>Takeo</t>
        </is>
      </c>
      <c r="B27" t="n">
        <v>104.2</v>
      </c>
      <c r="C27" t="n">
        <v>99.40000000000001</v>
      </c>
      <c r="D27" t="n">
        <v>4.6</v>
      </c>
      <c r="E27" t="n">
        <v>85.90000000000001</v>
      </c>
      <c r="F27" t="n">
        <v>76.2</v>
      </c>
      <c r="G27" t="n">
        <v>111.5</v>
      </c>
      <c r="H27" t="n">
        <v>74.3</v>
      </c>
      <c r="I27" t="n">
        <v>47.2</v>
      </c>
      <c r="J27" t="n">
        <v>96.7</v>
      </c>
    </row>
    <row r="28">
      <c r="A28" t="inlineStr">
        <is>
          <t>Tbaung Khmum</t>
        </is>
      </c>
      <c r="B28" t="n">
        <v>115.3</v>
      </c>
      <c r="C28" t="n">
        <v>83.09999999999999</v>
      </c>
      <c r="D28" t="n">
        <v>27.9</v>
      </c>
      <c r="E28" t="n">
        <v>74.3</v>
      </c>
      <c r="F28" t="n">
        <v>72.09999999999999</v>
      </c>
      <c r="G28" t="n">
        <v>121</v>
      </c>
      <c r="H28" t="n">
        <v>56.3</v>
      </c>
      <c r="I28" t="n">
        <v>26.9</v>
      </c>
      <c r="J28" t="n">
        <v>97</v>
      </c>
    </row>
    <row r="29">
      <c r="A29" t="inlineStr">
        <is>
          <t>Whole Kingdom</t>
        </is>
      </c>
      <c r="B29" t="n">
        <v>108.9</v>
      </c>
      <c r="C29" t="n">
        <v>79.7</v>
      </c>
      <c r="D29" t="n">
        <v>26.8</v>
      </c>
      <c r="E29" t="n">
        <v>81.40000000000001</v>
      </c>
      <c r="F29" t="n">
        <v>76.5</v>
      </c>
      <c r="G29" t="n">
        <v>110.5</v>
      </c>
      <c r="H29" t="n">
        <v>59.7</v>
      </c>
      <c r="I29" t="n">
        <v>32.7</v>
      </c>
      <c r="J29" t="n">
        <v>85.8</v>
      </c>
    </row>
    <row r="30">
      <c r="A30" t="inlineStr">
        <is>
          <t>- Urban Area</t>
        </is>
      </c>
      <c r="B30" t="n">
        <v>74.09999999999999</v>
      </c>
      <c r="C30" t="n">
        <v>53</v>
      </c>
      <c r="D30" t="n">
        <v>28.5</v>
      </c>
      <c r="E30" t="n">
        <v>94.09999999999999</v>
      </c>
      <c r="F30" t="n">
        <v>93.8</v>
      </c>
      <c r="G30" t="n">
        <v>71.5</v>
      </c>
      <c r="H30" t="n">
        <v>48.9</v>
      </c>
      <c r="I30" t="n">
        <v>37.3</v>
      </c>
      <c r="J30" t="n">
        <v>57.5</v>
      </c>
    </row>
    <row r="31">
      <c r="A31" t="inlineStr">
        <is>
          <t>- Rural Area</t>
        </is>
      </c>
      <c r="B31" t="n">
        <v>121.6</v>
      </c>
      <c r="C31" t="n">
        <v>89.40000000000001</v>
      </c>
      <c r="D31" t="n">
        <v>26.5</v>
      </c>
      <c r="E31" t="n">
        <v>78.59999999999999</v>
      </c>
      <c r="F31" t="n">
        <v>71.3</v>
      </c>
      <c r="G31" t="n">
        <v>124.8</v>
      </c>
      <c r="H31" t="n">
        <v>63.6</v>
      </c>
      <c r="I31" t="n">
        <v>31</v>
      </c>
      <c r="J31" t="n">
        <v>96.09999999999999</v>
      </c>
    </row>
  </sheetData>
  <mergeCells count="3">
    <mergeCell ref="G2:I2"/>
    <mergeCell ref="A1:K1"/>
    <mergeCell ref="A2:A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30A0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5703125" customWidth="1" min="2" max="2"/>
    <col width="7.7109375" customWidth="1" min="4" max="4"/>
    <col width="5.7109375" customWidth="1" min="6" max="6"/>
    <col width="5.7109375" customWidth="1" min="7" max="7"/>
    <col width="13.5703125" customWidth="1" min="8" max="8"/>
  </cols>
  <sheetData>
    <row r="1">
      <c r="A1" t="inlineStr">
        <is>
          <t>Table 10: Indicators on Access and Equity by Province</t>
        </is>
      </c>
    </row>
    <row r="2">
      <c r="A2" t="inlineStr">
        <is>
          <t>Province</t>
        </is>
      </c>
      <c r="B2" t="inlineStr">
        <is>
          <t>Gross Admission Rate</t>
        </is>
      </c>
      <c r="D2" t="inlineStr">
        <is>
          <t>Net Admission Rate</t>
        </is>
      </c>
      <c r="F2" t="inlineStr">
        <is>
          <t>% Over-age (6+) Admission</t>
        </is>
      </c>
      <c r="H2" t="inlineStr">
        <is>
          <t>Transition Rate to Lower Sec.
2020/2021</t>
        </is>
      </c>
      <c r="J2" t="inlineStr">
        <is>
          <t>Transition Rate to Upper Sec.
2020/2021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</row>
    <row r="4">
      <c r="A4" t="inlineStr">
        <is>
          <t>Banteay Meanchey</t>
        </is>
      </c>
      <c r="B4" t="n">
        <v>97.3</v>
      </c>
      <c r="C4" t="n">
        <v>97.3</v>
      </c>
      <c r="D4" t="n">
        <v>68.8</v>
      </c>
      <c r="E4" t="n">
        <v>70.8</v>
      </c>
      <c r="F4" t="n">
        <v>29.4</v>
      </c>
      <c r="G4" t="n">
        <v>27.3</v>
      </c>
      <c r="H4" t="n">
        <v>84</v>
      </c>
      <c r="I4" t="n">
        <v>87.59999999999999</v>
      </c>
      <c r="J4" t="n">
        <v>79.5</v>
      </c>
      <c r="K4" t="n">
        <v>81.09999999999999</v>
      </c>
    </row>
    <row r="5">
      <c r="A5" t="inlineStr">
        <is>
          <t>Battambang</t>
        </is>
      </c>
      <c r="B5" t="n">
        <v>136.7</v>
      </c>
      <c r="C5" t="n">
        <v>136.1</v>
      </c>
      <c r="D5" t="n">
        <v>93</v>
      </c>
      <c r="E5" t="n">
        <v>95.2</v>
      </c>
      <c r="F5" t="n">
        <v>32</v>
      </c>
      <c r="G5" t="n">
        <v>30</v>
      </c>
      <c r="H5" t="n">
        <v>81.09999999999999</v>
      </c>
      <c r="I5" t="n">
        <v>85.2</v>
      </c>
      <c r="J5" t="n">
        <v>77.09999999999999</v>
      </c>
      <c r="K5" t="n">
        <v>78.8</v>
      </c>
    </row>
    <row r="6">
      <c r="A6" t="inlineStr">
        <is>
          <t>Kampong Cham</t>
        </is>
      </c>
      <c r="B6" t="n">
        <v>121.6</v>
      </c>
      <c r="C6" t="n">
        <v>117.2</v>
      </c>
      <c r="D6" t="n">
        <v>91.40000000000001</v>
      </c>
      <c r="E6" t="n">
        <v>91.5</v>
      </c>
      <c r="F6" t="n">
        <v>24.8</v>
      </c>
      <c r="G6" t="n">
        <v>22</v>
      </c>
      <c r="H6" t="n">
        <v>83</v>
      </c>
      <c r="I6" t="n">
        <v>87.7</v>
      </c>
      <c r="J6" t="n">
        <v>80.5</v>
      </c>
      <c r="K6" t="n">
        <v>83.3</v>
      </c>
    </row>
    <row r="7">
      <c r="A7" t="inlineStr">
        <is>
          <t>Kampong Chhnang</t>
        </is>
      </c>
      <c r="B7" t="n">
        <v>113</v>
      </c>
      <c r="C7" t="n">
        <v>111.9</v>
      </c>
      <c r="D7" t="n">
        <v>96.59999999999999</v>
      </c>
      <c r="E7" t="n">
        <v>96.8</v>
      </c>
      <c r="F7" t="n">
        <v>14.6</v>
      </c>
      <c r="G7" t="n">
        <v>13.5</v>
      </c>
      <c r="H7" t="n">
        <v>85.90000000000001</v>
      </c>
      <c r="I7" t="n">
        <v>90.09999999999999</v>
      </c>
      <c r="J7" t="n">
        <v>72.40000000000001</v>
      </c>
      <c r="K7" t="n">
        <v>72.90000000000001</v>
      </c>
    </row>
    <row r="8">
      <c r="A8" t="inlineStr">
        <is>
          <t>Kampong Speu</t>
        </is>
      </c>
      <c r="B8" t="n">
        <v>95</v>
      </c>
      <c r="C8" t="n">
        <v>92.2</v>
      </c>
      <c r="D8" t="n">
        <v>71.8</v>
      </c>
      <c r="E8" t="n">
        <v>70.40000000000001</v>
      </c>
      <c r="F8" t="n">
        <v>24.4</v>
      </c>
      <c r="G8" t="n">
        <v>23.7</v>
      </c>
      <c r="H8" t="n">
        <v>81.40000000000001</v>
      </c>
      <c r="I8" t="n">
        <v>84.59999999999999</v>
      </c>
      <c r="J8" t="n">
        <v>69.2</v>
      </c>
      <c r="K8" t="n">
        <v>69.2</v>
      </c>
    </row>
    <row r="9">
      <c r="A9" t="inlineStr">
        <is>
          <t>Kampong Thom</t>
        </is>
      </c>
      <c r="B9" t="n">
        <v>125</v>
      </c>
      <c r="C9" t="n">
        <v>126.9</v>
      </c>
      <c r="D9" t="n">
        <v>95.8</v>
      </c>
      <c r="E9" t="n">
        <v>96.40000000000001</v>
      </c>
      <c r="F9" t="n">
        <v>23.3</v>
      </c>
      <c r="G9" t="n">
        <v>24</v>
      </c>
      <c r="H9" t="n">
        <v>85.8</v>
      </c>
      <c r="I9" t="n">
        <v>88.8</v>
      </c>
      <c r="J9" t="n">
        <v>78.40000000000001</v>
      </c>
      <c r="K9" t="n">
        <v>79.7</v>
      </c>
    </row>
    <row r="10">
      <c r="A10" t="inlineStr">
        <is>
          <t>Kampot</t>
        </is>
      </c>
      <c r="B10" t="n">
        <v>108.3</v>
      </c>
      <c r="C10" t="n">
        <v>103.9</v>
      </c>
      <c r="D10" t="n">
        <v>83.5</v>
      </c>
      <c r="E10" t="n">
        <v>81.09999999999999</v>
      </c>
      <c r="F10" t="n">
        <v>22.9</v>
      </c>
      <c r="G10" t="n">
        <v>21.9</v>
      </c>
      <c r="H10" t="n">
        <v>91</v>
      </c>
      <c r="I10" t="n">
        <v>95.3</v>
      </c>
      <c r="J10" t="n">
        <v>75.09999999999999</v>
      </c>
      <c r="K10" t="n">
        <v>75.8</v>
      </c>
    </row>
    <row r="11">
      <c r="A11" t="inlineStr">
        <is>
          <t>Kandal</t>
        </is>
      </c>
      <c r="B11" t="n">
        <v>105.9</v>
      </c>
      <c r="C11" t="n">
        <v>103.2</v>
      </c>
      <c r="D11" t="n">
        <v>85.09999999999999</v>
      </c>
      <c r="E11" t="n">
        <v>83.40000000000001</v>
      </c>
      <c r="F11" t="n">
        <v>19.6</v>
      </c>
      <c r="G11" t="n">
        <v>19.2</v>
      </c>
      <c r="H11" t="n">
        <v>86.59999999999999</v>
      </c>
      <c r="I11" t="n">
        <v>91.2</v>
      </c>
      <c r="J11" t="n">
        <v>80.09999999999999</v>
      </c>
      <c r="K11" t="n">
        <v>82.3</v>
      </c>
    </row>
    <row r="12">
      <c r="A12" t="inlineStr">
        <is>
          <t>Kep</t>
        </is>
      </c>
      <c r="B12" t="n">
        <v>107.5</v>
      </c>
      <c r="C12" t="n">
        <v>106.1</v>
      </c>
      <c r="D12" t="n">
        <v>73.2</v>
      </c>
      <c r="E12" t="n">
        <v>72.7</v>
      </c>
      <c r="F12" t="n">
        <v>31.9</v>
      </c>
      <c r="G12" t="n">
        <v>31.5</v>
      </c>
      <c r="H12" t="n">
        <v>88.7</v>
      </c>
      <c r="I12" t="n">
        <v>94.09999999999999</v>
      </c>
      <c r="J12" t="n">
        <v>80.8</v>
      </c>
      <c r="K12" t="n">
        <v>84</v>
      </c>
    </row>
    <row r="13">
      <c r="A13" t="inlineStr">
        <is>
          <t>Koh Kong</t>
        </is>
      </c>
      <c r="B13" t="n">
        <v>124.5</v>
      </c>
      <c r="C13" t="n">
        <v>132.1</v>
      </c>
      <c r="D13" t="n">
        <v>69.90000000000001</v>
      </c>
      <c r="E13" t="n">
        <v>73.09999999999999</v>
      </c>
      <c r="F13" t="n">
        <v>43.9</v>
      </c>
      <c r="G13" t="n">
        <v>44.6</v>
      </c>
      <c r="H13" t="n">
        <v>86.5</v>
      </c>
      <c r="I13" t="n">
        <v>89.40000000000001</v>
      </c>
      <c r="J13" t="n">
        <v>84.59999999999999</v>
      </c>
      <c r="K13" t="n">
        <v>85.8</v>
      </c>
    </row>
    <row r="14">
      <c r="A14" t="inlineStr">
        <is>
          <t>Kratie</t>
        </is>
      </c>
      <c r="B14" t="n">
        <v>143.9</v>
      </c>
      <c r="C14" t="n">
        <v>146.9</v>
      </c>
      <c r="D14" t="n">
        <v>96.7</v>
      </c>
      <c r="E14" t="n">
        <v>93.7</v>
      </c>
      <c r="F14" t="n">
        <v>32.8</v>
      </c>
      <c r="G14" t="n">
        <v>36.2</v>
      </c>
      <c r="H14" t="n">
        <v>73.59999999999999</v>
      </c>
      <c r="I14" t="n">
        <v>76.40000000000001</v>
      </c>
      <c r="J14" t="n">
        <v>73</v>
      </c>
      <c r="K14" t="n">
        <v>74.7</v>
      </c>
    </row>
    <row r="15">
      <c r="A15" t="inlineStr">
        <is>
          <t>Mondul Kiri</t>
        </is>
      </c>
      <c r="B15" t="n">
        <v>148.1</v>
      </c>
      <c r="C15" t="n">
        <v>155.8</v>
      </c>
      <c r="D15" t="n">
        <v>84.2</v>
      </c>
      <c r="E15" t="n">
        <v>92.59999999999999</v>
      </c>
      <c r="F15" t="n">
        <v>43.2</v>
      </c>
      <c r="G15" t="n">
        <v>40.5</v>
      </c>
      <c r="H15" t="n">
        <v>83.59999999999999</v>
      </c>
      <c r="I15" t="n">
        <v>85</v>
      </c>
      <c r="J15" t="n">
        <v>79.3</v>
      </c>
      <c r="K15" t="n">
        <v>80.40000000000001</v>
      </c>
    </row>
    <row r="16">
      <c r="A16" t="inlineStr">
        <is>
          <t>Otdar Meanchey</t>
        </is>
      </c>
      <c r="B16" t="n">
        <v>121.7</v>
      </c>
      <c r="C16" t="n">
        <v>123.7</v>
      </c>
      <c r="D16" t="n">
        <v>87.3</v>
      </c>
      <c r="E16" t="n">
        <v>89.7</v>
      </c>
      <c r="F16" t="n">
        <v>28.2</v>
      </c>
      <c r="G16" t="n">
        <v>27.5</v>
      </c>
      <c r="H16" t="n">
        <v>84.3</v>
      </c>
      <c r="I16" t="n">
        <v>87.90000000000001</v>
      </c>
      <c r="J16" t="n">
        <v>77.09999999999999</v>
      </c>
      <c r="K16" t="n">
        <v>76.90000000000001</v>
      </c>
    </row>
    <row r="17">
      <c r="A17" t="inlineStr">
        <is>
          <t>Pailin</t>
        </is>
      </c>
      <c r="B17" t="n">
        <v>114.8</v>
      </c>
      <c r="C17" t="n">
        <v>122.5</v>
      </c>
      <c r="D17" t="n">
        <v>78.5</v>
      </c>
      <c r="E17" t="n">
        <v>87</v>
      </c>
      <c r="F17" t="n">
        <v>31.6</v>
      </c>
      <c r="G17" t="n">
        <v>29</v>
      </c>
      <c r="H17" t="n">
        <v>99.2</v>
      </c>
      <c r="I17" t="n">
        <v>99.90000000000001</v>
      </c>
      <c r="J17" t="n">
        <v>73.5</v>
      </c>
      <c r="K17" t="n">
        <v>79.7</v>
      </c>
    </row>
    <row r="18">
      <c r="A18" t="inlineStr">
        <is>
          <t>Phnom Penh</t>
        </is>
      </c>
      <c r="B18" t="n">
        <v>52</v>
      </c>
      <c r="C18" t="n">
        <v>49.8</v>
      </c>
      <c r="D18" t="n">
        <v>39.9</v>
      </c>
      <c r="E18" t="n">
        <v>39</v>
      </c>
      <c r="F18" t="n">
        <v>23.4</v>
      </c>
      <c r="G18" t="n">
        <v>21.7</v>
      </c>
      <c r="H18" t="n">
        <v>93.2</v>
      </c>
      <c r="I18" t="n">
        <v>93.5</v>
      </c>
      <c r="J18" t="n">
        <v>85.59999999999999</v>
      </c>
      <c r="K18" t="n">
        <v>86.7</v>
      </c>
    </row>
    <row r="19">
      <c r="A19" t="inlineStr">
        <is>
          <t>Preah Sihanouk</t>
        </is>
      </c>
      <c r="B19" t="n">
        <v>82.8</v>
      </c>
      <c r="C19" t="n">
        <v>86.7</v>
      </c>
      <c r="D19" t="n">
        <v>42.8</v>
      </c>
      <c r="E19" t="n">
        <v>46.9</v>
      </c>
      <c r="F19" t="n">
        <v>48.3</v>
      </c>
      <c r="G19" t="n">
        <v>45.9</v>
      </c>
      <c r="H19" t="n">
        <v>89.3</v>
      </c>
      <c r="I19" t="n">
        <v>90</v>
      </c>
      <c r="J19" t="n">
        <v>81.2</v>
      </c>
      <c r="K19" t="n">
        <v>83.09999999999999</v>
      </c>
    </row>
    <row r="20">
      <c r="A20" t="inlineStr">
        <is>
          <t>Preah Vihear</t>
        </is>
      </c>
      <c r="B20" t="n">
        <v>121.3</v>
      </c>
      <c r="C20" t="n">
        <v>128.2</v>
      </c>
      <c r="D20" t="n">
        <v>90.5</v>
      </c>
      <c r="E20" t="n">
        <v>98.90000000000001</v>
      </c>
      <c r="F20" t="n">
        <v>25.3</v>
      </c>
      <c r="G20" t="n">
        <v>22.8</v>
      </c>
      <c r="H20" t="n">
        <v>87.90000000000001</v>
      </c>
      <c r="I20" t="n">
        <v>88.2</v>
      </c>
      <c r="J20" t="n">
        <v>81.40000000000001</v>
      </c>
      <c r="K20" t="n">
        <v>80</v>
      </c>
    </row>
    <row r="21">
      <c r="A21" t="inlineStr">
        <is>
          <t>Prey Veng</t>
        </is>
      </c>
      <c r="B21" t="n">
        <v>109.8</v>
      </c>
      <c r="C21" t="n">
        <v>102.8</v>
      </c>
      <c r="D21" t="n">
        <v>84.3</v>
      </c>
      <c r="E21" t="n">
        <v>79.3</v>
      </c>
      <c r="F21" t="n">
        <v>23.2</v>
      </c>
      <c r="G21" t="n">
        <v>22.8</v>
      </c>
      <c r="H21" t="n">
        <v>82.8</v>
      </c>
      <c r="I21" t="n">
        <v>88.59999999999999</v>
      </c>
      <c r="J21" t="n">
        <v>74.40000000000001</v>
      </c>
      <c r="K21" t="n">
        <v>75.09999999999999</v>
      </c>
    </row>
    <row r="22">
      <c r="A22" t="inlineStr">
        <is>
          <t>Pursat</t>
        </is>
      </c>
      <c r="B22" t="n">
        <v>139.6</v>
      </c>
      <c r="C22" t="n">
        <v>137</v>
      </c>
      <c r="D22" t="n">
        <v>96.5</v>
      </c>
      <c r="E22" t="n">
        <v>96.2</v>
      </c>
      <c r="F22" t="n">
        <v>30.9</v>
      </c>
      <c r="G22" t="n">
        <v>29.8</v>
      </c>
      <c r="H22" t="n">
        <v>86.59999999999999</v>
      </c>
      <c r="I22" t="n">
        <v>90</v>
      </c>
      <c r="J22" t="n">
        <v>82.90000000000001</v>
      </c>
      <c r="K22" t="n">
        <v>83.7</v>
      </c>
    </row>
    <row r="23">
      <c r="A23" t="inlineStr">
        <is>
          <t>Ratanak Kiri</t>
        </is>
      </c>
      <c r="B23" t="n">
        <v>154.2</v>
      </c>
      <c r="C23" t="n">
        <v>161.9</v>
      </c>
      <c r="D23" t="n">
        <v>77.7</v>
      </c>
      <c r="E23" t="n">
        <v>83.3</v>
      </c>
      <c r="F23" t="n">
        <v>49.6</v>
      </c>
      <c r="G23" t="n">
        <v>48.5</v>
      </c>
      <c r="H23" t="n">
        <v>78.09999999999999</v>
      </c>
      <c r="I23" t="n">
        <v>80.7</v>
      </c>
      <c r="J23" t="n">
        <v>77</v>
      </c>
      <c r="K23" t="n">
        <v>80.09999999999999</v>
      </c>
    </row>
    <row r="24">
      <c r="A24" t="inlineStr">
        <is>
          <t>Siemreap</t>
        </is>
      </c>
      <c r="B24" t="n">
        <v>136.8</v>
      </c>
      <c r="C24" t="n">
        <v>135.6</v>
      </c>
      <c r="D24" t="n">
        <v>95.7</v>
      </c>
      <c r="E24" t="n">
        <v>98.2</v>
      </c>
      <c r="F24" t="n">
        <v>30.1</v>
      </c>
      <c r="G24" t="n">
        <v>27.5</v>
      </c>
      <c r="H24" t="n">
        <v>85</v>
      </c>
      <c r="I24" t="n">
        <v>89.3</v>
      </c>
      <c r="J24" t="n">
        <v>84.3</v>
      </c>
      <c r="K24" t="n">
        <v>87.5</v>
      </c>
    </row>
    <row r="25">
      <c r="A25" t="inlineStr">
        <is>
          <t>Stung Treng</t>
        </is>
      </c>
      <c r="B25" t="n">
        <v>147.1</v>
      </c>
      <c r="C25" t="n">
        <v>155.4</v>
      </c>
      <c r="D25" t="n">
        <v>94</v>
      </c>
      <c r="E25" t="n">
        <v>96.2</v>
      </c>
      <c r="F25" t="n">
        <v>36.1</v>
      </c>
      <c r="G25" t="n">
        <v>38.1</v>
      </c>
      <c r="H25" t="n">
        <v>75.40000000000001</v>
      </c>
      <c r="I25" t="n">
        <v>76.59999999999999</v>
      </c>
      <c r="J25" t="n">
        <v>76.7</v>
      </c>
      <c r="K25" t="n">
        <v>76.40000000000001</v>
      </c>
    </row>
    <row r="26">
      <c r="A26" t="inlineStr">
        <is>
          <t>Svay Rieng</t>
        </is>
      </c>
      <c r="B26" t="n">
        <v>119.4</v>
      </c>
      <c r="C26" t="n">
        <v>115.1</v>
      </c>
      <c r="D26" t="n">
        <v>92</v>
      </c>
      <c r="E26" t="n">
        <v>91.09999999999999</v>
      </c>
      <c r="F26" t="n">
        <v>22.9</v>
      </c>
      <c r="G26" t="n">
        <v>20.9</v>
      </c>
      <c r="H26" t="n">
        <v>89.5</v>
      </c>
      <c r="I26" t="n">
        <v>91.90000000000001</v>
      </c>
      <c r="J26" t="n">
        <v>70.2</v>
      </c>
      <c r="K26" t="n">
        <v>70.2</v>
      </c>
    </row>
    <row r="27">
      <c r="A27" t="inlineStr">
        <is>
          <t>Takeo</t>
        </is>
      </c>
      <c r="B27" t="n">
        <v>100.6</v>
      </c>
      <c r="C27" t="n">
        <v>97</v>
      </c>
      <c r="D27" t="n">
        <v>96.2</v>
      </c>
      <c r="E27" t="n">
        <v>92.90000000000001</v>
      </c>
      <c r="F27" t="n">
        <v>4.5</v>
      </c>
      <c r="G27" t="n">
        <v>4.3</v>
      </c>
      <c r="H27" t="n">
        <v>89.09999999999999</v>
      </c>
      <c r="I27" t="n">
        <v>92.3</v>
      </c>
      <c r="J27" t="n">
        <v>77.90000000000001</v>
      </c>
      <c r="K27" t="n">
        <v>79.40000000000001</v>
      </c>
    </row>
    <row r="28">
      <c r="A28" t="inlineStr">
        <is>
          <t>Tbaung Khmum</t>
        </is>
      </c>
      <c r="B28" t="n">
        <v>113.2</v>
      </c>
      <c r="C28" t="n">
        <v>111.1</v>
      </c>
      <c r="D28" t="n">
        <v>83.09999999999999</v>
      </c>
      <c r="E28" t="n">
        <v>83.09999999999999</v>
      </c>
      <c r="F28" t="n">
        <v>26.6</v>
      </c>
      <c r="G28" t="n">
        <v>25.2</v>
      </c>
      <c r="H28" t="n">
        <v>78.8</v>
      </c>
      <c r="I28" t="n">
        <v>83.09999999999999</v>
      </c>
      <c r="J28" t="n">
        <v>74.40000000000001</v>
      </c>
      <c r="K28" t="n">
        <v>76.3</v>
      </c>
    </row>
    <row r="29">
      <c r="A29" t="inlineStr">
        <is>
          <t>Whole Kingdom</t>
        </is>
      </c>
      <c r="B29" t="n">
        <v>107.2</v>
      </c>
      <c r="C29" t="n">
        <v>105.5</v>
      </c>
      <c r="D29" t="n">
        <v>79.59999999999999</v>
      </c>
      <c r="E29" t="n">
        <v>79.40000000000001</v>
      </c>
      <c r="F29" t="n">
        <v>25.8</v>
      </c>
      <c r="G29" t="n">
        <v>24.7</v>
      </c>
      <c r="H29" t="n">
        <v>85</v>
      </c>
      <c r="I29" t="n">
        <v>88.5</v>
      </c>
      <c r="J29" t="n">
        <v>78.2</v>
      </c>
      <c r="K29" t="n">
        <v>79.59999999999999</v>
      </c>
    </row>
    <row r="30">
      <c r="A30" t="inlineStr">
        <is>
          <t>- Urban Area</t>
        </is>
      </c>
      <c r="B30" t="n">
        <v>72.2</v>
      </c>
      <c r="C30" t="n">
        <v>70.2</v>
      </c>
      <c r="D30" t="n">
        <v>52.6</v>
      </c>
      <c r="E30" t="n">
        <v>52.3</v>
      </c>
      <c r="F30" t="n">
        <v>27.1</v>
      </c>
      <c r="G30" t="n">
        <v>25.6</v>
      </c>
      <c r="H30" t="n">
        <v>95.59999999999999</v>
      </c>
      <c r="I30" t="n">
        <v>97</v>
      </c>
      <c r="J30" t="n">
        <v>96.40000000000001</v>
      </c>
      <c r="K30" t="n">
        <v>98.8</v>
      </c>
    </row>
    <row r="31">
      <c r="A31" t="inlineStr">
        <is>
          <t>- Rural Area</t>
        </is>
      </c>
      <c r="B31" t="n">
        <v>120</v>
      </c>
      <c r="C31" t="n">
        <v>118.4</v>
      </c>
      <c r="D31" t="n">
        <v>89.40000000000001</v>
      </c>
      <c r="E31" t="n">
        <v>89.40000000000001</v>
      </c>
      <c r="F31" t="n">
        <v>25.5</v>
      </c>
      <c r="G31" t="n">
        <v>24.5</v>
      </c>
      <c r="H31" t="n">
        <v>82.7</v>
      </c>
      <c r="I31" t="n">
        <v>86.7</v>
      </c>
      <c r="J31" t="n">
        <v>73</v>
      </c>
      <c r="K31" t="n">
        <v>74.5</v>
      </c>
    </row>
  </sheetData>
  <mergeCells count="7">
    <mergeCell ref="F2:G2"/>
    <mergeCell ref="B2:C2"/>
    <mergeCell ref="H2:I2"/>
    <mergeCell ref="D2:E2"/>
    <mergeCell ref="J2:K2"/>
    <mergeCell ref="A1:L1"/>
    <mergeCell ref="A2:A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30A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85546875" customWidth="1" min="2" max="2"/>
    <col width="7.7109375" customWidth="1" min="3" max="3"/>
    <col width="8" customWidth="1" min="4" max="4"/>
    <col width="7.85546875" customWidth="1" min="5" max="5"/>
    <col width="7.7109375" customWidth="1" min="6" max="6"/>
    <col width="8" customWidth="1" min="7" max="7"/>
    <col width="7.85546875" customWidth="1" min="8" max="8"/>
    <col width="7.7109375" customWidth="1" min="9" max="9"/>
    <col width="8" customWidth="1" min="10" max="10"/>
    <col width="7.85546875" customWidth="1" min="11" max="11"/>
    <col width="7.7109375" customWidth="1" min="12" max="12"/>
    <col width="8" customWidth="1" min="13" max="13"/>
  </cols>
  <sheetData>
    <row r="1">
      <c r="A1" t="inlineStr">
        <is>
          <t>Table 9: Indicators on Enrollment by Province</t>
        </is>
      </c>
    </row>
    <row r="2">
      <c r="A2" t="inlineStr">
        <is>
          <t>Province</t>
        </is>
      </c>
      <c r="B2" t="inlineStr">
        <is>
          <t>% Repeaters (Total)</t>
        </is>
      </c>
      <c r="E2" t="inlineStr">
        <is>
          <t>% Over-age Enrollment (Total)</t>
        </is>
      </c>
      <c r="H2" t="inlineStr">
        <is>
          <t>% Repeaters (Girl)</t>
        </is>
      </c>
      <c r="K2" t="inlineStr">
        <is>
          <t>% Over-age Enrollment  (Girl)</t>
        </is>
      </c>
    </row>
    <row r="3">
      <c r="B3" t="inlineStr">
        <is>
          <t>Primary</t>
        </is>
      </c>
      <c r="C3" t="inlineStr">
        <is>
          <t>L.Sec.</t>
        </is>
      </c>
      <c r="D3" t="inlineStr">
        <is>
          <t>U.Sec.</t>
        </is>
      </c>
      <c r="E3" t="inlineStr">
        <is>
          <t>Primary</t>
        </is>
      </c>
      <c r="F3" t="inlineStr">
        <is>
          <t>L.Sec.</t>
        </is>
      </c>
      <c r="G3" t="inlineStr">
        <is>
          <t>U.Sec.</t>
        </is>
      </c>
      <c r="H3" t="inlineStr">
        <is>
          <t>Primary</t>
        </is>
      </c>
      <c r="I3" t="inlineStr">
        <is>
          <t>L.Sec.</t>
        </is>
      </c>
      <c r="J3" t="inlineStr">
        <is>
          <t>U.Sec.</t>
        </is>
      </c>
      <c r="K3" t="inlineStr">
        <is>
          <t>Primary</t>
        </is>
      </c>
      <c r="L3" t="inlineStr">
        <is>
          <t>L.Sec.</t>
        </is>
      </c>
      <c r="M3" t="inlineStr">
        <is>
          <t>U.Sec.</t>
        </is>
      </c>
    </row>
    <row r="4">
      <c r="A4" t="inlineStr">
        <is>
          <t>Banteay Meanchey</t>
        </is>
      </c>
      <c r="B4" t="n">
        <v>5</v>
      </c>
      <c r="C4" t="n">
        <v>0.8</v>
      </c>
      <c r="D4" t="n">
        <v>0.7</v>
      </c>
      <c r="E4" t="n">
        <v>16.2</v>
      </c>
      <c r="F4" t="n">
        <v>31.5</v>
      </c>
      <c r="G4" t="n">
        <v>23.5</v>
      </c>
      <c r="H4" t="n">
        <v>3.8</v>
      </c>
      <c r="I4" t="n">
        <v>0.5</v>
      </c>
      <c r="J4" t="n">
        <v>0.7</v>
      </c>
      <c r="K4" t="n">
        <v>14.9</v>
      </c>
      <c r="L4" t="n">
        <v>29.3</v>
      </c>
      <c r="M4" t="n">
        <v>21</v>
      </c>
    </row>
    <row r="5">
      <c r="A5" t="inlineStr">
        <is>
          <t>Battambang</t>
        </is>
      </c>
      <c r="B5" t="n">
        <v>7</v>
      </c>
      <c r="C5" t="n">
        <v>1.1</v>
      </c>
      <c r="D5" t="n">
        <v>1.3</v>
      </c>
      <c r="E5" t="n">
        <v>33.8</v>
      </c>
      <c r="F5" t="n">
        <v>34.3</v>
      </c>
      <c r="G5" t="n">
        <v>28.1</v>
      </c>
      <c r="H5" t="n">
        <v>5.4</v>
      </c>
      <c r="I5" t="n">
        <v>0.8</v>
      </c>
      <c r="J5" t="n">
        <v>1.2</v>
      </c>
      <c r="K5" t="n">
        <v>33.1</v>
      </c>
      <c r="L5" t="n">
        <v>31.5</v>
      </c>
      <c r="M5" t="n">
        <v>26.4</v>
      </c>
    </row>
    <row r="6">
      <c r="A6" t="inlineStr">
        <is>
          <t>Kampong Cham</t>
        </is>
      </c>
      <c r="B6" t="n">
        <v>9.9</v>
      </c>
      <c r="C6" t="n">
        <v>1.2</v>
      </c>
      <c r="D6" t="n">
        <v>1.3</v>
      </c>
      <c r="E6" t="n">
        <v>26.5</v>
      </c>
      <c r="F6" t="n">
        <v>31.2</v>
      </c>
      <c r="G6" t="n">
        <v>24.5</v>
      </c>
      <c r="H6" t="n">
        <v>6.9</v>
      </c>
      <c r="I6" t="n">
        <v>0.9</v>
      </c>
      <c r="J6" t="n">
        <v>1.3</v>
      </c>
      <c r="K6" t="n">
        <v>30.3</v>
      </c>
      <c r="L6" t="n">
        <v>28.7</v>
      </c>
      <c r="M6" t="n">
        <v>22.4</v>
      </c>
    </row>
    <row r="7">
      <c r="A7" t="inlineStr">
        <is>
          <t>Kampong Chhnang</t>
        </is>
      </c>
      <c r="B7" t="n">
        <v>8.4</v>
      </c>
      <c r="C7" t="n">
        <v>0.7</v>
      </c>
      <c r="D7" t="n">
        <v>1.1</v>
      </c>
      <c r="E7" t="n">
        <v>20.3</v>
      </c>
      <c r="F7" t="n">
        <v>32.3</v>
      </c>
      <c r="G7" t="n">
        <v>27.8</v>
      </c>
      <c r="H7" t="n">
        <v>5.6</v>
      </c>
      <c r="I7" t="n">
        <v>0.5</v>
      </c>
      <c r="J7" t="n">
        <v>1</v>
      </c>
      <c r="K7" t="n">
        <v>19.8</v>
      </c>
      <c r="L7" t="n">
        <v>30.6</v>
      </c>
      <c r="M7" t="n">
        <v>26</v>
      </c>
    </row>
    <row r="8">
      <c r="A8" t="inlineStr">
        <is>
          <t>Kampong Speu</t>
        </is>
      </c>
      <c r="B8" t="n">
        <v>5.9</v>
      </c>
      <c r="C8" t="n">
        <v>0.7</v>
      </c>
      <c r="D8" t="n">
        <v>0.7</v>
      </c>
      <c r="E8" t="n">
        <v>14.9</v>
      </c>
      <c r="F8" t="n">
        <v>29.9</v>
      </c>
      <c r="G8" t="n">
        <v>27</v>
      </c>
      <c r="H8" t="n">
        <v>4.9</v>
      </c>
      <c r="I8" t="n">
        <v>0.4</v>
      </c>
      <c r="J8" t="n">
        <v>0.6</v>
      </c>
      <c r="K8" t="n">
        <v>13.8</v>
      </c>
      <c r="L8" t="n">
        <v>27.4</v>
      </c>
      <c r="M8" t="n">
        <v>25.7</v>
      </c>
    </row>
    <row r="9">
      <c r="A9" t="inlineStr">
        <is>
          <t>Kampong Thom</t>
        </is>
      </c>
      <c r="B9" t="n">
        <v>7.8</v>
      </c>
      <c r="C9" t="n">
        <v>0.8</v>
      </c>
      <c r="D9" t="n">
        <v>0.7</v>
      </c>
      <c r="E9" t="n">
        <v>23.1</v>
      </c>
      <c r="F9" t="n">
        <v>34.9</v>
      </c>
      <c r="G9" t="n">
        <v>29.1</v>
      </c>
      <c r="H9" t="n">
        <v>5.6</v>
      </c>
      <c r="I9" t="n">
        <v>0.5</v>
      </c>
      <c r="J9" t="n">
        <v>0.4</v>
      </c>
      <c r="K9" t="n">
        <v>25</v>
      </c>
      <c r="L9" t="n">
        <v>31.9</v>
      </c>
      <c r="M9" t="n">
        <v>27.1</v>
      </c>
    </row>
    <row r="10">
      <c r="A10" t="inlineStr">
        <is>
          <t>Kampot</t>
        </is>
      </c>
      <c r="B10" t="n">
        <v>5.3</v>
      </c>
      <c r="C10" t="n">
        <v>1.5</v>
      </c>
      <c r="D10" t="n">
        <v>1.2</v>
      </c>
      <c r="E10" t="n">
        <v>13.5</v>
      </c>
      <c r="F10" t="n">
        <v>31.4</v>
      </c>
      <c r="G10" t="n">
        <v>27.3</v>
      </c>
      <c r="H10" t="n">
        <v>3.9</v>
      </c>
      <c r="I10" t="n">
        <v>1</v>
      </c>
      <c r="J10" t="n">
        <v>1</v>
      </c>
      <c r="K10" t="n">
        <v>12.2</v>
      </c>
      <c r="L10" t="n">
        <v>28.7</v>
      </c>
      <c r="M10" t="n">
        <v>24</v>
      </c>
    </row>
    <row r="11">
      <c r="A11" t="inlineStr">
        <is>
          <t>Kandal</t>
        </is>
      </c>
      <c r="B11" t="n">
        <v>11.6</v>
      </c>
      <c r="C11" t="n">
        <v>1</v>
      </c>
      <c r="D11" t="n">
        <v>0.9</v>
      </c>
      <c r="E11" t="n">
        <v>14.8</v>
      </c>
      <c r="F11" t="n">
        <v>29.5</v>
      </c>
      <c r="G11" t="n">
        <v>22.7</v>
      </c>
      <c r="H11" t="n">
        <v>9.1</v>
      </c>
      <c r="I11" t="n">
        <v>0.7</v>
      </c>
      <c r="J11" t="n">
        <v>0.6</v>
      </c>
      <c r="K11" t="n">
        <v>12.6</v>
      </c>
      <c r="L11" t="n">
        <v>26</v>
      </c>
      <c r="M11" t="n">
        <v>20.6</v>
      </c>
    </row>
    <row r="12">
      <c r="A12" t="inlineStr">
        <is>
          <t>Kep</t>
        </is>
      </c>
      <c r="B12" t="n">
        <v>5.6</v>
      </c>
      <c r="C12" t="n">
        <v>2.5</v>
      </c>
      <c r="D12" t="n">
        <v>0.1</v>
      </c>
      <c r="E12" t="n">
        <v>18.8</v>
      </c>
      <c r="F12" t="n">
        <v>37.3</v>
      </c>
      <c r="G12" t="n">
        <v>33.2</v>
      </c>
      <c r="H12" t="n">
        <v>3.8</v>
      </c>
      <c r="I12" t="n">
        <v>1.2</v>
      </c>
      <c r="J12" t="n">
        <v>0.2</v>
      </c>
      <c r="K12" t="n">
        <v>17.3</v>
      </c>
      <c r="L12" t="n">
        <v>31.6</v>
      </c>
      <c r="M12" t="n">
        <v>29</v>
      </c>
    </row>
    <row r="13">
      <c r="A13" t="inlineStr">
        <is>
          <t>Koh Kong</t>
        </is>
      </c>
      <c r="B13" t="n">
        <v>5.2</v>
      </c>
      <c r="C13" t="n">
        <v>1.6</v>
      </c>
      <c r="D13" t="n">
        <v>0.5</v>
      </c>
      <c r="E13" t="n">
        <v>20.8</v>
      </c>
      <c r="F13" t="n">
        <v>41.4</v>
      </c>
      <c r="G13" t="n">
        <v>32.3</v>
      </c>
      <c r="H13" t="n">
        <v>4.1</v>
      </c>
      <c r="I13" t="n">
        <v>1</v>
      </c>
      <c r="J13" t="n">
        <v>0.4</v>
      </c>
      <c r="K13" t="n">
        <v>18.6</v>
      </c>
      <c r="L13" t="n">
        <v>36.5</v>
      </c>
      <c r="M13" t="n">
        <v>28.2</v>
      </c>
    </row>
    <row r="14">
      <c r="A14" t="inlineStr">
        <is>
          <t>Kratie</t>
        </is>
      </c>
      <c r="B14" t="n">
        <v>10</v>
      </c>
      <c r="C14" t="n">
        <v>1.2</v>
      </c>
      <c r="D14" t="n">
        <v>0.4</v>
      </c>
      <c r="E14" t="n">
        <v>31</v>
      </c>
      <c r="F14" t="n">
        <v>35.8</v>
      </c>
      <c r="G14" t="n">
        <v>29.4</v>
      </c>
      <c r="H14" t="n">
        <v>7.6</v>
      </c>
      <c r="I14" t="n">
        <v>0.6</v>
      </c>
      <c r="J14" t="n">
        <v>0.4</v>
      </c>
      <c r="K14" t="n">
        <v>28.5</v>
      </c>
      <c r="L14" t="n">
        <v>32.4</v>
      </c>
      <c r="M14" t="n">
        <v>25.7</v>
      </c>
    </row>
    <row r="15">
      <c r="A15" t="inlineStr">
        <is>
          <t>Mondul Kiri</t>
        </is>
      </c>
      <c r="B15" t="n">
        <v>7</v>
      </c>
      <c r="C15" t="n">
        <v>2.1</v>
      </c>
      <c r="D15" t="n">
        <v>1.1</v>
      </c>
      <c r="E15" t="n">
        <v>31.2</v>
      </c>
      <c r="F15" t="n">
        <v>46</v>
      </c>
      <c r="G15" t="n">
        <v>42.9</v>
      </c>
      <c r="H15" t="n">
        <v>5.2</v>
      </c>
      <c r="I15" t="n">
        <v>1</v>
      </c>
      <c r="J15" t="n">
        <v>1</v>
      </c>
      <c r="K15" t="n">
        <v>29.1</v>
      </c>
      <c r="L15" t="n">
        <v>42.3</v>
      </c>
      <c r="M15" t="n">
        <v>37.8</v>
      </c>
    </row>
    <row r="16">
      <c r="A16" t="inlineStr">
        <is>
          <t>Otdar Meanchey</t>
        </is>
      </c>
      <c r="B16" t="n">
        <v>8.5</v>
      </c>
      <c r="C16" t="n">
        <v>1.7</v>
      </c>
      <c r="D16" t="n">
        <v>2.2</v>
      </c>
      <c r="E16" t="n">
        <v>18.3</v>
      </c>
      <c r="F16" t="n">
        <v>37.6</v>
      </c>
      <c r="G16" t="n">
        <v>35.2</v>
      </c>
      <c r="H16" t="n">
        <v>6.7</v>
      </c>
      <c r="I16" t="n">
        <v>1.1</v>
      </c>
      <c r="J16" t="n">
        <v>1.7</v>
      </c>
      <c r="K16" t="n">
        <v>17.3</v>
      </c>
      <c r="L16" t="n">
        <v>34.6</v>
      </c>
      <c r="M16" t="n">
        <v>31.9</v>
      </c>
    </row>
    <row r="17">
      <c r="A17" t="inlineStr">
        <is>
          <t>Pailin</t>
        </is>
      </c>
      <c r="B17" t="n">
        <v>8.4</v>
      </c>
      <c r="C17" t="n">
        <v>2.1</v>
      </c>
      <c r="D17" t="n">
        <v>2.1</v>
      </c>
      <c r="E17" t="n">
        <v>20.7</v>
      </c>
      <c r="F17" t="n">
        <v>33.4</v>
      </c>
      <c r="G17" t="n">
        <v>21.1</v>
      </c>
      <c r="H17" t="n">
        <v>6.9</v>
      </c>
      <c r="I17" t="n">
        <v>1.4</v>
      </c>
      <c r="J17" t="n">
        <v>1.5</v>
      </c>
      <c r="K17" t="n">
        <v>18.9</v>
      </c>
      <c r="L17" t="n">
        <v>29.2</v>
      </c>
      <c r="M17" t="n">
        <v>16.9</v>
      </c>
    </row>
    <row r="18">
      <c r="A18" t="inlineStr">
        <is>
          <t>Phnom Penh</t>
        </is>
      </c>
      <c r="B18" t="n">
        <v>5.7</v>
      </c>
      <c r="C18" t="n">
        <v>1.8</v>
      </c>
      <c r="D18" t="n">
        <v>1.7</v>
      </c>
      <c r="E18" t="n">
        <v>13</v>
      </c>
      <c r="F18" t="n">
        <v>31.2</v>
      </c>
      <c r="G18" t="n">
        <v>32.7</v>
      </c>
      <c r="H18" t="n">
        <v>4.6</v>
      </c>
      <c r="I18" t="n">
        <v>1.5</v>
      </c>
      <c r="J18" t="n">
        <v>1.5</v>
      </c>
      <c r="K18" t="n">
        <v>11.4</v>
      </c>
      <c r="L18" t="n">
        <v>28.6</v>
      </c>
      <c r="M18" t="n">
        <v>30.8</v>
      </c>
    </row>
    <row r="19">
      <c r="A19" t="inlineStr">
        <is>
          <t>Preah Sihanouk</t>
        </is>
      </c>
      <c r="B19" t="n">
        <v>8.6</v>
      </c>
      <c r="C19" t="n">
        <v>1.7</v>
      </c>
      <c r="D19" t="n">
        <v>0.4</v>
      </c>
      <c r="E19" t="n">
        <v>21</v>
      </c>
      <c r="F19" t="n">
        <v>36</v>
      </c>
      <c r="G19" t="n">
        <v>27</v>
      </c>
      <c r="H19" t="n">
        <v>6.9</v>
      </c>
      <c r="I19" t="n">
        <v>1.2</v>
      </c>
      <c r="J19" t="n">
        <v>0.2</v>
      </c>
      <c r="K19" t="n">
        <v>19.8</v>
      </c>
      <c r="L19" t="n">
        <v>30.9</v>
      </c>
      <c r="M19" t="n">
        <v>24.5</v>
      </c>
    </row>
    <row r="20">
      <c r="A20" t="inlineStr">
        <is>
          <t>Preah Vihear</t>
        </is>
      </c>
      <c r="B20" t="n">
        <v>11.2</v>
      </c>
      <c r="C20" t="n">
        <v>0.5</v>
      </c>
      <c r="D20" t="n">
        <v>0.5</v>
      </c>
      <c r="E20" t="n">
        <v>23.9</v>
      </c>
      <c r="F20" t="n">
        <v>42.9</v>
      </c>
      <c r="G20" t="n">
        <v>32.8</v>
      </c>
      <c r="H20" t="n">
        <v>9.1</v>
      </c>
      <c r="I20" t="n">
        <v>0.3</v>
      </c>
      <c r="J20" t="n">
        <v>0.5</v>
      </c>
      <c r="K20" t="n">
        <v>26</v>
      </c>
      <c r="L20" t="n">
        <v>38.8</v>
      </c>
      <c r="M20" t="n">
        <v>28.7</v>
      </c>
    </row>
    <row r="21">
      <c r="A21" t="inlineStr">
        <is>
          <t>Prey Veng</t>
        </is>
      </c>
      <c r="B21" t="n">
        <v>8</v>
      </c>
      <c r="C21" t="n">
        <v>0.4</v>
      </c>
      <c r="D21" t="n">
        <v>0.9</v>
      </c>
      <c r="E21" t="n">
        <v>19.9</v>
      </c>
      <c r="F21" t="n">
        <v>27.4</v>
      </c>
      <c r="G21" t="n">
        <v>22.3</v>
      </c>
      <c r="H21" t="n">
        <v>6.1</v>
      </c>
      <c r="I21" t="n">
        <v>0.3</v>
      </c>
      <c r="J21" t="n">
        <v>0.7</v>
      </c>
      <c r="K21" t="n">
        <v>17</v>
      </c>
      <c r="L21" t="n">
        <v>25.4</v>
      </c>
      <c r="M21" t="n">
        <v>20.7</v>
      </c>
    </row>
    <row r="22">
      <c r="A22" t="inlineStr">
        <is>
          <t>Pursat</t>
        </is>
      </c>
      <c r="B22" t="n">
        <v>9.199999999999999</v>
      </c>
      <c r="C22" t="n">
        <v>0.3</v>
      </c>
      <c r="D22" t="n">
        <v>1</v>
      </c>
      <c r="E22" t="n">
        <v>31.7</v>
      </c>
      <c r="F22" t="n">
        <v>38.2</v>
      </c>
      <c r="G22" t="n">
        <v>32.1</v>
      </c>
      <c r="H22" t="n">
        <v>6.8</v>
      </c>
      <c r="I22" t="n">
        <v>0.2</v>
      </c>
      <c r="J22" t="n">
        <v>0.8</v>
      </c>
      <c r="K22" t="n">
        <v>29.4</v>
      </c>
      <c r="L22" t="n">
        <v>35.3</v>
      </c>
      <c r="M22" t="n">
        <v>29</v>
      </c>
    </row>
    <row r="23">
      <c r="A23" t="inlineStr">
        <is>
          <t>Ratanak Kiri</t>
        </is>
      </c>
      <c r="B23" t="n">
        <v>5.5</v>
      </c>
      <c r="C23" t="n">
        <v>0.8</v>
      </c>
      <c r="D23" t="n">
        <v>0.5</v>
      </c>
      <c r="E23" t="n">
        <v>34</v>
      </c>
      <c r="F23" t="n">
        <v>51.8</v>
      </c>
      <c r="G23" t="n">
        <v>48.9</v>
      </c>
      <c r="H23" t="n">
        <v>4.6</v>
      </c>
      <c r="I23" t="n">
        <v>0.5</v>
      </c>
      <c r="J23" t="n">
        <v>0.5</v>
      </c>
      <c r="K23" t="n">
        <v>31.2</v>
      </c>
      <c r="L23" t="n">
        <v>47.9</v>
      </c>
      <c r="M23" t="n">
        <v>44.1</v>
      </c>
    </row>
    <row r="24">
      <c r="A24" t="inlineStr">
        <is>
          <t>Siemreap</t>
        </is>
      </c>
      <c r="B24" t="n">
        <v>9.699999999999999</v>
      </c>
      <c r="C24" t="n">
        <v>2.2</v>
      </c>
      <c r="D24" t="n">
        <v>1.2</v>
      </c>
      <c r="E24" t="n">
        <v>28.2</v>
      </c>
      <c r="F24" t="n">
        <v>37.2</v>
      </c>
      <c r="G24" t="n">
        <v>30.8</v>
      </c>
      <c r="H24" t="n">
        <v>7</v>
      </c>
      <c r="I24" t="n">
        <v>1.4</v>
      </c>
      <c r="J24" t="n">
        <v>1</v>
      </c>
      <c r="K24" t="n">
        <v>28.1</v>
      </c>
      <c r="L24" t="n">
        <v>34.7</v>
      </c>
      <c r="M24" t="n">
        <v>28.1</v>
      </c>
    </row>
    <row r="25">
      <c r="A25" t="inlineStr">
        <is>
          <t>Stung Treng</t>
        </is>
      </c>
      <c r="B25" t="n">
        <v>12.6</v>
      </c>
      <c r="C25" t="n">
        <v>0.7</v>
      </c>
      <c r="D25" t="n">
        <v>0.5</v>
      </c>
      <c r="E25" t="n">
        <v>27.5</v>
      </c>
      <c r="F25" t="n">
        <v>44.6</v>
      </c>
      <c r="G25" t="n">
        <v>43.1</v>
      </c>
      <c r="H25" t="n">
        <v>10.8</v>
      </c>
      <c r="I25" t="n">
        <v>0.4</v>
      </c>
      <c r="J25" t="n">
        <v>0.3</v>
      </c>
      <c r="K25" t="n">
        <v>24.8</v>
      </c>
      <c r="L25" t="n">
        <v>41.3</v>
      </c>
      <c r="M25" t="n">
        <v>37.8</v>
      </c>
    </row>
    <row r="26">
      <c r="A26" t="inlineStr">
        <is>
          <t>Svay Rieng</t>
        </is>
      </c>
      <c r="B26" t="n">
        <v>5.8</v>
      </c>
      <c r="C26" t="n">
        <v>0.5</v>
      </c>
      <c r="D26" t="n">
        <v>0.4</v>
      </c>
      <c r="E26" t="n">
        <v>19.4</v>
      </c>
      <c r="F26" t="n">
        <v>25.8</v>
      </c>
      <c r="G26" t="n">
        <v>21.9</v>
      </c>
      <c r="H26" t="n">
        <v>4.2</v>
      </c>
      <c r="I26" t="n">
        <v>0.3</v>
      </c>
      <c r="J26" t="n">
        <v>0.2</v>
      </c>
      <c r="K26" t="n">
        <v>15.5</v>
      </c>
      <c r="L26" t="n">
        <v>21.9</v>
      </c>
      <c r="M26" t="n">
        <v>19.4</v>
      </c>
    </row>
    <row r="27">
      <c r="A27" t="inlineStr">
        <is>
          <t>Takeo</t>
        </is>
      </c>
      <c r="B27" t="n">
        <v>7.8</v>
      </c>
      <c r="C27" t="n">
        <v>1.5</v>
      </c>
      <c r="D27" t="n">
        <v>0.9</v>
      </c>
      <c r="E27" t="n">
        <v>12.2</v>
      </c>
      <c r="F27" t="n">
        <v>26.5</v>
      </c>
      <c r="G27" t="n">
        <v>24.9</v>
      </c>
      <c r="H27" t="n">
        <v>5.7</v>
      </c>
      <c r="I27" t="n">
        <v>1.2</v>
      </c>
      <c r="J27" t="n">
        <v>0.9</v>
      </c>
      <c r="K27" t="n">
        <v>11</v>
      </c>
      <c r="L27" t="n">
        <v>23.8</v>
      </c>
      <c r="M27" t="n">
        <v>23.2</v>
      </c>
    </row>
    <row r="28">
      <c r="A28" t="inlineStr">
        <is>
          <t>Tbaung Khmum</t>
        </is>
      </c>
      <c r="B28" t="n">
        <v>8.6</v>
      </c>
      <c r="C28" t="n">
        <v>1.4</v>
      </c>
      <c r="D28" t="n">
        <v>1.1</v>
      </c>
      <c r="E28" t="n">
        <v>19.5</v>
      </c>
      <c r="F28" t="n">
        <v>34.2</v>
      </c>
      <c r="G28" t="n">
        <v>37.8</v>
      </c>
      <c r="H28" t="n">
        <v>6.8</v>
      </c>
      <c r="I28" t="n">
        <v>1</v>
      </c>
      <c r="J28" t="n">
        <v>0.9</v>
      </c>
      <c r="K28" t="n">
        <v>19</v>
      </c>
      <c r="L28" t="n">
        <v>31.4</v>
      </c>
      <c r="M28" t="n">
        <v>35.2</v>
      </c>
    </row>
    <row r="29">
      <c r="A29" t="inlineStr">
        <is>
          <t>Whole Kingdom</t>
        </is>
      </c>
      <c r="B29" t="n">
        <v>8.1</v>
      </c>
      <c r="C29" t="n">
        <v>1.2</v>
      </c>
      <c r="D29" t="n">
        <v>1.1</v>
      </c>
      <c r="E29" t="n">
        <v>21.7</v>
      </c>
      <c r="F29" t="n">
        <v>32.5</v>
      </c>
      <c r="G29" t="n">
        <v>28.2</v>
      </c>
      <c r="H29" t="n">
        <v>6.1</v>
      </c>
      <c r="I29" t="n">
        <v>0.8</v>
      </c>
      <c r="J29" t="n">
        <v>0.9</v>
      </c>
      <c r="K29" t="n">
        <v>21</v>
      </c>
      <c r="L29" t="n">
        <v>29.8</v>
      </c>
      <c r="M29" t="n">
        <v>25.9</v>
      </c>
    </row>
    <row r="30">
      <c r="A30" t="inlineStr">
        <is>
          <t>- Urban Area</t>
        </is>
      </c>
      <c r="B30" t="n">
        <v>7.6</v>
      </c>
      <c r="C30" t="n">
        <v>1.7</v>
      </c>
      <c r="D30" t="n">
        <v>1.4</v>
      </c>
      <c r="E30" t="n">
        <v>18.9</v>
      </c>
      <c r="F30" t="n">
        <v>31.3</v>
      </c>
      <c r="G30" t="n">
        <v>29.4</v>
      </c>
      <c r="H30" t="n">
        <v>6</v>
      </c>
      <c r="I30" t="n">
        <v>1.3</v>
      </c>
      <c r="J30" t="n">
        <v>1.2</v>
      </c>
      <c r="K30" t="n">
        <v>18.3</v>
      </c>
      <c r="L30" t="n">
        <v>28.3</v>
      </c>
      <c r="M30" t="n">
        <v>27.1</v>
      </c>
    </row>
    <row r="31">
      <c r="A31" t="inlineStr">
        <is>
          <t>- Rural Area</t>
        </is>
      </c>
      <c r="B31" t="n">
        <v>8.199999999999999</v>
      </c>
      <c r="C31" t="n">
        <v>1</v>
      </c>
      <c r="D31" t="n">
        <v>0.9</v>
      </c>
      <c r="E31" t="n">
        <v>22.2</v>
      </c>
      <c r="F31" t="n">
        <v>32.9</v>
      </c>
      <c r="G31" t="n">
        <v>27.8</v>
      </c>
      <c r="H31" t="n">
        <v>6.1</v>
      </c>
      <c r="I31" t="n">
        <v>0.7</v>
      </c>
      <c r="J31" t="n">
        <v>0.8</v>
      </c>
      <c r="K31" t="n">
        <v>21.5</v>
      </c>
      <c r="L31" t="n">
        <v>30.2</v>
      </c>
      <c r="M31" t="n">
        <v>25.4</v>
      </c>
    </row>
  </sheetData>
  <mergeCells count="6">
    <mergeCell ref="E2:G2"/>
    <mergeCell ref="K2:M2"/>
    <mergeCell ref="A2:A3"/>
    <mergeCell ref="H2:J2"/>
    <mergeCell ref="B2:D2"/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30A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85546875" customWidth="1" min="2" max="2"/>
    <col width="7.7109375" customWidth="1" min="3" max="3"/>
    <col width="8" customWidth="1" min="4" max="4"/>
    <col width="7.85546875" customWidth="1" min="5" max="5"/>
    <col width="7.7109375" customWidth="1" min="6" max="6"/>
    <col width="8" customWidth="1" min="7" max="7"/>
    <col width="7.85546875" customWidth="1" min="8" max="8"/>
    <col width="7.7109375" customWidth="1" min="9" max="9"/>
    <col width="8" customWidth="1" min="10" max="10"/>
    <col width="7.85546875" customWidth="1" min="11" max="11"/>
    <col width="7.7109375" customWidth="1" min="12" max="12"/>
    <col width="8" customWidth="1" min="13" max="13"/>
  </cols>
  <sheetData>
    <row r="1">
      <c r="A1" t="inlineStr">
        <is>
          <t>Table 11: Gross and Net Enrollment Ratios by Province</t>
        </is>
      </c>
    </row>
    <row r="2">
      <c r="A2" t="inlineStr">
        <is>
          <t>Province</t>
        </is>
      </c>
      <c r="B2" t="inlineStr">
        <is>
          <t>Gross Enrollment Rate (Total)</t>
        </is>
      </c>
      <c r="E2" t="inlineStr">
        <is>
          <t>Net Enrollment Rate (Total)</t>
        </is>
      </c>
      <c r="H2" t="inlineStr">
        <is>
          <t>Gross Enrollment Rate (Girl)</t>
        </is>
      </c>
      <c r="K2" t="inlineStr">
        <is>
          <t>Net Enrollment Rate (Girl)</t>
        </is>
      </c>
    </row>
    <row r="3">
      <c r="B3" t="inlineStr">
        <is>
          <t>Primary</t>
        </is>
      </c>
      <c r="C3" t="inlineStr">
        <is>
          <t>L.Sec.</t>
        </is>
      </c>
      <c r="D3" t="inlineStr">
        <is>
          <t>U.Sec.</t>
        </is>
      </c>
      <c r="E3" t="inlineStr">
        <is>
          <t>Primary</t>
        </is>
      </c>
      <c r="F3" t="inlineStr">
        <is>
          <t>L.Sec.</t>
        </is>
      </c>
      <c r="G3" t="inlineStr">
        <is>
          <t>U.Sec.</t>
        </is>
      </c>
      <c r="H3" t="inlineStr">
        <is>
          <t>Primary</t>
        </is>
      </c>
      <c r="I3" t="inlineStr">
        <is>
          <t>L.Sec.</t>
        </is>
      </c>
      <c r="J3" t="inlineStr">
        <is>
          <t>U.Sec.</t>
        </is>
      </c>
      <c r="K3" t="inlineStr">
        <is>
          <t>Primary</t>
        </is>
      </c>
      <c r="L3" t="inlineStr">
        <is>
          <t>L.Sec.</t>
        </is>
      </c>
      <c r="M3" t="inlineStr">
        <is>
          <t>U.Sec.</t>
        </is>
      </c>
    </row>
    <row r="4">
      <c r="A4" t="inlineStr">
        <is>
          <t>Banteay Meanchey</t>
        </is>
      </c>
      <c r="B4" t="n">
        <v>98.2</v>
      </c>
      <c r="C4" t="n">
        <v>55.8</v>
      </c>
      <c r="D4" t="n">
        <v>28.9</v>
      </c>
      <c r="E4" t="n">
        <v>82.2</v>
      </c>
      <c r="F4" t="n">
        <v>38.2</v>
      </c>
      <c r="G4" t="n">
        <v>22.1</v>
      </c>
      <c r="H4" t="n">
        <v>99</v>
      </c>
      <c r="I4" t="n">
        <v>62.1</v>
      </c>
      <c r="J4" t="n">
        <v>34.3</v>
      </c>
      <c r="K4" t="n">
        <v>84.2</v>
      </c>
      <c r="L4" t="n">
        <v>43.9</v>
      </c>
      <c r="M4" t="n">
        <v>27.1</v>
      </c>
    </row>
    <row r="5">
      <c r="A5" t="inlineStr">
        <is>
          <t>Battambang</t>
        </is>
      </c>
      <c r="B5" t="n">
        <v>149.1</v>
      </c>
      <c r="C5" t="n">
        <v>76.09999999999999</v>
      </c>
      <c r="D5" t="n">
        <v>39.5</v>
      </c>
      <c r="E5" t="n">
        <v>98.7</v>
      </c>
      <c r="F5" t="n">
        <v>50</v>
      </c>
      <c r="G5" t="n">
        <v>28.4</v>
      </c>
      <c r="H5" t="n">
        <v>153.3</v>
      </c>
      <c r="I5" t="n">
        <v>84</v>
      </c>
      <c r="J5" t="n">
        <v>45.3</v>
      </c>
      <c r="K5" t="n">
        <v>102.6</v>
      </c>
      <c r="L5" t="n">
        <v>57.5</v>
      </c>
      <c r="M5" t="n">
        <v>33.3</v>
      </c>
    </row>
    <row r="6">
      <c r="A6" t="inlineStr">
        <is>
          <t>Kampong Cham</t>
        </is>
      </c>
      <c r="B6" t="n">
        <v>130.3</v>
      </c>
      <c r="C6" t="n">
        <v>73.90000000000001</v>
      </c>
      <c r="D6" t="n">
        <v>44.5</v>
      </c>
      <c r="E6" t="n">
        <v>95.7</v>
      </c>
      <c r="F6" t="n">
        <v>50.8</v>
      </c>
      <c r="G6" t="n">
        <v>33.6</v>
      </c>
      <c r="H6" t="n">
        <v>137.2</v>
      </c>
      <c r="I6" t="n">
        <v>80.59999999999999</v>
      </c>
      <c r="J6" t="n">
        <v>50.5</v>
      </c>
      <c r="K6" t="n">
        <v>95.7</v>
      </c>
      <c r="L6" t="n">
        <v>57.5</v>
      </c>
      <c r="M6" t="n">
        <v>39.2</v>
      </c>
    </row>
    <row r="7">
      <c r="A7" t="inlineStr">
        <is>
          <t>Kampong Chhnang</t>
        </is>
      </c>
      <c r="B7" t="n">
        <v>118.5</v>
      </c>
      <c r="C7" t="n">
        <v>72.90000000000001</v>
      </c>
      <c r="D7" t="n">
        <v>38.2</v>
      </c>
      <c r="E7" t="n">
        <v>94.40000000000001</v>
      </c>
      <c r="F7" t="n">
        <v>49.3</v>
      </c>
      <c r="G7" t="n">
        <v>27.6</v>
      </c>
      <c r="H7" t="n">
        <v>119.1</v>
      </c>
      <c r="I7" t="n">
        <v>79.7</v>
      </c>
      <c r="J7" t="n">
        <v>43.1</v>
      </c>
      <c r="K7" t="n">
        <v>95.59999999999999</v>
      </c>
      <c r="L7" t="n">
        <v>55.4</v>
      </c>
      <c r="M7" t="n">
        <v>31.9</v>
      </c>
    </row>
    <row r="8">
      <c r="A8" t="inlineStr">
        <is>
          <t>Kampong Speu</t>
        </is>
      </c>
      <c r="B8" t="n">
        <v>102.7</v>
      </c>
      <c r="C8" t="n">
        <v>59.9</v>
      </c>
      <c r="D8" t="n">
        <v>27.1</v>
      </c>
      <c r="E8" t="n">
        <v>87.40000000000001</v>
      </c>
      <c r="F8" t="n">
        <v>42</v>
      </c>
      <c r="G8" t="n">
        <v>19.8</v>
      </c>
      <c r="H8" t="n">
        <v>100.5</v>
      </c>
      <c r="I8" t="n">
        <v>63.6</v>
      </c>
      <c r="J8" t="n">
        <v>29</v>
      </c>
      <c r="K8" t="n">
        <v>86.59999999999999</v>
      </c>
      <c r="L8" t="n">
        <v>46.2</v>
      </c>
      <c r="M8" t="n">
        <v>21.6</v>
      </c>
    </row>
    <row r="9">
      <c r="A9" t="inlineStr">
        <is>
          <t>Kampong Thom</t>
        </is>
      </c>
      <c r="B9" t="n">
        <v>125.8</v>
      </c>
      <c r="C9" t="n">
        <v>67.5</v>
      </c>
      <c r="D9" t="n">
        <v>39.7</v>
      </c>
      <c r="E9" t="n">
        <v>96.8</v>
      </c>
      <c r="F9" t="n">
        <v>43.9</v>
      </c>
      <c r="G9" t="n">
        <v>28.2</v>
      </c>
      <c r="H9" t="n">
        <v>134.6</v>
      </c>
      <c r="I9" t="n">
        <v>74.09999999999999</v>
      </c>
      <c r="J9" t="n">
        <v>45.6</v>
      </c>
      <c r="K9" t="n">
        <v>100.9</v>
      </c>
      <c r="L9" t="n">
        <v>50.5</v>
      </c>
      <c r="M9" t="n">
        <v>33.2</v>
      </c>
    </row>
    <row r="10">
      <c r="A10" t="inlineStr">
        <is>
          <t>Kampot</t>
        </is>
      </c>
      <c r="B10" t="n">
        <v>107.7</v>
      </c>
      <c r="C10" t="n">
        <v>70.09999999999999</v>
      </c>
      <c r="D10" t="n">
        <v>41.1</v>
      </c>
      <c r="E10" t="n">
        <v>93.09999999999999</v>
      </c>
      <c r="F10" t="n">
        <v>48</v>
      </c>
      <c r="G10" t="n">
        <v>29.9</v>
      </c>
      <c r="H10" t="n">
        <v>103.9</v>
      </c>
      <c r="I10" t="n">
        <v>74.40000000000001</v>
      </c>
      <c r="J10" t="n">
        <v>44.3</v>
      </c>
      <c r="K10" t="n">
        <v>91.2</v>
      </c>
      <c r="L10" t="n">
        <v>53.1</v>
      </c>
      <c r="M10" t="n">
        <v>33.7</v>
      </c>
    </row>
    <row r="11">
      <c r="A11" t="inlineStr">
        <is>
          <t>Kandal</t>
        </is>
      </c>
      <c r="B11" t="n">
        <v>113.9</v>
      </c>
      <c r="C11" t="n">
        <v>70.40000000000001</v>
      </c>
      <c r="D11" t="n">
        <v>40</v>
      </c>
      <c r="E11" t="n">
        <v>97.09999999999999</v>
      </c>
      <c r="F11" t="n">
        <v>49.7</v>
      </c>
      <c r="G11" t="n">
        <v>30.9</v>
      </c>
      <c r="H11" t="n">
        <v>109.9</v>
      </c>
      <c r="I11" t="n">
        <v>74.5</v>
      </c>
      <c r="J11" t="n">
        <v>44.8</v>
      </c>
      <c r="K11" t="n">
        <v>96.09999999999999</v>
      </c>
      <c r="L11" t="n">
        <v>55.1</v>
      </c>
      <c r="M11" t="n">
        <v>35.6</v>
      </c>
    </row>
    <row r="12">
      <c r="A12" t="inlineStr">
        <is>
          <t>Kep</t>
        </is>
      </c>
      <c r="B12" t="n">
        <v>108.8</v>
      </c>
      <c r="C12" t="n">
        <v>61.6</v>
      </c>
      <c r="D12" t="n">
        <v>36.4</v>
      </c>
      <c r="E12" t="n">
        <v>88.40000000000001</v>
      </c>
      <c r="F12" t="n">
        <v>38.6</v>
      </c>
      <c r="G12" t="n">
        <v>24.3</v>
      </c>
      <c r="H12" t="n">
        <v>108</v>
      </c>
      <c r="I12" t="n">
        <v>67.90000000000001</v>
      </c>
      <c r="J12" t="n">
        <v>39.9</v>
      </c>
      <c r="K12" t="n">
        <v>89.3</v>
      </c>
      <c r="L12" t="n">
        <v>46.4</v>
      </c>
      <c r="M12" t="n">
        <v>28.3</v>
      </c>
    </row>
    <row r="13">
      <c r="A13" t="inlineStr">
        <is>
          <t>Koh Kong</t>
        </is>
      </c>
      <c r="B13" t="n">
        <v>115.7</v>
      </c>
      <c r="C13" t="n">
        <v>68.7</v>
      </c>
      <c r="D13" t="n">
        <v>39.3</v>
      </c>
      <c r="E13" t="n">
        <v>91.59999999999999</v>
      </c>
      <c r="F13" t="n">
        <v>40.3</v>
      </c>
      <c r="G13" t="n">
        <v>26.6</v>
      </c>
      <c r="H13" t="n">
        <v>117.8</v>
      </c>
      <c r="I13" t="n">
        <v>75.2</v>
      </c>
      <c r="J13" t="n">
        <v>43</v>
      </c>
      <c r="K13" t="n">
        <v>95.90000000000001</v>
      </c>
      <c r="L13" t="n">
        <v>47.8</v>
      </c>
      <c r="M13" t="n">
        <v>30.9</v>
      </c>
    </row>
    <row r="14">
      <c r="A14" t="inlineStr">
        <is>
          <t>Kratie</t>
        </is>
      </c>
      <c r="B14" t="n">
        <v>144.6</v>
      </c>
      <c r="C14" t="n">
        <v>58.2</v>
      </c>
      <c r="D14" t="n">
        <v>28</v>
      </c>
      <c r="E14" t="n">
        <v>99.7</v>
      </c>
      <c r="F14" t="n">
        <v>37.4</v>
      </c>
      <c r="G14" t="n">
        <v>19.8</v>
      </c>
      <c r="H14" t="n">
        <v>157.3</v>
      </c>
      <c r="I14" t="n">
        <v>66.2</v>
      </c>
      <c r="J14" t="n">
        <v>32.6</v>
      </c>
      <c r="K14" t="n">
        <v>112.5</v>
      </c>
      <c r="L14" t="n">
        <v>44.7</v>
      </c>
      <c r="M14" t="n">
        <v>24.2</v>
      </c>
    </row>
    <row r="15">
      <c r="A15" t="inlineStr">
        <is>
          <t>Mondul Kiri</t>
        </is>
      </c>
      <c r="B15" t="n">
        <v>139.8</v>
      </c>
      <c r="C15" t="n">
        <v>61.2</v>
      </c>
      <c r="D15" t="n">
        <v>32.8</v>
      </c>
      <c r="E15" t="n">
        <v>96.2</v>
      </c>
      <c r="F15" t="n">
        <v>33</v>
      </c>
      <c r="G15" t="n">
        <v>18.7</v>
      </c>
      <c r="H15" t="n">
        <v>156.2</v>
      </c>
      <c r="I15" t="n">
        <v>69.90000000000001</v>
      </c>
      <c r="J15" t="n">
        <v>38.4</v>
      </c>
      <c r="K15" t="n">
        <v>110.8</v>
      </c>
      <c r="L15" t="n">
        <v>40.4</v>
      </c>
      <c r="M15" t="n">
        <v>23.9</v>
      </c>
    </row>
    <row r="16">
      <c r="A16" t="inlineStr">
        <is>
          <t>Otdar Meanchey</t>
        </is>
      </c>
      <c r="B16" t="n">
        <v>116.7</v>
      </c>
      <c r="C16" t="n">
        <v>59</v>
      </c>
      <c r="D16" t="n">
        <v>30.6</v>
      </c>
      <c r="E16" t="n">
        <v>95.3</v>
      </c>
      <c r="F16" t="n">
        <v>36.8</v>
      </c>
      <c r="G16" t="n">
        <v>19.8</v>
      </c>
      <c r="H16" t="n">
        <v>118.1</v>
      </c>
      <c r="I16" t="n">
        <v>67.7</v>
      </c>
      <c r="J16" t="n">
        <v>34</v>
      </c>
      <c r="K16" t="n">
        <v>97.59999999999999</v>
      </c>
      <c r="L16" t="n">
        <v>44.3</v>
      </c>
      <c r="M16" t="n">
        <v>23.2</v>
      </c>
    </row>
    <row r="17">
      <c r="A17" t="inlineStr">
        <is>
          <t>Pailin</t>
        </is>
      </c>
      <c r="B17" t="n">
        <v>111.4</v>
      </c>
      <c r="C17" t="n">
        <v>72</v>
      </c>
      <c r="D17" t="n">
        <v>39</v>
      </c>
      <c r="E17" t="n">
        <v>88.40000000000001</v>
      </c>
      <c r="F17" t="n">
        <v>47.9</v>
      </c>
      <c r="G17" t="n">
        <v>30.8</v>
      </c>
      <c r="H17" t="n">
        <v>116.5</v>
      </c>
      <c r="I17" t="n">
        <v>82.09999999999999</v>
      </c>
      <c r="J17" t="n">
        <v>47.3</v>
      </c>
      <c r="K17" t="n">
        <v>94.5</v>
      </c>
      <c r="L17" t="n">
        <v>58.1</v>
      </c>
      <c r="M17" t="n">
        <v>39.3</v>
      </c>
    </row>
    <row r="18">
      <c r="A18" t="inlineStr">
        <is>
          <t>Phnom Penh</t>
        </is>
      </c>
      <c r="B18" t="n">
        <v>50.3</v>
      </c>
      <c r="C18" t="n">
        <v>39.2</v>
      </c>
      <c r="D18" t="n">
        <v>28.4</v>
      </c>
      <c r="E18" t="n">
        <v>43.7</v>
      </c>
      <c r="F18" t="n">
        <v>27</v>
      </c>
      <c r="G18" t="n">
        <v>19.1</v>
      </c>
      <c r="H18" t="n">
        <v>48.6</v>
      </c>
      <c r="I18" t="n">
        <v>39.6</v>
      </c>
      <c r="J18" t="n">
        <v>29.3</v>
      </c>
      <c r="K18" t="n">
        <v>43</v>
      </c>
      <c r="L18" t="n">
        <v>28.3</v>
      </c>
      <c r="M18" t="n">
        <v>20.3</v>
      </c>
    </row>
    <row r="19">
      <c r="A19" t="inlineStr">
        <is>
          <t>Preah Sihanouk</t>
        </is>
      </c>
      <c r="B19" t="n">
        <v>77.09999999999999</v>
      </c>
      <c r="C19" t="n">
        <v>45.1</v>
      </c>
      <c r="D19" t="n">
        <v>24.5</v>
      </c>
      <c r="E19" t="n">
        <v>60.9</v>
      </c>
      <c r="F19" t="n">
        <v>28.8</v>
      </c>
      <c r="G19" t="n">
        <v>17.9</v>
      </c>
      <c r="H19" t="n">
        <v>81.5</v>
      </c>
      <c r="I19" t="n">
        <v>50.7</v>
      </c>
      <c r="J19" t="n">
        <v>28.5</v>
      </c>
      <c r="K19" t="n">
        <v>65.40000000000001</v>
      </c>
      <c r="L19" t="n">
        <v>35.1</v>
      </c>
      <c r="M19" t="n">
        <v>21.5</v>
      </c>
    </row>
    <row r="20">
      <c r="A20" t="inlineStr">
        <is>
          <t>Preah Vihear</t>
        </is>
      </c>
      <c r="B20" t="n">
        <v>125.9</v>
      </c>
      <c r="C20" t="n">
        <v>63.5</v>
      </c>
      <c r="D20" t="n">
        <v>35.3</v>
      </c>
      <c r="E20" t="n">
        <v>95.8</v>
      </c>
      <c r="F20" t="n">
        <v>36.3</v>
      </c>
      <c r="G20" t="n">
        <v>23.8</v>
      </c>
      <c r="H20" t="n">
        <v>132.3</v>
      </c>
      <c r="I20" t="n">
        <v>73.90000000000001</v>
      </c>
      <c r="J20" t="n">
        <v>41.6</v>
      </c>
      <c r="K20" t="n">
        <v>98</v>
      </c>
      <c r="L20" t="n">
        <v>45.2</v>
      </c>
      <c r="M20" t="n">
        <v>29.7</v>
      </c>
    </row>
    <row r="21">
      <c r="A21" t="inlineStr">
        <is>
          <t>Prey Veng</t>
        </is>
      </c>
      <c r="B21" t="n">
        <v>119</v>
      </c>
      <c r="C21" t="n">
        <v>72.90000000000001</v>
      </c>
      <c r="D21" t="n">
        <v>38.4</v>
      </c>
      <c r="E21" t="n">
        <v>95.40000000000001</v>
      </c>
      <c r="F21" t="n">
        <v>52.9</v>
      </c>
      <c r="G21" t="n">
        <v>29.8</v>
      </c>
      <c r="H21" t="n">
        <v>110.1</v>
      </c>
      <c r="I21" t="n">
        <v>75.5</v>
      </c>
      <c r="J21" t="n">
        <v>41.1</v>
      </c>
      <c r="K21" t="n">
        <v>91.40000000000001</v>
      </c>
      <c r="L21" t="n">
        <v>56.3</v>
      </c>
      <c r="M21" t="n">
        <v>32.6</v>
      </c>
    </row>
    <row r="22">
      <c r="A22" t="inlineStr">
        <is>
          <t>Pursat</t>
        </is>
      </c>
      <c r="B22" t="n">
        <v>145.3</v>
      </c>
      <c r="C22" t="n">
        <v>74.2</v>
      </c>
      <c r="D22" t="n">
        <v>40.7</v>
      </c>
      <c r="E22" t="n">
        <v>99.3</v>
      </c>
      <c r="F22" t="n">
        <v>45.8</v>
      </c>
      <c r="G22" t="n">
        <v>27.6</v>
      </c>
      <c r="H22" t="n">
        <v>156.6</v>
      </c>
      <c r="I22" t="n">
        <v>81.5</v>
      </c>
      <c r="J22" t="n">
        <v>45.5</v>
      </c>
      <c r="K22" t="n">
        <v>110.6</v>
      </c>
      <c r="L22" t="n">
        <v>52.8</v>
      </c>
      <c r="M22" t="n">
        <v>32.3</v>
      </c>
    </row>
    <row r="23">
      <c r="A23" t="inlineStr">
        <is>
          <t>Ratanak Kiri</t>
        </is>
      </c>
      <c r="B23" t="n">
        <v>154.4</v>
      </c>
      <c r="C23" t="n">
        <v>65.09999999999999</v>
      </c>
      <c r="D23" t="n">
        <v>34.4</v>
      </c>
      <c r="E23" t="n">
        <v>101.9</v>
      </c>
      <c r="F23" t="n">
        <v>31.4</v>
      </c>
      <c r="G23" t="n">
        <v>17.6</v>
      </c>
      <c r="H23" t="n">
        <v>162.2</v>
      </c>
      <c r="I23" t="n">
        <v>72.2</v>
      </c>
      <c r="J23" t="n">
        <v>36.7</v>
      </c>
      <c r="K23" t="n">
        <v>111.5</v>
      </c>
      <c r="L23" t="n">
        <v>37.6</v>
      </c>
      <c r="M23" t="n">
        <v>20.5</v>
      </c>
    </row>
    <row r="24">
      <c r="A24" t="inlineStr">
        <is>
          <t>Siemreap</t>
        </is>
      </c>
      <c r="B24" t="n">
        <v>137.7</v>
      </c>
      <c r="C24" t="n">
        <v>80.40000000000001</v>
      </c>
      <c r="D24" t="n">
        <v>48.9</v>
      </c>
      <c r="E24" t="n">
        <v>98.90000000000001</v>
      </c>
      <c r="F24" t="n">
        <v>50.5</v>
      </c>
      <c r="G24" t="n">
        <v>33.9</v>
      </c>
      <c r="H24" t="n">
        <v>140.5</v>
      </c>
      <c r="I24" t="n">
        <v>91</v>
      </c>
      <c r="J24" t="n">
        <v>57.7</v>
      </c>
      <c r="K24" t="n">
        <v>101</v>
      </c>
      <c r="L24" t="n">
        <v>59.4</v>
      </c>
      <c r="M24" t="n">
        <v>41.5</v>
      </c>
    </row>
    <row r="25">
      <c r="A25" t="inlineStr">
        <is>
          <t>Stung Treng</t>
        </is>
      </c>
      <c r="B25" t="n">
        <v>142.4</v>
      </c>
      <c r="C25" t="n">
        <v>54</v>
      </c>
      <c r="D25" t="n">
        <v>27.2</v>
      </c>
      <c r="E25" t="n">
        <v>103.3</v>
      </c>
      <c r="F25" t="n">
        <v>29.9</v>
      </c>
      <c r="G25" t="n">
        <v>15.5</v>
      </c>
      <c r="H25" t="n">
        <v>154.2</v>
      </c>
      <c r="I25" t="n">
        <v>62.1</v>
      </c>
      <c r="J25" t="n">
        <v>31.9</v>
      </c>
      <c r="K25" t="n">
        <v>115.9</v>
      </c>
      <c r="L25" t="n">
        <v>36.5</v>
      </c>
      <c r="M25" t="n">
        <v>19.8</v>
      </c>
    </row>
    <row r="26">
      <c r="A26" t="inlineStr">
        <is>
          <t>Svay Rieng</t>
        </is>
      </c>
      <c r="B26" t="n">
        <v>121.5</v>
      </c>
      <c r="C26" t="n">
        <v>76</v>
      </c>
      <c r="D26" t="n">
        <v>38</v>
      </c>
      <c r="E26" t="n">
        <v>98</v>
      </c>
      <c r="F26" t="n">
        <v>56.4</v>
      </c>
      <c r="G26" t="n">
        <v>29.7</v>
      </c>
      <c r="H26" t="n">
        <v>115.5</v>
      </c>
      <c r="I26" t="n">
        <v>76.59999999999999</v>
      </c>
      <c r="J26" t="n">
        <v>39.5</v>
      </c>
      <c r="K26" t="n">
        <v>97.59999999999999</v>
      </c>
      <c r="L26" t="n">
        <v>59.8</v>
      </c>
      <c r="M26" t="n">
        <v>31.9</v>
      </c>
    </row>
    <row r="27">
      <c r="A27" t="inlineStr">
        <is>
          <t>Takeo</t>
        </is>
      </c>
      <c r="B27" t="n">
        <v>107</v>
      </c>
      <c r="C27" t="n">
        <v>76.8</v>
      </c>
      <c r="D27" t="n">
        <v>49.9</v>
      </c>
      <c r="E27" t="n">
        <v>94</v>
      </c>
      <c r="F27" t="n">
        <v>56.4</v>
      </c>
      <c r="G27" t="n">
        <v>37.5</v>
      </c>
      <c r="H27" t="n">
        <v>102.5</v>
      </c>
      <c r="I27" t="n">
        <v>79.3</v>
      </c>
      <c r="J27" t="n">
        <v>52.6</v>
      </c>
      <c r="K27" t="n">
        <v>91.3</v>
      </c>
      <c r="L27" t="n">
        <v>60.4</v>
      </c>
      <c r="M27" t="n">
        <v>40.4</v>
      </c>
    </row>
    <row r="28">
      <c r="A28" t="inlineStr">
        <is>
          <t>Tbaung Khmum</t>
        </is>
      </c>
      <c r="B28" t="n">
        <v>119.3</v>
      </c>
      <c r="C28" t="n">
        <v>62.4</v>
      </c>
      <c r="D28" t="n">
        <v>31.3</v>
      </c>
      <c r="E28" t="n">
        <v>96.09999999999999</v>
      </c>
      <c r="F28" t="n">
        <v>41.1</v>
      </c>
      <c r="G28" t="n">
        <v>19.5</v>
      </c>
      <c r="H28" t="n">
        <v>117.5</v>
      </c>
      <c r="I28" t="n">
        <v>68.90000000000001</v>
      </c>
      <c r="J28" t="n">
        <v>36</v>
      </c>
      <c r="K28" t="n">
        <v>95.09999999999999</v>
      </c>
      <c r="L28" t="n">
        <v>47.3</v>
      </c>
      <c r="M28" t="n">
        <v>23.3</v>
      </c>
    </row>
    <row r="29">
      <c r="A29" t="inlineStr">
        <is>
          <t>Whole Kingdom</t>
        </is>
      </c>
      <c r="B29" t="n">
        <v>110.9</v>
      </c>
      <c r="C29" t="n">
        <v>64.59999999999999</v>
      </c>
      <c r="D29" t="n">
        <v>36.6</v>
      </c>
      <c r="E29" t="n">
        <v>86.8</v>
      </c>
      <c r="F29" t="n">
        <v>43.6</v>
      </c>
      <c r="G29" t="n">
        <v>26.3</v>
      </c>
      <c r="H29" t="n">
        <v>111.3</v>
      </c>
      <c r="I29" t="n">
        <v>69.7</v>
      </c>
      <c r="J29" t="n">
        <v>40.7</v>
      </c>
      <c r="K29" t="n">
        <v>87.90000000000001</v>
      </c>
      <c r="L29" t="n">
        <v>48.9</v>
      </c>
      <c r="M29" t="n">
        <v>30.2</v>
      </c>
    </row>
    <row r="30">
      <c r="A30" t="inlineStr">
        <is>
          <t>- Urban Area</t>
        </is>
      </c>
      <c r="B30" t="n">
        <v>70.7</v>
      </c>
      <c r="C30" t="n">
        <v>51.1</v>
      </c>
      <c r="D30" t="n">
        <v>40.2</v>
      </c>
      <c r="E30" t="n">
        <v>57.3</v>
      </c>
      <c r="F30" t="n">
        <v>35.1</v>
      </c>
      <c r="G30" t="n">
        <v>28.4</v>
      </c>
      <c r="H30" t="n">
        <v>70</v>
      </c>
      <c r="I30" t="n">
        <v>53.4</v>
      </c>
      <c r="J30" t="n">
        <v>43.3</v>
      </c>
      <c r="K30" t="n">
        <v>57.1</v>
      </c>
      <c r="L30" t="n">
        <v>38.3</v>
      </c>
      <c r="M30" t="n">
        <v>31.5</v>
      </c>
    </row>
    <row r="31">
      <c r="A31" t="inlineStr">
        <is>
          <t>- Rural Area</t>
        </is>
      </c>
      <c r="B31" t="n">
        <v>125.5</v>
      </c>
      <c r="C31" t="n">
        <v>69.5</v>
      </c>
      <c r="D31" t="n">
        <v>35.3</v>
      </c>
      <c r="E31" t="n">
        <v>97.59999999999999</v>
      </c>
      <c r="F31" t="n">
        <v>46.6</v>
      </c>
      <c r="G31" t="n">
        <v>25.5</v>
      </c>
      <c r="H31" t="n">
        <v>126.3</v>
      </c>
      <c r="I31" t="n">
        <v>75.59999999999999</v>
      </c>
      <c r="J31" t="n">
        <v>39.7</v>
      </c>
      <c r="K31" t="n">
        <v>99.2</v>
      </c>
      <c r="L31" t="n">
        <v>52.8</v>
      </c>
      <c r="M31" t="n">
        <v>29.6</v>
      </c>
    </row>
  </sheetData>
  <mergeCells count="6">
    <mergeCell ref="E2:G2"/>
    <mergeCell ref="K2:M2"/>
    <mergeCell ref="A2:A3"/>
    <mergeCell ref="H2:J2"/>
    <mergeCell ref="B2:D2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030A0"/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140625" customWidth="1" min="2" max="2"/>
    <col width="9.7109375" customWidth="1" min="3" max="3"/>
    <col width="8.140625" customWidth="1" min="4" max="4"/>
    <col width="8.7109375" customWidth="1" min="5" max="5"/>
    <col width="8.42578125" customWidth="1" min="6" max="6"/>
    <col width="10.28515625" customWidth="1" min="7" max="7"/>
    <col width="8.7109375" customWidth="1" min="8" max="8"/>
    <col width="9" customWidth="1" min="9" max="9"/>
    <col width="8.85546875" customWidth="1" min="10" max="10"/>
    <col width="9.42578125" customWidth="1" min="11" max="11"/>
    <col width="10.140625" customWidth="1" min="12" max="12"/>
  </cols>
  <sheetData>
    <row r="1">
      <c r="A1" t="inlineStr">
        <is>
          <t>Table 3:  Indicators on Primary Schools by Province</t>
        </is>
      </c>
    </row>
    <row r="2">
      <c r="A2" t="inlineStr">
        <is>
          <t>Province</t>
        </is>
      </c>
      <c r="B2" t="inlineStr">
        <is>
          <t>Pupils</t>
        </is>
      </c>
      <c r="C2" t="inlineStr">
        <is>
          <t>Teachers</t>
        </is>
      </c>
      <c r="D2" t="inlineStr">
        <is>
          <t>Staff</t>
        </is>
      </c>
      <c r="E2" t="inlineStr">
        <is>
          <t>Buildings</t>
        </is>
      </c>
      <c r="F2" t="inlineStr">
        <is>
          <t>Rooms</t>
        </is>
      </c>
      <c r="G2" t="inlineStr">
        <is>
          <t>Classrooms</t>
        </is>
      </c>
      <c r="H2" t="inlineStr">
        <is>
          <t>Classes</t>
        </is>
      </c>
      <c r="I2" t="inlineStr">
        <is>
          <t>Percentage of Schools</t>
        </is>
      </c>
    </row>
    <row r="3">
      <c r="B3" t="inlineStr">
        <is>
          <t>per</t>
        </is>
      </c>
      <c r="C3" t="inlineStr">
        <is>
          <t>per</t>
        </is>
      </c>
      <c r="D3" t="inlineStr">
        <is>
          <t>per</t>
        </is>
      </c>
      <c r="E3" t="inlineStr">
        <is>
          <t>per</t>
        </is>
      </c>
      <c r="F3" t="inlineStr">
        <is>
          <t>per</t>
        </is>
      </c>
      <c r="G3" t="inlineStr">
        <is>
          <t>per</t>
        </is>
      </c>
      <c r="H3" t="inlineStr">
        <is>
          <t>per</t>
        </is>
      </c>
    </row>
    <row r="4">
      <c r="B4" t="inlineStr">
        <is>
          <t>School</t>
        </is>
      </c>
      <c r="C4" t="inlineStr">
        <is>
          <t>School</t>
        </is>
      </c>
      <c r="D4" t="inlineStr">
        <is>
          <t>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School</t>
        </is>
      </c>
      <c r="I4" t="inlineStr">
        <is>
          <t>2 - shift</t>
        </is>
      </c>
      <c r="J4" t="inlineStr">
        <is>
          <t>in Pagoda</t>
        </is>
      </c>
      <c r="K4" t="inlineStr">
        <is>
          <t>w/o Water</t>
        </is>
      </c>
      <c r="L4" t="inlineStr">
        <is>
          <t>w/o Latrine</t>
        </is>
      </c>
    </row>
    <row r="5">
      <c r="A5" t="inlineStr">
        <is>
          <t>Banteay Meanchey</t>
        </is>
      </c>
      <c r="B5" t="n">
        <v>243.8</v>
      </c>
      <c r="C5" t="n">
        <v>6.9</v>
      </c>
      <c r="D5" t="n">
        <v>8.300000000000001</v>
      </c>
      <c r="E5" t="n">
        <v>2.2</v>
      </c>
      <c r="F5" t="n">
        <v>8.5</v>
      </c>
      <c r="G5" t="n">
        <v>5.9</v>
      </c>
      <c r="H5" t="n">
        <v>8</v>
      </c>
      <c r="I5" t="n">
        <v>56.8</v>
      </c>
      <c r="J5" t="n">
        <v>2.4</v>
      </c>
      <c r="K5" t="n">
        <v>55.9</v>
      </c>
      <c r="L5" t="n">
        <v>26.3</v>
      </c>
    </row>
    <row r="6">
      <c r="A6" t="inlineStr">
        <is>
          <t>Battambang</t>
        </is>
      </c>
      <c r="B6" t="n">
        <v>268.6</v>
      </c>
      <c r="C6" t="n">
        <v>5.7</v>
      </c>
      <c r="D6" t="n">
        <v>7.5</v>
      </c>
      <c r="E6" t="n">
        <v>2</v>
      </c>
      <c r="F6" t="n">
        <v>7.8</v>
      </c>
      <c r="G6" t="n">
        <v>5.6</v>
      </c>
      <c r="H6" t="n">
        <v>8.5</v>
      </c>
      <c r="I6" t="n">
        <v>83.8</v>
      </c>
      <c r="J6" t="n">
        <v>4.4</v>
      </c>
      <c r="K6" t="n">
        <v>67</v>
      </c>
      <c r="L6" t="n">
        <v>22</v>
      </c>
    </row>
    <row r="7">
      <c r="A7" t="inlineStr">
        <is>
          <t>Kampong Cham</t>
        </is>
      </c>
      <c r="B7" t="n">
        <v>340.3</v>
      </c>
      <c r="C7" t="n">
        <v>6.3</v>
      </c>
      <c r="D7" t="n">
        <v>8.9</v>
      </c>
      <c r="E7" t="n">
        <v>2.6</v>
      </c>
      <c r="F7" t="n">
        <v>11.2</v>
      </c>
      <c r="G7" t="n">
        <v>7.2</v>
      </c>
      <c r="H7" t="n">
        <v>9.800000000000001</v>
      </c>
      <c r="I7" t="n">
        <v>68.8</v>
      </c>
      <c r="J7" t="n">
        <v>20.1</v>
      </c>
      <c r="K7" t="n">
        <v>41.5</v>
      </c>
      <c r="L7" t="n">
        <v>22.6</v>
      </c>
    </row>
    <row r="8">
      <c r="A8" t="inlineStr">
        <is>
          <t>Kampong Chhnang</t>
        </is>
      </c>
      <c r="B8" t="n">
        <v>264.3</v>
      </c>
      <c r="C8" t="n">
        <v>6.4</v>
      </c>
      <c r="D8" t="n">
        <v>7.9</v>
      </c>
      <c r="E8" t="n">
        <v>2.2</v>
      </c>
      <c r="F8" t="n">
        <v>8.6</v>
      </c>
      <c r="G8" t="n">
        <v>5.5</v>
      </c>
      <c r="H8" t="n">
        <v>8.1</v>
      </c>
      <c r="I8" t="n">
        <v>61.6</v>
      </c>
      <c r="J8" t="n">
        <v>9.699999999999999</v>
      </c>
      <c r="K8" t="n">
        <v>58.8</v>
      </c>
      <c r="L8" t="n">
        <v>7.5</v>
      </c>
    </row>
    <row r="9">
      <c r="A9" t="inlineStr">
        <is>
          <t>Kampong Speu</t>
        </is>
      </c>
      <c r="B9" t="n">
        <v>337</v>
      </c>
      <c r="C9" t="n">
        <v>6.7</v>
      </c>
      <c r="D9" t="n">
        <v>8.5</v>
      </c>
      <c r="E9" t="n">
        <v>2.5</v>
      </c>
      <c r="F9" t="n">
        <v>10.1</v>
      </c>
      <c r="G9" t="n">
        <v>7</v>
      </c>
      <c r="H9" t="n">
        <v>9</v>
      </c>
      <c r="I9" t="n">
        <v>60.8</v>
      </c>
      <c r="J9" t="n">
        <v>8.9</v>
      </c>
      <c r="K9" t="n">
        <v>51.3</v>
      </c>
      <c r="L9" t="n">
        <v>23.4</v>
      </c>
    </row>
    <row r="10">
      <c r="A10" t="inlineStr">
        <is>
          <t>Kampong Thom</t>
        </is>
      </c>
      <c r="B10" t="n">
        <v>205</v>
      </c>
      <c r="C10" t="n">
        <v>4.9</v>
      </c>
      <c r="D10" t="n">
        <v>5.9</v>
      </c>
      <c r="E10" t="n">
        <v>1.9</v>
      </c>
      <c r="F10" t="n">
        <v>6.9</v>
      </c>
      <c r="G10" t="n">
        <v>5.1</v>
      </c>
      <c r="H10" t="n">
        <v>7</v>
      </c>
      <c r="I10" t="n">
        <v>59.7</v>
      </c>
      <c r="J10" t="n">
        <v>9.5</v>
      </c>
      <c r="K10" t="n">
        <v>60.7</v>
      </c>
      <c r="L10" t="n">
        <v>18</v>
      </c>
    </row>
    <row r="11">
      <c r="A11" t="inlineStr">
        <is>
          <t>Kampot</t>
        </is>
      </c>
      <c r="B11" t="n">
        <v>251.7</v>
      </c>
      <c r="C11" t="n">
        <v>7.4</v>
      </c>
      <c r="D11" t="n">
        <v>9.199999999999999</v>
      </c>
      <c r="E11" t="n">
        <v>2.2</v>
      </c>
      <c r="F11" t="n">
        <v>9.4</v>
      </c>
      <c r="G11" t="n">
        <v>6.5</v>
      </c>
      <c r="H11" t="n">
        <v>8</v>
      </c>
      <c r="I11" t="n">
        <v>51.7</v>
      </c>
      <c r="J11" t="n">
        <v>51</v>
      </c>
      <c r="K11" t="n">
        <v>66.3</v>
      </c>
      <c r="L11" t="n">
        <v>25</v>
      </c>
    </row>
    <row r="12">
      <c r="A12" t="inlineStr">
        <is>
          <t>Kandal</t>
        </is>
      </c>
      <c r="B12" t="n">
        <v>433.5</v>
      </c>
      <c r="C12" t="n">
        <v>6.5</v>
      </c>
      <c r="D12" t="n">
        <v>8.699999999999999</v>
      </c>
      <c r="E12" t="n">
        <v>2.7</v>
      </c>
      <c r="F12" t="n">
        <v>11.6</v>
      </c>
      <c r="G12" t="n">
        <v>8.800000000000001</v>
      </c>
      <c r="H12" t="n">
        <v>11.6</v>
      </c>
      <c r="I12" t="n">
        <v>74.5</v>
      </c>
      <c r="J12" t="n">
        <v>30.6</v>
      </c>
      <c r="K12" t="n">
        <v>35.9</v>
      </c>
      <c r="L12" t="n">
        <v>20.6</v>
      </c>
    </row>
    <row r="13">
      <c r="A13" t="inlineStr">
        <is>
          <t>Kep</t>
        </is>
      </c>
      <c r="B13" t="n">
        <v>249.1</v>
      </c>
      <c r="C13" t="n">
        <v>9</v>
      </c>
      <c r="D13" t="n">
        <v>11.9</v>
      </c>
      <c r="E13" t="n">
        <v>2.9</v>
      </c>
      <c r="F13" t="n">
        <v>11.6</v>
      </c>
      <c r="G13" t="n">
        <v>6.6</v>
      </c>
      <c r="H13" t="n">
        <v>8.300000000000001</v>
      </c>
      <c r="I13" t="n">
        <v>45.5</v>
      </c>
      <c r="J13" t="n">
        <v>22.7</v>
      </c>
      <c r="K13" t="n">
        <v>50</v>
      </c>
      <c r="L13" t="n">
        <v>22.7</v>
      </c>
    </row>
    <row r="14">
      <c r="A14" t="inlineStr">
        <is>
          <t>Koh Kong</t>
        </is>
      </c>
      <c r="B14" t="n">
        <v>142.2</v>
      </c>
      <c r="C14" t="n">
        <v>5.5</v>
      </c>
      <c r="D14" t="n">
        <v>6.4</v>
      </c>
      <c r="E14" t="n">
        <v>1.8</v>
      </c>
      <c r="F14" t="n">
        <v>6.9</v>
      </c>
      <c r="G14" t="n">
        <v>4.6</v>
      </c>
      <c r="H14" t="n">
        <v>6.8</v>
      </c>
      <c r="I14" t="n">
        <v>49.6</v>
      </c>
      <c r="J14" t="n">
        <v>2.5</v>
      </c>
      <c r="K14" t="n">
        <v>66.09999999999999</v>
      </c>
      <c r="L14" t="n">
        <v>26.4</v>
      </c>
    </row>
    <row r="15">
      <c r="A15" t="inlineStr">
        <is>
          <t>Kratie</t>
        </is>
      </c>
      <c r="B15" t="n">
        <v>224.6</v>
      </c>
      <c r="C15" t="n">
        <v>5.4</v>
      </c>
      <c r="D15" t="n">
        <v>6.3</v>
      </c>
      <c r="E15" t="n">
        <v>2.1</v>
      </c>
      <c r="F15" t="n">
        <v>7.1</v>
      </c>
      <c r="G15" t="n">
        <v>5.1</v>
      </c>
      <c r="H15" t="n">
        <v>8</v>
      </c>
      <c r="I15" t="n">
        <v>69.5</v>
      </c>
      <c r="J15" t="n">
        <v>9.5</v>
      </c>
      <c r="K15" t="n">
        <v>62.1</v>
      </c>
      <c r="L15" t="n">
        <v>26.3</v>
      </c>
    </row>
    <row r="16">
      <c r="A16" t="inlineStr">
        <is>
          <t>Mondul Kiri</t>
        </is>
      </c>
      <c r="B16" t="n">
        <v>173</v>
      </c>
      <c r="C16" t="n">
        <v>7.2</v>
      </c>
      <c r="D16" t="n">
        <v>7.7</v>
      </c>
      <c r="E16" t="n">
        <v>2</v>
      </c>
      <c r="F16" t="n">
        <v>6.4</v>
      </c>
      <c r="G16" t="n">
        <v>5.5</v>
      </c>
      <c r="H16" t="n">
        <v>7.8</v>
      </c>
      <c r="I16" t="n">
        <v>48.9</v>
      </c>
      <c r="J16" t="n">
        <v>1.1</v>
      </c>
      <c r="K16" t="n">
        <v>84.09999999999999</v>
      </c>
      <c r="L16" t="n">
        <v>28.4</v>
      </c>
    </row>
    <row r="17">
      <c r="A17" t="inlineStr">
        <is>
          <t>Otdar Meanchey</t>
        </is>
      </c>
      <c r="B17" t="n">
        <v>173.7</v>
      </c>
      <c r="C17" t="n">
        <v>4.5</v>
      </c>
      <c r="D17" t="n">
        <v>5.7</v>
      </c>
      <c r="E17" t="n">
        <v>1.5</v>
      </c>
      <c r="F17" t="n">
        <v>6.4</v>
      </c>
      <c r="G17" t="n">
        <v>4.9</v>
      </c>
      <c r="H17" t="n">
        <v>7.2</v>
      </c>
      <c r="I17" t="n">
        <v>37.4</v>
      </c>
      <c r="J17" t="n">
        <v>0.5</v>
      </c>
      <c r="K17" t="n">
        <v>56.2</v>
      </c>
      <c r="L17" t="n">
        <v>28.3</v>
      </c>
    </row>
    <row r="18">
      <c r="A18" t="inlineStr">
        <is>
          <t>Pailin</t>
        </is>
      </c>
      <c r="B18" t="n">
        <v>205.9</v>
      </c>
      <c r="C18" t="n">
        <v>6.2</v>
      </c>
      <c r="D18" t="n">
        <v>7.2</v>
      </c>
      <c r="E18" t="n">
        <v>2</v>
      </c>
      <c r="F18" t="n">
        <v>8.199999999999999</v>
      </c>
      <c r="G18" t="n">
        <v>5.4</v>
      </c>
      <c r="H18" t="n">
        <v>7.6</v>
      </c>
      <c r="I18" t="n">
        <v>56.3</v>
      </c>
      <c r="J18" t="n">
        <v>2.1</v>
      </c>
      <c r="K18" t="n">
        <v>81.3</v>
      </c>
      <c r="L18" t="n">
        <v>27.1</v>
      </c>
    </row>
    <row r="19">
      <c r="A19" t="inlineStr">
        <is>
          <t>Phnom Penh</t>
        </is>
      </c>
      <c r="B19" t="n">
        <v>826.6</v>
      </c>
      <c r="C19" t="n">
        <v>19.6</v>
      </c>
      <c r="D19" t="n">
        <v>22.9</v>
      </c>
      <c r="E19" t="n">
        <v>3.5</v>
      </c>
      <c r="F19" t="n">
        <v>19</v>
      </c>
      <c r="G19" t="n">
        <v>13.8</v>
      </c>
      <c r="H19" t="n">
        <v>19.1</v>
      </c>
      <c r="I19" t="n">
        <v>70.09999999999999</v>
      </c>
      <c r="J19" t="n">
        <v>26.8</v>
      </c>
      <c r="K19" t="n">
        <v>28</v>
      </c>
      <c r="L19" t="n">
        <v>32.9</v>
      </c>
    </row>
    <row r="20">
      <c r="A20" t="inlineStr">
        <is>
          <t>Preah Sihanouk</t>
        </is>
      </c>
      <c r="B20" t="n">
        <v>392.2</v>
      </c>
      <c r="C20" t="n">
        <v>11.5</v>
      </c>
      <c r="D20" t="n">
        <v>13.8</v>
      </c>
      <c r="E20" t="n">
        <v>2.1</v>
      </c>
      <c r="F20" t="n">
        <v>12.9</v>
      </c>
      <c r="G20" t="n">
        <v>9.199999999999999</v>
      </c>
      <c r="H20" t="n">
        <v>11.4</v>
      </c>
      <c r="I20" t="n">
        <v>70.8</v>
      </c>
      <c r="J20" t="n">
        <v>8.300000000000001</v>
      </c>
      <c r="K20" t="n">
        <v>48.6</v>
      </c>
      <c r="L20" t="n">
        <v>19.4</v>
      </c>
    </row>
    <row r="21">
      <c r="A21" t="inlineStr">
        <is>
          <t>Preah Vihear</t>
        </is>
      </c>
      <c r="B21" t="n">
        <v>165.5</v>
      </c>
      <c r="C21" t="n">
        <v>5.5</v>
      </c>
      <c r="D21" t="n">
        <v>6.7</v>
      </c>
      <c r="E21" t="n">
        <v>1.8</v>
      </c>
      <c r="F21" t="n">
        <v>6.5</v>
      </c>
      <c r="G21" t="n">
        <v>5.3</v>
      </c>
      <c r="H21" t="n">
        <v>7.1</v>
      </c>
      <c r="I21" t="n">
        <v>18.8</v>
      </c>
      <c r="J21" t="n">
        <v>0.9</v>
      </c>
      <c r="K21" t="n">
        <v>65.90000000000001</v>
      </c>
      <c r="L21" t="n">
        <v>19.2</v>
      </c>
    </row>
    <row r="22">
      <c r="A22" t="inlineStr">
        <is>
          <t>Prey Veng</t>
        </is>
      </c>
      <c r="B22" t="n">
        <v>271.9</v>
      </c>
      <c r="C22" t="n">
        <v>5.1</v>
      </c>
      <c r="D22" t="n">
        <v>7.4</v>
      </c>
      <c r="E22" t="n">
        <v>2.4</v>
      </c>
      <c r="F22" t="n">
        <v>9.699999999999999</v>
      </c>
      <c r="G22" t="n">
        <v>6.5</v>
      </c>
      <c r="H22" t="n">
        <v>8.4</v>
      </c>
      <c r="I22" t="n">
        <v>78.8</v>
      </c>
      <c r="J22" t="n">
        <v>25</v>
      </c>
      <c r="K22" t="n">
        <v>56.5</v>
      </c>
      <c r="L22" t="n">
        <v>24.5</v>
      </c>
    </row>
    <row r="23">
      <c r="A23" t="inlineStr">
        <is>
          <t>Pursat</t>
        </is>
      </c>
      <c r="B23" t="n">
        <v>235.6</v>
      </c>
      <c r="C23" t="n">
        <v>4.8</v>
      </c>
      <c r="D23" t="n">
        <v>6.4</v>
      </c>
      <c r="E23" t="n">
        <v>2</v>
      </c>
      <c r="F23" t="n">
        <v>7.7</v>
      </c>
      <c r="G23" t="n">
        <v>5.4</v>
      </c>
      <c r="H23" t="n">
        <v>7.7</v>
      </c>
      <c r="I23" t="n">
        <v>62.7</v>
      </c>
      <c r="J23" t="n">
        <v>1.6</v>
      </c>
      <c r="K23" t="n">
        <v>77.5</v>
      </c>
      <c r="L23" t="n">
        <v>11.4</v>
      </c>
    </row>
    <row r="24">
      <c r="A24" t="inlineStr">
        <is>
          <t>Ratanak Kiri</t>
        </is>
      </c>
      <c r="B24" t="n">
        <v>175.5</v>
      </c>
      <c r="C24" t="n">
        <v>3.8</v>
      </c>
      <c r="D24" t="n">
        <v>4.2</v>
      </c>
      <c r="E24" t="n">
        <v>1.7</v>
      </c>
      <c r="F24" t="n">
        <v>5.5</v>
      </c>
      <c r="G24" t="n">
        <v>4.1</v>
      </c>
      <c r="H24" t="n">
        <v>6.5</v>
      </c>
      <c r="I24" t="n">
        <v>54.9</v>
      </c>
      <c r="J24" t="n">
        <v>1.8</v>
      </c>
      <c r="K24" t="n">
        <v>61.5</v>
      </c>
      <c r="L24" t="n">
        <v>27.4</v>
      </c>
    </row>
    <row r="25">
      <c r="A25" t="inlineStr">
        <is>
          <t>Siemreap</t>
        </is>
      </c>
      <c r="B25" t="n">
        <v>316.1</v>
      </c>
      <c r="C25" t="n">
        <v>5.7</v>
      </c>
      <c r="D25" t="n">
        <v>8.1</v>
      </c>
      <c r="E25" t="n">
        <v>2.7</v>
      </c>
      <c r="F25" t="n">
        <v>9</v>
      </c>
      <c r="G25" t="n">
        <v>6.2</v>
      </c>
      <c r="H25" t="n">
        <v>9</v>
      </c>
      <c r="I25" t="n">
        <v>60.9</v>
      </c>
      <c r="J25" t="n">
        <v>4</v>
      </c>
      <c r="K25" t="n">
        <v>52.1</v>
      </c>
      <c r="L25" t="n">
        <v>26.8</v>
      </c>
    </row>
    <row r="26">
      <c r="A26" t="inlineStr">
        <is>
          <t>Stung Treng</t>
        </is>
      </c>
      <c r="B26" t="n">
        <v>160.2</v>
      </c>
      <c r="C26" t="n">
        <v>4.8</v>
      </c>
      <c r="D26" t="n">
        <v>5.5</v>
      </c>
      <c r="E26" t="n">
        <v>1.6</v>
      </c>
      <c r="F26" t="n">
        <v>5.5</v>
      </c>
      <c r="G26" t="n">
        <v>4.6</v>
      </c>
      <c r="H26" t="n">
        <v>8.5</v>
      </c>
      <c r="I26" t="n">
        <v>63.2</v>
      </c>
      <c r="J26" t="n">
        <v>0.6</v>
      </c>
      <c r="K26" t="n">
        <v>79.90000000000001</v>
      </c>
      <c r="L26" t="n">
        <v>28.2</v>
      </c>
    </row>
    <row r="27">
      <c r="A27" t="inlineStr">
        <is>
          <t>Svay Rieng</t>
        </is>
      </c>
      <c r="B27" t="n">
        <v>287.9</v>
      </c>
      <c r="C27" t="n">
        <v>6.2</v>
      </c>
      <c r="D27" t="n">
        <v>8.4</v>
      </c>
      <c r="E27" t="n">
        <v>2.6</v>
      </c>
      <c r="F27" t="n">
        <v>10.1</v>
      </c>
      <c r="G27" t="n">
        <v>7.1</v>
      </c>
      <c r="H27" t="n">
        <v>8.699999999999999</v>
      </c>
      <c r="I27" t="n">
        <v>52.3</v>
      </c>
      <c r="J27" t="n">
        <v>23.3</v>
      </c>
      <c r="K27" t="n">
        <v>68.3</v>
      </c>
      <c r="L27" t="n">
        <v>13</v>
      </c>
    </row>
    <row r="28">
      <c r="A28" t="inlineStr">
        <is>
          <t>Takeo</t>
        </is>
      </c>
      <c r="B28" t="n">
        <v>298.2</v>
      </c>
      <c r="C28" t="n">
        <v>7.3</v>
      </c>
      <c r="D28" t="n">
        <v>9.9</v>
      </c>
      <c r="E28" t="n">
        <v>3</v>
      </c>
      <c r="F28" t="n">
        <v>12.7</v>
      </c>
      <c r="G28" t="n">
        <v>8.1</v>
      </c>
      <c r="H28" t="n">
        <v>9.199999999999999</v>
      </c>
      <c r="I28" t="n">
        <v>44.5</v>
      </c>
      <c r="J28" t="n">
        <v>30.6</v>
      </c>
      <c r="K28" t="n">
        <v>55.8</v>
      </c>
      <c r="L28" t="n">
        <v>26.7</v>
      </c>
    </row>
    <row r="29">
      <c r="A29" t="inlineStr">
        <is>
          <t>Tbaung Khmum</t>
        </is>
      </c>
      <c r="B29" t="n">
        <v>269.6</v>
      </c>
      <c r="C29" t="n">
        <v>5.2</v>
      </c>
      <c r="D29" t="n">
        <v>6.8</v>
      </c>
      <c r="E29" t="n">
        <v>2</v>
      </c>
      <c r="F29" t="n">
        <v>8.199999999999999</v>
      </c>
      <c r="G29" t="n">
        <v>5.9</v>
      </c>
      <c r="H29" t="n">
        <v>8.1</v>
      </c>
      <c r="I29" t="n">
        <v>65</v>
      </c>
      <c r="J29" t="n">
        <v>11.3</v>
      </c>
      <c r="K29" t="n">
        <v>49</v>
      </c>
      <c r="L29" t="n">
        <v>20</v>
      </c>
    </row>
    <row r="30">
      <c r="A30" t="inlineStr">
        <is>
          <t>Whole Kingdom</t>
        </is>
      </c>
      <c r="B30" t="n">
        <v>278.8</v>
      </c>
      <c r="C30" t="n">
        <v>6.2</v>
      </c>
      <c r="D30" t="n">
        <v>7.9</v>
      </c>
      <c r="E30" t="n">
        <v>2.3</v>
      </c>
      <c r="F30" t="n">
        <v>9</v>
      </c>
      <c r="G30" t="n">
        <v>6.3</v>
      </c>
      <c r="H30" t="n">
        <v>8.699999999999999</v>
      </c>
      <c r="I30" t="n">
        <v>62</v>
      </c>
      <c r="J30" t="n">
        <v>13.3</v>
      </c>
      <c r="K30" t="n">
        <v>57.7</v>
      </c>
      <c r="L30" t="n">
        <v>22.5</v>
      </c>
    </row>
    <row r="31">
      <c r="A31" t="inlineStr">
        <is>
          <t>-  Urban Area</t>
        </is>
      </c>
      <c r="B31" t="n">
        <v>508.5</v>
      </c>
      <c r="C31" t="n">
        <v>12.9</v>
      </c>
      <c r="D31" t="n">
        <v>15.7</v>
      </c>
      <c r="E31" t="n">
        <v>3</v>
      </c>
      <c r="F31" t="n">
        <v>13.7</v>
      </c>
      <c r="G31" t="n">
        <v>9.9</v>
      </c>
      <c r="H31" t="n">
        <v>13.3</v>
      </c>
      <c r="I31" t="n">
        <v>58.6</v>
      </c>
      <c r="J31" t="n">
        <v>13.6</v>
      </c>
      <c r="K31" t="n">
        <v>39</v>
      </c>
      <c r="L31" t="n">
        <v>24.6</v>
      </c>
    </row>
    <row r="32">
      <c r="A32" t="inlineStr">
        <is>
          <t>-  Rural Area</t>
        </is>
      </c>
      <c r="B32" t="n">
        <v>255</v>
      </c>
      <c r="C32" t="n">
        <v>5.5</v>
      </c>
      <c r="D32" t="n">
        <v>7.1</v>
      </c>
      <c r="E32" t="n">
        <v>2.2</v>
      </c>
      <c r="F32" t="n">
        <v>8.5</v>
      </c>
      <c r="G32" t="n">
        <v>6</v>
      </c>
      <c r="H32" t="n">
        <v>8.199999999999999</v>
      </c>
      <c r="I32" t="n">
        <v>62.3</v>
      </c>
      <c r="J32" t="n">
        <v>13.3</v>
      </c>
      <c r="K32" t="n">
        <v>59.7</v>
      </c>
      <c r="L32" t="n">
        <v>22.2</v>
      </c>
    </row>
    <row r="33"/>
    <row r="34"/>
    <row r="35"/>
    <row r="36"/>
    <row r="37">
      <c r="N37" t="inlineStr">
        <is>
          <t xml:space="preserve"> </t>
        </is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030A0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.42578125" customWidth="1" min="1" max="1"/>
    <col width="8.140625" customWidth="1" min="2" max="2"/>
    <col width="8.42578125" customWidth="1" min="3" max="3"/>
    <col width="8.140625" customWidth="1" min="4" max="4"/>
    <col width="8.7109375" customWidth="1" min="5" max="5"/>
    <col width="8.42578125" customWidth="1" min="6" max="6"/>
    <col width="9" customWidth="1" min="7" max="7"/>
    <col width="8.7109375" customWidth="1" min="8" max="8"/>
    <col width="7.7109375" customWidth="1" min="9" max="9"/>
    <col width="8.85546875" customWidth="1" min="10" max="10"/>
    <col width="9.42578125" customWidth="1" min="11" max="11"/>
    <col width="8.85546875" customWidth="1" min="12" max="12"/>
  </cols>
  <sheetData>
    <row r="1">
      <c r="A1" t="inlineStr">
        <is>
          <t>Table 1: Indicators on Schools</t>
        </is>
      </c>
    </row>
    <row r="2">
      <c r="A2" t="inlineStr">
        <is>
          <t>Particulars</t>
        </is>
      </c>
      <c r="B2" t="inlineStr">
        <is>
          <t>Pupils</t>
        </is>
      </c>
      <c r="C2" t="inlineStr">
        <is>
          <t>Teachers</t>
        </is>
      </c>
      <c r="D2" t="inlineStr">
        <is>
          <t>Staff</t>
        </is>
      </c>
      <c r="E2" t="inlineStr">
        <is>
          <t>Buildings</t>
        </is>
      </c>
      <c r="F2" t="inlineStr">
        <is>
          <t>Rooms</t>
        </is>
      </c>
      <c r="G2" t="inlineStr">
        <is>
          <t>Classrooms</t>
        </is>
      </c>
      <c r="H2" t="inlineStr">
        <is>
          <t>Classes</t>
        </is>
      </c>
      <c r="I2" t="inlineStr">
        <is>
          <t>Percentage of Schools</t>
        </is>
      </c>
    </row>
    <row r="3">
      <c r="B3" t="inlineStr">
        <is>
          <t>per</t>
        </is>
      </c>
      <c r="C3" t="inlineStr">
        <is>
          <t>per</t>
        </is>
      </c>
      <c r="D3" t="inlineStr">
        <is>
          <t>per</t>
        </is>
      </c>
      <c r="E3" t="inlineStr">
        <is>
          <t>per</t>
        </is>
      </c>
      <c r="F3" t="inlineStr">
        <is>
          <t>per</t>
        </is>
      </c>
      <c r="G3" t="inlineStr">
        <is>
          <t>per</t>
        </is>
      </c>
      <c r="H3" t="inlineStr">
        <is>
          <t>per</t>
        </is>
      </c>
    </row>
    <row r="4">
      <c r="B4" t="inlineStr">
        <is>
          <t>School</t>
        </is>
      </c>
      <c r="C4" t="inlineStr">
        <is>
          <t>School</t>
        </is>
      </c>
      <c r="D4" t="inlineStr">
        <is>
          <t>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School</t>
        </is>
      </c>
      <c r="I4" t="inlineStr">
        <is>
          <t>2 - shift</t>
        </is>
      </c>
      <c r="J4" t="inlineStr">
        <is>
          <t>in Pagoda</t>
        </is>
      </c>
      <c r="K4" t="inlineStr">
        <is>
          <t>w/o Water</t>
        </is>
      </c>
      <c r="L4" t="inlineStr">
        <is>
          <t>w/o Latrine</t>
        </is>
      </c>
    </row>
    <row r="5">
      <c r="A5" t="inlineStr">
        <is>
          <t>Whole Kingdom</t>
        </is>
      </c>
      <c r="B5" t="n">
        <v>239.5</v>
      </c>
      <c r="C5" t="n">
        <v>6.9</v>
      </c>
      <c r="D5" t="n">
        <v>8.4</v>
      </c>
      <c r="E5" t="n">
        <v>1.6</v>
      </c>
      <c r="F5" t="n">
        <v>7.3</v>
      </c>
      <c r="G5" t="n">
        <v>5.5</v>
      </c>
      <c r="H5" t="n">
        <v>7</v>
      </c>
      <c r="I5" t="n">
        <v>36.5</v>
      </c>
      <c r="J5" t="n">
        <v>12.6</v>
      </c>
      <c r="K5" t="n">
        <v>58.7</v>
      </c>
      <c r="L5" t="n">
        <v>36</v>
      </c>
    </row>
    <row r="6">
      <c r="A6" t="inlineStr">
        <is>
          <t>By Area of Location:
-    Urban Area</t>
        </is>
      </c>
      <c r="B6" t="n">
        <v>431.1</v>
      </c>
      <c r="C6" t="n">
        <v>15.5</v>
      </c>
      <c r="D6" t="n">
        <v>18</v>
      </c>
      <c r="E6" t="n">
        <v>2.2</v>
      </c>
      <c r="F6" t="n">
        <v>11.6</v>
      </c>
      <c r="G6" t="n">
        <v>8.5</v>
      </c>
      <c r="H6" t="n">
        <v>11</v>
      </c>
      <c r="I6" t="n">
        <v>33.8</v>
      </c>
      <c r="J6" t="n">
        <v>11.7</v>
      </c>
      <c r="K6" t="n">
        <v>39.2</v>
      </c>
      <c r="L6" t="n">
        <v>34.1</v>
      </c>
    </row>
    <row r="7">
      <c r="A7" t="inlineStr">
        <is>
          <t>-    Rural Area</t>
        </is>
      </c>
      <c r="B7" t="n">
        <v>216.6</v>
      </c>
      <c r="C7" t="n">
        <v>5.9</v>
      </c>
      <c r="D7" t="n">
        <v>7.3</v>
      </c>
      <c r="E7" t="n">
        <v>1.6</v>
      </c>
      <c r="F7" t="n">
        <v>6.7</v>
      </c>
      <c r="G7" t="n">
        <v>5.1</v>
      </c>
      <c r="H7" t="n">
        <v>6.5</v>
      </c>
      <c r="I7" t="n">
        <v>36.8</v>
      </c>
      <c r="J7" t="n">
        <v>12.7</v>
      </c>
      <c r="K7" t="n">
        <v>61</v>
      </c>
      <c r="L7" t="n">
        <v>36.3</v>
      </c>
    </row>
    <row r="8">
      <c r="A8" t="inlineStr">
        <is>
          <t>By Type of School &amp; Edn. Level :
-    Pre-School</t>
        </is>
      </c>
      <c r="B8" t="n">
        <v>47.7</v>
      </c>
      <c r="C8" t="n">
        <v>1.2</v>
      </c>
      <c r="D8" t="n">
        <v>1.3</v>
      </c>
      <c r="E8" t="n">
        <v>0.1</v>
      </c>
      <c r="F8" t="n">
        <v>0.2</v>
      </c>
      <c r="G8" t="n">
        <v>1.6</v>
      </c>
      <c r="H8" t="n">
        <v>1.9</v>
      </c>
      <c r="I8" t="n">
        <v>0</v>
      </c>
      <c r="J8" t="n">
        <v>13.6</v>
      </c>
      <c r="K8" t="n">
        <v>63.4</v>
      </c>
      <c r="L8" t="n">
        <v>66.3</v>
      </c>
    </row>
    <row r="9">
      <c r="A9" t="inlineStr">
        <is>
          <t>-    Primary School</t>
        </is>
      </c>
      <c r="B9" t="n">
        <v>278.8</v>
      </c>
      <c r="C9" t="n">
        <v>6.2</v>
      </c>
      <c r="D9" t="n">
        <v>7.9</v>
      </c>
      <c r="E9" t="n">
        <v>2.3</v>
      </c>
      <c r="F9" t="n">
        <v>9</v>
      </c>
      <c r="G9" t="n">
        <v>6.3</v>
      </c>
      <c r="H9" t="n">
        <v>8.699999999999999</v>
      </c>
      <c r="I9" t="n">
        <v>62</v>
      </c>
      <c r="J9" t="n">
        <v>13.3</v>
      </c>
      <c r="K9" t="n">
        <v>57.7</v>
      </c>
      <c r="L9" t="n">
        <v>22.5</v>
      </c>
    </row>
    <row r="10">
      <c r="A10" t="inlineStr">
        <is>
          <t>-    College</t>
        </is>
      </c>
      <c r="B10" t="n">
        <v>272.9</v>
      </c>
      <c r="C10" t="n">
        <v>11.7</v>
      </c>
      <c r="D10" t="n">
        <v>14.1</v>
      </c>
      <c r="E10" t="n">
        <v>1.9</v>
      </c>
      <c r="F10" t="n">
        <v>9</v>
      </c>
      <c r="G10" t="n">
        <v>5.9</v>
      </c>
      <c r="H10" t="n">
        <v>6.3</v>
      </c>
      <c r="I10" t="n">
        <v>19.8</v>
      </c>
      <c r="J10" t="n">
        <v>9.4</v>
      </c>
      <c r="K10" t="n">
        <v>56.8</v>
      </c>
      <c r="L10" t="n">
        <v>15.5</v>
      </c>
    </row>
    <row r="11">
      <c r="A11" t="inlineStr">
        <is>
          <t>-    Lycee</t>
        </is>
      </c>
      <c r="B11" t="n">
        <v>1217.9</v>
      </c>
      <c r="C11" t="n">
        <v>52.3</v>
      </c>
      <c r="D11" t="n">
        <v>60.6</v>
      </c>
      <c r="E11" t="n">
        <v>5.5</v>
      </c>
      <c r="F11" t="n">
        <v>38.1</v>
      </c>
      <c r="G11" t="n">
        <v>24.9</v>
      </c>
      <c r="H11" t="n">
        <v>29</v>
      </c>
      <c r="I11" t="n">
        <v>38.3</v>
      </c>
      <c r="J11" t="n">
        <v>2.9</v>
      </c>
      <c r="K11" t="n">
        <v>37.2</v>
      </c>
      <c r="L11" t="n">
        <v>12.9</v>
      </c>
    </row>
    <row r="12">
      <c r="A12" t="inlineStr">
        <is>
          <t>-    Lower Secondary Level</t>
        </is>
      </c>
      <c r="B12" t="n">
        <v>372.6</v>
      </c>
      <c r="C12" t="n">
        <v>15.9</v>
      </c>
      <c r="D12" t="n">
        <v>18.8</v>
      </c>
      <c r="E12" t="n">
        <v>1.3</v>
      </c>
      <c r="F12" t="n">
        <v>6.4</v>
      </c>
      <c r="G12" t="n">
        <v>7.7</v>
      </c>
      <c r="H12" t="n">
        <v>8.6</v>
      </c>
      <c r="I12" t="n">
        <v>14</v>
      </c>
      <c r="J12" t="n">
        <v>6.6</v>
      </c>
      <c r="K12" t="n">
        <v>69.59999999999999</v>
      </c>
      <c r="L12" t="n">
        <v>40.4</v>
      </c>
    </row>
    <row r="13">
      <c r="A13" t="inlineStr">
        <is>
          <t>-    Upper Secondary Level</t>
        </is>
      </c>
      <c r="B13" t="n">
        <v>645.1</v>
      </c>
      <c r="C13" t="n">
        <v>28.1</v>
      </c>
      <c r="D13" t="n">
        <v>32.5</v>
      </c>
      <c r="E13" t="n">
        <v>5.5</v>
      </c>
      <c r="F13" t="n">
        <v>38.1</v>
      </c>
      <c r="G13" t="n">
        <v>13.6</v>
      </c>
      <c r="H13" t="n">
        <v>15.8</v>
      </c>
      <c r="I13" t="n">
        <v>38.3</v>
      </c>
      <c r="J13" t="n">
        <v>2.9</v>
      </c>
      <c r="K13" t="n">
        <v>37.2</v>
      </c>
      <c r="L13" t="n">
        <v>12.9</v>
      </c>
    </row>
    <row r="14">
      <c r="A14" t="inlineStr">
        <is>
          <t>Characteristics of Primary Schools:
-    Cluster - core school</t>
        </is>
      </c>
      <c r="B14" t="n">
        <v>487.1</v>
      </c>
      <c r="C14" t="n">
        <v>10.5</v>
      </c>
      <c r="D14" t="n">
        <v>13.6</v>
      </c>
      <c r="E14" t="n">
        <v>3.2</v>
      </c>
      <c r="F14" t="n">
        <v>14</v>
      </c>
      <c r="G14" t="n">
        <v>9.699999999999999</v>
      </c>
      <c r="H14" t="n">
        <v>12.8</v>
      </c>
      <c r="I14" t="n">
        <v>68.8</v>
      </c>
      <c r="J14" t="n">
        <v>12.9</v>
      </c>
      <c r="K14" t="n">
        <v>47</v>
      </c>
      <c r="L14" t="n">
        <v>22.4</v>
      </c>
    </row>
    <row r="15">
      <c r="A15" t="inlineStr">
        <is>
          <t>-    Cluster - satellite school</t>
        </is>
      </c>
      <c r="B15" t="n">
        <v>231.9</v>
      </c>
      <c r="C15" t="n">
        <v>5.2</v>
      </c>
      <c r="D15" t="n">
        <v>6.7</v>
      </c>
      <c r="E15" t="n">
        <v>2</v>
      </c>
      <c r="F15" t="n">
        <v>7.8</v>
      </c>
      <c r="G15" t="n">
        <v>5.6</v>
      </c>
      <c r="H15" t="n">
        <v>7.7</v>
      </c>
      <c r="I15" t="n">
        <v>60.4</v>
      </c>
      <c r="J15" t="n">
        <v>13.4</v>
      </c>
      <c r="K15" t="n">
        <v>60.1</v>
      </c>
      <c r="L15" t="n">
        <v>22.5</v>
      </c>
    </row>
    <row r="16">
      <c r="A16" t="inlineStr">
        <is>
          <t>-    Annex school</t>
        </is>
      </c>
      <c r="B16" t="n">
        <v>209.7</v>
      </c>
      <c r="C16" t="n">
        <v>4.9</v>
      </c>
      <c r="D16" t="n">
        <v>6.1</v>
      </c>
      <c r="E16" t="n">
        <v>2</v>
      </c>
      <c r="F16" t="n">
        <v>7.6</v>
      </c>
      <c r="G16" t="n">
        <v>5.4</v>
      </c>
      <c r="H16" t="n">
        <v>7.2</v>
      </c>
      <c r="I16" t="n">
        <v>50.9</v>
      </c>
      <c r="J16" t="n">
        <v>14.6</v>
      </c>
      <c r="K16" t="n">
        <v>60.6</v>
      </c>
      <c r="L16" t="n">
        <v>23</v>
      </c>
    </row>
    <row r="17">
      <c r="A17" t="inlineStr">
        <is>
          <t>-    School in Pagoda</t>
        </is>
      </c>
      <c r="B17" t="n">
        <v>292</v>
      </c>
      <c r="C17" t="n">
        <v>6.5</v>
      </c>
      <c r="D17" t="n">
        <v>8.6</v>
      </c>
      <c r="E17" t="n">
        <v>2.4</v>
      </c>
      <c r="F17" t="n">
        <v>9.9</v>
      </c>
      <c r="G17" t="n">
        <v>6.8</v>
      </c>
      <c r="H17" t="n">
        <v>8.6</v>
      </c>
      <c r="I17" t="n">
        <v>61.1</v>
      </c>
      <c r="J17" t="n">
        <v>100</v>
      </c>
      <c r="K17" t="n">
        <v>55.9</v>
      </c>
      <c r="L17" t="n">
        <v>24</v>
      </c>
    </row>
    <row r="18">
      <c r="A18" t="inlineStr">
        <is>
          <t>Disadvantaged school (All Level)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7030A0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2:  Indicators on Schools by Province</t>
        </is>
      </c>
    </row>
    <row r="2">
      <c r="A2" t="inlineStr">
        <is>
          <t>Province</t>
        </is>
      </c>
      <c r="B2" t="inlineStr">
        <is>
          <t>Pupils</t>
        </is>
      </c>
      <c r="C2" t="inlineStr">
        <is>
          <t>Teachers</t>
        </is>
      </c>
      <c r="D2" t="inlineStr">
        <is>
          <t>Staff</t>
        </is>
      </c>
      <c r="E2" t="inlineStr">
        <is>
          <t>Buildings</t>
        </is>
      </c>
      <c r="F2" t="inlineStr">
        <is>
          <t>Rooms</t>
        </is>
      </c>
      <c r="G2" t="inlineStr">
        <is>
          <t>Classrooms</t>
        </is>
      </c>
      <c r="H2" t="inlineStr">
        <is>
          <t>Classes</t>
        </is>
      </c>
      <c r="I2" t="inlineStr">
        <is>
          <t>Percentage of Schools</t>
        </is>
      </c>
    </row>
    <row r="3">
      <c r="B3" t="inlineStr">
        <is>
          <t>per</t>
        </is>
      </c>
      <c r="C3" t="inlineStr">
        <is>
          <t>per</t>
        </is>
      </c>
      <c r="D3" t="inlineStr">
        <is>
          <t>per</t>
        </is>
      </c>
      <c r="E3" t="inlineStr">
        <is>
          <t>per</t>
        </is>
      </c>
      <c r="F3" t="inlineStr">
        <is>
          <t>per</t>
        </is>
      </c>
      <c r="G3" t="inlineStr">
        <is>
          <t>per</t>
        </is>
      </c>
      <c r="H3" t="inlineStr">
        <is>
          <t>per</t>
        </is>
      </c>
    </row>
    <row r="4">
      <c r="B4" t="inlineStr">
        <is>
          <t>School</t>
        </is>
      </c>
      <c r="C4" t="inlineStr">
        <is>
          <t>School</t>
        </is>
      </c>
      <c r="D4" t="inlineStr">
        <is>
          <t>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School</t>
        </is>
      </c>
      <c r="I4" t="inlineStr">
        <is>
          <t>2 - shift</t>
        </is>
      </c>
      <c r="J4" t="inlineStr">
        <is>
          <t>in Pagoda</t>
        </is>
      </c>
      <c r="K4" t="inlineStr">
        <is>
          <t>w/o Water</t>
        </is>
      </c>
      <c r="L4" t="inlineStr">
        <is>
          <t>w/o Toilet</t>
        </is>
      </c>
    </row>
    <row r="5">
      <c r="A5" t="inlineStr">
        <is>
          <t>Banteay Meanchey</t>
        </is>
      </c>
      <c r="B5" t="n">
        <v>199.7</v>
      </c>
      <c r="C5" t="n">
        <v>5.8</v>
      </c>
      <c r="D5" t="n">
        <v>6.9</v>
      </c>
      <c r="E5" t="n">
        <v>1.5</v>
      </c>
      <c r="F5" t="n">
        <v>6.5</v>
      </c>
      <c r="G5" t="n">
        <v>4.8</v>
      </c>
      <c r="H5" t="n">
        <v>5.9</v>
      </c>
      <c r="I5" t="n">
        <v>31</v>
      </c>
      <c r="J5" t="n">
        <v>2.1</v>
      </c>
      <c r="K5" t="n">
        <v>63.3</v>
      </c>
      <c r="L5" t="n">
        <v>44.5</v>
      </c>
    </row>
    <row r="6">
      <c r="A6" t="inlineStr">
        <is>
          <t>Battambang</t>
        </is>
      </c>
      <c r="B6" t="n">
        <v>229.4</v>
      </c>
      <c r="C6" t="n">
        <v>6.1</v>
      </c>
      <c r="D6" t="n">
        <v>7.6</v>
      </c>
      <c r="E6" t="n">
        <v>1.5</v>
      </c>
      <c r="F6" t="n">
        <v>6.3</v>
      </c>
      <c r="G6" t="n">
        <v>4.9</v>
      </c>
      <c r="H6" t="n">
        <v>6.7</v>
      </c>
      <c r="I6" t="n">
        <v>48.8</v>
      </c>
      <c r="J6" t="n">
        <v>4.7</v>
      </c>
      <c r="K6" t="n">
        <v>67.3</v>
      </c>
      <c r="L6" t="n">
        <v>31.9</v>
      </c>
    </row>
    <row r="7">
      <c r="A7" t="inlineStr">
        <is>
          <t>Kampong Cham</t>
        </is>
      </c>
      <c r="B7" t="n">
        <v>272.4</v>
      </c>
      <c r="C7" t="n">
        <v>7.1</v>
      </c>
      <c r="D7" t="n">
        <v>9.300000000000001</v>
      </c>
      <c r="E7" t="n">
        <v>1.8</v>
      </c>
      <c r="F7" t="n">
        <v>8.5</v>
      </c>
      <c r="G7" t="n">
        <v>5.9</v>
      </c>
      <c r="H7" t="n">
        <v>7.5</v>
      </c>
      <c r="I7" t="n">
        <v>38.2</v>
      </c>
      <c r="J7" t="n">
        <v>16.6</v>
      </c>
      <c r="K7" t="n">
        <v>46.2</v>
      </c>
      <c r="L7" t="n">
        <v>42.6</v>
      </c>
    </row>
    <row r="8">
      <c r="A8" t="inlineStr">
        <is>
          <t>Kampong Chhnang</t>
        </is>
      </c>
      <c r="B8" t="n">
        <v>250.8</v>
      </c>
      <c r="C8" t="n">
        <v>7.6</v>
      </c>
      <c r="D8" t="n">
        <v>9.199999999999999</v>
      </c>
      <c r="E8" t="n">
        <v>1.8</v>
      </c>
      <c r="F8" t="n">
        <v>8.199999999999999</v>
      </c>
      <c r="G8" t="n">
        <v>5.4</v>
      </c>
      <c r="H8" t="n">
        <v>7</v>
      </c>
      <c r="I8" t="n">
        <v>39.2</v>
      </c>
      <c r="J8" t="n">
        <v>9.1</v>
      </c>
      <c r="K8" t="n">
        <v>63.1</v>
      </c>
      <c r="L8" t="n">
        <v>20.6</v>
      </c>
    </row>
    <row r="9">
      <c r="A9" t="inlineStr">
        <is>
          <t>Kampong Speu</t>
        </is>
      </c>
      <c r="B9" t="n">
        <v>262.3</v>
      </c>
      <c r="C9" t="n">
        <v>6.8</v>
      </c>
      <c r="D9" t="n">
        <v>8.199999999999999</v>
      </c>
      <c r="E9" t="n">
        <v>1.7</v>
      </c>
      <c r="F9" t="n">
        <v>7.3</v>
      </c>
      <c r="G9" t="n">
        <v>5.4</v>
      </c>
      <c r="H9" t="n">
        <v>6.6</v>
      </c>
      <c r="I9" t="n">
        <v>36.8</v>
      </c>
      <c r="J9" t="n">
        <v>7.1</v>
      </c>
      <c r="K9" t="n">
        <v>50.4</v>
      </c>
      <c r="L9" t="n">
        <v>34.7</v>
      </c>
    </row>
    <row r="10">
      <c r="A10" t="inlineStr">
        <is>
          <t>Kampong Thom</t>
        </is>
      </c>
      <c r="B10" t="n">
        <v>198.4</v>
      </c>
      <c r="C10" t="n">
        <v>5.6</v>
      </c>
      <c r="D10" t="n">
        <v>6.6</v>
      </c>
      <c r="E10" t="n">
        <v>1.5</v>
      </c>
      <c r="F10" t="n">
        <v>5.9</v>
      </c>
      <c r="G10" t="n">
        <v>4.8</v>
      </c>
      <c r="H10" t="n">
        <v>6.2</v>
      </c>
      <c r="I10" t="n">
        <v>39.4</v>
      </c>
      <c r="J10" t="n">
        <v>8.9</v>
      </c>
      <c r="K10" t="n">
        <v>60.6</v>
      </c>
      <c r="L10" t="n">
        <v>29.6</v>
      </c>
    </row>
    <row r="11">
      <c r="A11" t="inlineStr">
        <is>
          <t>Kampot</t>
        </is>
      </c>
      <c r="B11" t="n">
        <v>208.4</v>
      </c>
      <c r="C11" t="n">
        <v>7.9</v>
      </c>
      <c r="D11" t="n">
        <v>9.5</v>
      </c>
      <c r="E11" t="n">
        <v>1.5</v>
      </c>
      <c r="F11" t="n">
        <v>7.1</v>
      </c>
      <c r="G11" t="n">
        <v>5.3</v>
      </c>
      <c r="H11" t="n">
        <v>7.8</v>
      </c>
      <c r="I11" t="n">
        <v>28.4</v>
      </c>
      <c r="J11" t="n">
        <v>49.2</v>
      </c>
      <c r="K11" t="n">
        <v>67.40000000000001</v>
      </c>
      <c r="L11" t="n">
        <v>32.2</v>
      </c>
    </row>
    <row r="12">
      <c r="A12" t="inlineStr">
        <is>
          <t>Kandal</t>
        </is>
      </c>
      <c r="B12" t="n">
        <v>346.6</v>
      </c>
      <c r="C12" t="n">
        <v>9.6</v>
      </c>
      <c r="D12" t="n">
        <v>11.6</v>
      </c>
      <c r="E12" t="n">
        <v>2</v>
      </c>
      <c r="F12" t="n">
        <v>9.1</v>
      </c>
      <c r="G12" t="n">
        <v>7.3</v>
      </c>
      <c r="H12" t="n">
        <v>8.9</v>
      </c>
      <c r="I12" t="n">
        <v>40.6</v>
      </c>
      <c r="J12" t="n">
        <v>26.9</v>
      </c>
      <c r="K12" t="n">
        <v>36.7</v>
      </c>
      <c r="L12" t="n">
        <v>30.6</v>
      </c>
    </row>
    <row r="13">
      <c r="A13" t="inlineStr">
        <is>
          <t>Kep</t>
        </is>
      </c>
      <c r="B13" t="n">
        <v>180.3</v>
      </c>
      <c r="C13" t="n">
        <v>9.5</v>
      </c>
      <c r="D13" t="n">
        <v>11.5</v>
      </c>
      <c r="E13" t="n">
        <v>1.8</v>
      </c>
      <c r="F13" t="n">
        <v>10.4</v>
      </c>
      <c r="G13" t="n">
        <v>5.2</v>
      </c>
      <c r="H13" t="n">
        <v>6</v>
      </c>
      <c r="I13" t="n">
        <v>20</v>
      </c>
      <c r="J13" t="n">
        <v>20</v>
      </c>
      <c r="K13" t="n">
        <v>58</v>
      </c>
      <c r="L13" t="n">
        <v>44</v>
      </c>
    </row>
    <row r="14">
      <c r="A14" t="inlineStr">
        <is>
          <t>Koh Kong</t>
        </is>
      </c>
      <c r="B14" t="n">
        <v>126.1</v>
      </c>
      <c r="C14" t="n">
        <v>5.4</v>
      </c>
      <c r="D14" t="n">
        <v>6.2</v>
      </c>
      <c r="E14" t="n">
        <v>1.3</v>
      </c>
      <c r="F14" t="n">
        <v>5.7</v>
      </c>
      <c r="G14" t="n">
        <v>3.9</v>
      </c>
      <c r="H14" t="n">
        <v>5.4</v>
      </c>
      <c r="I14" t="n">
        <v>31.8</v>
      </c>
      <c r="J14" t="n">
        <v>2.2</v>
      </c>
      <c r="K14" t="n">
        <v>69.09999999999999</v>
      </c>
      <c r="L14" t="n">
        <v>42.2</v>
      </c>
    </row>
    <row r="15">
      <c r="A15" t="inlineStr">
        <is>
          <t>Kratie</t>
        </is>
      </c>
      <c r="B15" t="n">
        <v>200.8</v>
      </c>
      <c r="C15" t="n">
        <v>6</v>
      </c>
      <c r="D15" t="n">
        <v>7</v>
      </c>
      <c r="E15" t="n">
        <v>1.6</v>
      </c>
      <c r="F15" t="n">
        <v>6.2</v>
      </c>
      <c r="G15" t="n">
        <v>4.7</v>
      </c>
      <c r="H15" t="n">
        <v>6.7</v>
      </c>
      <c r="I15" t="n">
        <v>46</v>
      </c>
      <c r="J15" t="n">
        <v>10.8</v>
      </c>
      <c r="K15" t="n">
        <v>61.4</v>
      </c>
      <c r="L15" t="n">
        <v>35.2</v>
      </c>
    </row>
    <row r="16">
      <c r="A16" t="inlineStr">
        <is>
          <t>Mondul Kiri</t>
        </is>
      </c>
      <c r="B16" t="n">
        <v>167</v>
      </c>
      <c r="C16" t="n">
        <v>7.1</v>
      </c>
      <c r="D16" t="n">
        <v>7.6</v>
      </c>
      <c r="E16" t="n">
        <v>1.6</v>
      </c>
      <c r="F16" t="n">
        <v>6.4</v>
      </c>
      <c r="G16" t="n">
        <v>4.9</v>
      </c>
      <c r="H16" t="n">
        <v>6.5</v>
      </c>
      <c r="I16" t="n">
        <v>37.1</v>
      </c>
      <c r="J16" t="n">
        <v>1.5</v>
      </c>
      <c r="K16" t="n">
        <v>82.59999999999999</v>
      </c>
      <c r="L16" t="n">
        <v>23.5</v>
      </c>
    </row>
    <row r="17">
      <c r="A17" t="inlineStr">
        <is>
          <t>Otdar Meanchey</t>
        </is>
      </c>
      <c r="B17" t="n">
        <v>157.4</v>
      </c>
      <c r="C17" t="n">
        <v>4.5</v>
      </c>
      <c r="D17" t="n">
        <v>5.4</v>
      </c>
      <c r="E17" t="n">
        <v>1.2</v>
      </c>
      <c r="F17" t="n">
        <v>5.6</v>
      </c>
      <c r="G17" t="n">
        <v>4.3</v>
      </c>
      <c r="H17" t="n">
        <v>5.7</v>
      </c>
      <c r="I17" t="n">
        <v>24.9</v>
      </c>
      <c r="J17" t="n">
        <v>1.1</v>
      </c>
      <c r="K17" t="n">
        <v>57.9</v>
      </c>
      <c r="L17" t="n">
        <v>36.3</v>
      </c>
    </row>
    <row r="18">
      <c r="A18" t="inlineStr">
        <is>
          <t>Pailin</t>
        </is>
      </c>
      <c r="B18" t="n">
        <v>198.6</v>
      </c>
      <c r="C18" t="n">
        <v>8.199999999999999</v>
      </c>
      <c r="D18" t="n">
        <v>9.300000000000001</v>
      </c>
      <c r="E18" t="n">
        <v>1.6</v>
      </c>
      <c r="F18" t="n">
        <v>8.800000000000001</v>
      </c>
      <c r="G18" t="n">
        <v>5.2</v>
      </c>
      <c r="H18" t="n">
        <v>6.6</v>
      </c>
      <c r="I18" t="n">
        <v>35.4</v>
      </c>
      <c r="J18" t="n">
        <v>2.4</v>
      </c>
      <c r="K18" t="n">
        <v>73.2</v>
      </c>
      <c r="L18" t="n">
        <v>36.6</v>
      </c>
    </row>
    <row r="19">
      <c r="A19" t="inlineStr">
        <is>
          <t>Phnom Penh</t>
        </is>
      </c>
      <c r="B19" t="n">
        <v>645.7</v>
      </c>
      <c r="C19" t="n">
        <v>24.3</v>
      </c>
      <c r="D19" t="n">
        <v>27.4</v>
      </c>
      <c r="E19" t="n">
        <v>2.3</v>
      </c>
      <c r="F19" t="n">
        <v>14.2</v>
      </c>
      <c r="G19" t="n">
        <v>10.7</v>
      </c>
      <c r="H19" t="n">
        <v>15</v>
      </c>
      <c r="I19" t="n">
        <v>41.6</v>
      </c>
      <c r="J19" t="n">
        <v>21.3</v>
      </c>
      <c r="K19" t="n">
        <v>27.1</v>
      </c>
      <c r="L19" t="n">
        <v>36.1</v>
      </c>
    </row>
    <row r="20">
      <c r="A20" t="inlineStr">
        <is>
          <t>Preah Sihanouk</t>
        </is>
      </c>
      <c r="B20" t="n">
        <v>278.4</v>
      </c>
      <c r="C20" t="n">
        <v>10.4</v>
      </c>
      <c r="D20" t="n">
        <v>12.1</v>
      </c>
      <c r="E20" t="n">
        <v>1.3</v>
      </c>
      <c r="F20" t="n">
        <v>10.2</v>
      </c>
      <c r="G20" t="n">
        <v>6.8</v>
      </c>
      <c r="H20" t="n">
        <v>7.9</v>
      </c>
      <c r="I20" t="n">
        <v>37.7</v>
      </c>
      <c r="J20" t="n">
        <v>9.4</v>
      </c>
      <c r="K20" t="n">
        <v>50.9</v>
      </c>
      <c r="L20" t="n">
        <v>34</v>
      </c>
    </row>
    <row r="21">
      <c r="A21" t="inlineStr">
        <is>
          <t>Preah Vihear</t>
        </is>
      </c>
      <c r="B21" t="n">
        <v>142.2</v>
      </c>
      <c r="C21" t="n">
        <v>5.3</v>
      </c>
      <c r="D21" t="n">
        <v>6.2</v>
      </c>
      <c r="E21" t="n">
        <v>1.3</v>
      </c>
      <c r="F21" t="n">
        <v>5.8</v>
      </c>
      <c r="G21" t="n">
        <v>4.4</v>
      </c>
      <c r="H21" t="n">
        <v>5.4</v>
      </c>
      <c r="I21" t="n">
        <v>12.4</v>
      </c>
      <c r="J21" t="n">
        <v>0.5</v>
      </c>
      <c r="K21" t="n">
        <v>64.7</v>
      </c>
      <c r="L21" t="n">
        <v>36.3</v>
      </c>
    </row>
    <row r="22">
      <c r="A22" t="inlineStr">
        <is>
          <t>Prey Veng</t>
        </is>
      </c>
      <c r="B22" t="n">
        <v>225.9</v>
      </c>
      <c r="C22" t="n">
        <v>5.5</v>
      </c>
      <c r="D22" t="n">
        <v>7.3</v>
      </c>
      <c r="E22" t="n">
        <v>1.6</v>
      </c>
      <c r="F22" t="n">
        <v>7</v>
      </c>
      <c r="G22" t="n">
        <v>5.4</v>
      </c>
      <c r="H22" t="n">
        <v>6.4</v>
      </c>
      <c r="I22" t="n">
        <v>42.3</v>
      </c>
      <c r="J22" t="n">
        <v>23.1</v>
      </c>
      <c r="K22" t="n">
        <v>58.6</v>
      </c>
      <c r="L22" t="n">
        <v>39.6</v>
      </c>
    </row>
    <row r="23">
      <c r="A23" t="inlineStr">
        <is>
          <t>Pursat</t>
        </is>
      </c>
      <c r="B23" t="n">
        <v>202.2</v>
      </c>
      <c r="C23" t="n">
        <v>5.7</v>
      </c>
      <c r="D23" t="n">
        <v>7</v>
      </c>
      <c r="E23" t="n">
        <v>1.5</v>
      </c>
      <c r="F23" t="n">
        <v>6.3</v>
      </c>
      <c r="G23" t="n">
        <v>4.7</v>
      </c>
      <c r="H23" t="n">
        <v>6.1</v>
      </c>
      <c r="I23" t="n">
        <v>37.7</v>
      </c>
      <c r="J23" t="n">
        <v>1.8</v>
      </c>
      <c r="K23" t="n">
        <v>76</v>
      </c>
      <c r="L23" t="n">
        <v>32.1</v>
      </c>
    </row>
    <row r="24">
      <c r="A24" t="inlineStr">
        <is>
          <t>Ratanak Kiri</t>
        </is>
      </c>
      <c r="B24" t="n">
        <v>171.8</v>
      </c>
      <c r="C24" t="n">
        <v>4.4</v>
      </c>
      <c r="D24" t="n">
        <v>4.8</v>
      </c>
      <c r="E24" t="n">
        <v>1.5</v>
      </c>
      <c r="F24" t="n">
        <v>5.3</v>
      </c>
      <c r="G24" t="n">
        <v>4</v>
      </c>
      <c r="H24" t="n">
        <v>6</v>
      </c>
      <c r="I24" t="n">
        <v>40.2</v>
      </c>
      <c r="J24" t="n">
        <v>1.8</v>
      </c>
      <c r="K24" t="n">
        <v>59.5</v>
      </c>
      <c r="L24" t="n">
        <v>32.3</v>
      </c>
    </row>
    <row r="25">
      <c r="A25" t="inlineStr">
        <is>
          <t>Siemreap</t>
        </is>
      </c>
      <c r="B25" t="n">
        <v>251.3</v>
      </c>
      <c r="C25" t="n">
        <v>5.4</v>
      </c>
      <c r="D25" t="n">
        <v>6.9</v>
      </c>
      <c r="E25" t="n">
        <v>1.7</v>
      </c>
      <c r="F25" t="n">
        <v>6.3</v>
      </c>
      <c r="G25" t="n">
        <v>5.1</v>
      </c>
      <c r="H25" t="n">
        <v>6.9</v>
      </c>
      <c r="I25" t="n">
        <v>34.2</v>
      </c>
      <c r="J25" t="n">
        <v>3.7</v>
      </c>
      <c r="K25" t="n">
        <v>59.8</v>
      </c>
      <c r="L25" t="n">
        <v>46.8</v>
      </c>
    </row>
    <row r="26">
      <c r="A26" t="inlineStr">
        <is>
          <t>Stung Treng</t>
        </is>
      </c>
      <c r="B26" t="n">
        <v>146.8</v>
      </c>
      <c r="C26" t="n">
        <v>5.4</v>
      </c>
      <c r="D26" t="n">
        <v>6.2</v>
      </c>
      <c r="E26" t="n">
        <v>1.4</v>
      </c>
      <c r="F26" t="n">
        <v>5</v>
      </c>
      <c r="G26" t="n">
        <v>4.2</v>
      </c>
      <c r="H26" t="n">
        <v>6.9</v>
      </c>
      <c r="I26" t="n">
        <v>45.2</v>
      </c>
      <c r="J26" t="n">
        <v>0.8</v>
      </c>
      <c r="K26" t="n">
        <v>71.8</v>
      </c>
      <c r="L26" t="n">
        <v>31.7</v>
      </c>
    </row>
    <row r="27">
      <c r="A27" t="inlineStr">
        <is>
          <t>Svay Rieng</t>
        </is>
      </c>
      <c r="B27" t="n">
        <v>237.4</v>
      </c>
      <c r="C27" t="n">
        <v>7.3</v>
      </c>
      <c r="D27" t="n">
        <v>9.199999999999999</v>
      </c>
      <c r="E27" t="n">
        <v>1.8</v>
      </c>
      <c r="F27" t="n">
        <v>8</v>
      </c>
      <c r="G27" t="n">
        <v>6</v>
      </c>
      <c r="H27" t="n">
        <v>7</v>
      </c>
      <c r="I27" t="n">
        <v>30.5</v>
      </c>
      <c r="J27" t="n">
        <v>17.4</v>
      </c>
      <c r="K27" t="n">
        <v>69.7</v>
      </c>
      <c r="L27" t="n">
        <v>42.1</v>
      </c>
    </row>
    <row r="28">
      <c r="A28" t="inlineStr">
        <is>
          <t>Takeo</t>
        </is>
      </c>
      <c r="B28" t="n">
        <v>249.9</v>
      </c>
      <c r="C28" t="n">
        <v>8.1</v>
      </c>
      <c r="D28" t="n">
        <v>10.3</v>
      </c>
      <c r="E28" t="n">
        <v>2</v>
      </c>
      <c r="F28" t="n">
        <v>9.300000000000001</v>
      </c>
      <c r="G28" t="n">
        <v>6.8</v>
      </c>
      <c r="H28" t="n">
        <v>7.4</v>
      </c>
      <c r="I28" t="n">
        <v>23.1</v>
      </c>
      <c r="J28" t="n">
        <v>27.1</v>
      </c>
      <c r="K28" t="n">
        <v>55.5</v>
      </c>
      <c r="L28" t="n">
        <v>36</v>
      </c>
    </row>
    <row r="29">
      <c r="A29" t="inlineStr">
        <is>
          <t>Tbaung Khmum</t>
        </is>
      </c>
      <c r="B29" t="n">
        <v>235.8</v>
      </c>
      <c r="C29" t="n">
        <v>5.4</v>
      </c>
      <c r="D29" t="n">
        <v>6.7</v>
      </c>
      <c r="E29" t="n">
        <v>1.5</v>
      </c>
      <c r="F29" t="n">
        <v>6.7</v>
      </c>
      <c r="G29" t="n">
        <v>5.2</v>
      </c>
      <c r="H29" t="n">
        <v>6.8</v>
      </c>
      <c r="I29" t="n">
        <v>39.6</v>
      </c>
      <c r="J29" t="n">
        <v>10.5</v>
      </c>
      <c r="K29" t="n">
        <v>52.1</v>
      </c>
      <c r="L29" t="n">
        <v>33.7</v>
      </c>
    </row>
    <row r="30">
      <c r="A30" t="inlineStr">
        <is>
          <t>Whole Kingdom</t>
        </is>
      </c>
      <c r="B30" t="n">
        <v>239.5</v>
      </c>
      <c r="C30" t="n">
        <v>6.9</v>
      </c>
      <c r="D30" t="n">
        <v>8.4</v>
      </c>
      <c r="E30" t="n">
        <v>1.6</v>
      </c>
      <c r="F30" t="n">
        <v>7.3</v>
      </c>
      <c r="G30" t="n">
        <v>5.5</v>
      </c>
      <c r="H30" t="n">
        <v>7</v>
      </c>
      <c r="I30" t="n">
        <v>36.5</v>
      </c>
      <c r="J30" t="n">
        <v>12.6</v>
      </c>
      <c r="K30" t="n">
        <v>58.7</v>
      </c>
      <c r="L30" t="n">
        <v>36</v>
      </c>
    </row>
    <row r="31">
      <c r="A31" t="inlineStr">
        <is>
          <t>-  Urban Area</t>
        </is>
      </c>
      <c r="B31" t="n">
        <v>431.1</v>
      </c>
      <c r="C31" t="n">
        <v>15.5</v>
      </c>
      <c r="D31" t="n">
        <v>18</v>
      </c>
      <c r="E31" t="n">
        <v>2.2</v>
      </c>
      <c r="F31" t="n">
        <v>11.6</v>
      </c>
      <c r="G31" t="n">
        <v>8.5</v>
      </c>
      <c r="H31" t="n">
        <v>11</v>
      </c>
      <c r="I31" t="n">
        <v>33.8</v>
      </c>
      <c r="J31" t="n">
        <v>11.7</v>
      </c>
      <c r="K31" t="n">
        <v>39.2</v>
      </c>
      <c r="L31" t="n">
        <v>34.1</v>
      </c>
    </row>
    <row r="32">
      <c r="A32" t="inlineStr">
        <is>
          <t>-  Rural Area</t>
        </is>
      </c>
      <c r="B32" t="n">
        <v>216.6</v>
      </c>
      <c r="C32" t="n">
        <v>5.9</v>
      </c>
      <c r="D32" t="n">
        <v>7.3</v>
      </c>
      <c r="E32" t="n">
        <v>1.6</v>
      </c>
      <c r="F32" t="n">
        <v>6.7</v>
      </c>
      <c r="G32" t="n">
        <v>5.1</v>
      </c>
      <c r="H32" t="n">
        <v>6.5</v>
      </c>
      <c r="I32" t="n">
        <v>36.8</v>
      </c>
      <c r="J32" t="n">
        <v>12.7</v>
      </c>
      <c r="K32" t="n">
        <v>61</v>
      </c>
      <c r="L32" t="n">
        <v>36.3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7030A0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8.140625" customWidth="1" min="2" max="2"/>
    <col width="9.7109375" customWidth="1" min="3" max="3"/>
    <col width="8.140625" customWidth="1" min="4" max="4"/>
    <col width="8.7109375" customWidth="1" min="5" max="5"/>
    <col width="8.42578125" customWidth="1" min="6" max="6"/>
    <col width="10.28515625" customWidth="1" min="7" max="7"/>
    <col width="8.7109375" customWidth="1" min="8" max="8"/>
    <col width="9" customWidth="1" min="9" max="9"/>
    <col width="8.85546875" customWidth="1" min="10" max="10"/>
    <col width="9.42578125" customWidth="1" min="11" max="11"/>
    <col width="10.140625" customWidth="1" min="12" max="12"/>
  </cols>
  <sheetData>
    <row r="1">
      <c r="A1" t="inlineStr">
        <is>
          <t>Table 4:  Indicators on Secondary Schools by Province</t>
        </is>
      </c>
    </row>
    <row r="2">
      <c r="A2" t="inlineStr">
        <is>
          <t>Province</t>
        </is>
      </c>
      <c r="B2" t="inlineStr">
        <is>
          <t>Pupils</t>
        </is>
      </c>
      <c r="C2" t="inlineStr">
        <is>
          <t>Teachers</t>
        </is>
      </c>
      <c r="D2" t="inlineStr">
        <is>
          <t>Staff</t>
        </is>
      </c>
      <c r="E2" t="inlineStr">
        <is>
          <t>Buildings</t>
        </is>
      </c>
      <c r="F2" t="inlineStr">
        <is>
          <t>Rooms</t>
        </is>
      </c>
      <c r="G2" t="inlineStr">
        <is>
          <t>Classrooms</t>
        </is>
      </c>
      <c r="H2" t="inlineStr">
        <is>
          <t>Classes</t>
        </is>
      </c>
      <c r="I2" t="inlineStr">
        <is>
          <t>Percentage of Schools</t>
        </is>
      </c>
    </row>
    <row r="3">
      <c r="B3" t="inlineStr">
        <is>
          <t>per</t>
        </is>
      </c>
      <c r="C3" t="inlineStr">
        <is>
          <t>per</t>
        </is>
      </c>
      <c r="D3" t="inlineStr">
        <is>
          <t>per</t>
        </is>
      </c>
      <c r="E3" t="inlineStr">
        <is>
          <t>per</t>
        </is>
      </c>
      <c r="F3" t="inlineStr">
        <is>
          <t>per</t>
        </is>
      </c>
      <c r="G3" t="inlineStr">
        <is>
          <t>per</t>
        </is>
      </c>
      <c r="H3" t="inlineStr">
        <is>
          <t>per</t>
        </is>
      </c>
    </row>
    <row r="4">
      <c r="B4" t="inlineStr">
        <is>
          <t>School</t>
        </is>
      </c>
      <c r="C4" t="inlineStr">
        <is>
          <t>School</t>
        </is>
      </c>
      <c r="D4" t="inlineStr">
        <is>
          <t>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School</t>
        </is>
      </c>
      <c r="I4" t="inlineStr">
        <is>
          <t>2 - shift</t>
        </is>
      </c>
      <c r="J4" t="inlineStr">
        <is>
          <t>in Pagoda</t>
        </is>
      </c>
      <c r="K4" t="inlineStr">
        <is>
          <t>w/o Water</t>
        </is>
      </c>
      <c r="L4" t="inlineStr">
        <is>
          <t>w/o Latrine</t>
        </is>
      </c>
    </row>
    <row r="5">
      <c r="A5" t="inlineStr">
        <is>
          <t>Banteay Meanchey</t>
        </is>
      </c>
      <c r="B5" t="n">
        <v>565.2</v>
      </c>
      <c r="C5" t="n">
        <v>22.1</v>
      </c>
      <c r="D5" t="n">
        <v>26.1</v>
      </c>
      <c r="E5" t="n">
        <v>3.2</v>
      </c>
      <c r="F5" t="n">
        <v>21.1</v>
      </c>
      <c r="G5" t="n">
        <v>12</v>
      </c>
      <c r="H5" t="n">
        <v>12.3</v>
      </c>
      <c r="I5" t="n">
        <v>26.2</v>
      </c>
      <c r="J5" t="n">
        <v>1.2</v>
      </c>
      <c r="K5" t="n">
        <v>52.4</v>
      </c>
      <c r="L5" t="n">
        <v>19</v>
      </c>
    </row>
    <row r="6">
      <c r="A6" t="inlineStr">
        <is>
          <t>Battambang</t>
        </is>
      </c>
      <c r="B6" t="n">
        <v>590.6</v>
      </c>
      <c r="C6" t="n">
        <v>21.8</v>
      </c>
      <c r="D6" t="n">
        <v>25.9</v>
      </c>
      <c r="E6" t="n">
        <v>3</v>
      </c>
      <c r="F6" t="n">
        <v>17.4</v>
      </c>
      <c r="G6" t="n">
        <v>11.7</v>
      </c>
      <c r="H6" t="n">
        <v>12.4</v>
      </c>
      <c r="I6" t="n">
        <v>18.1</v>
      </c>
      <c r="J6" t="n">
        <v>2.4</v>
      </c>
      <c r="K6" t="n">
        <v>63.8</v>
      </c>
      <c r="L6" t="n">
        <v>12.6</v>
      </c>
    </row>
    <row r="7">
      <c r="A7" t="inlineStr">
        <is>
          <t>Kampong Cham</t>
        </is>
      </c>
      <c r="B7" t="n">
        <v>557.9</v>
      </c>
      <c r="C7" t="n">
        <v>23.9</v>
      </c>
      <c r="D7" t="n">
        <v>29.3</v>
      </c>
      <c r="E7" t="n">
        <v>3.1</v>
      </c>
      <c r="F7" t="n">
        <v>19.5</v>
      </c>
      <c r="G7" t="n">
        <v>11.8</v>
      </c>
      <c r="H7" t="n">
        <v>12.7</v>
      </c>
      <c r="I7" t="n">
        <v>26.6</v>
      </c>
      <c r="J7" t="n">
        <v>5.6</v>
      </c>
      <c r="K7" t="n">
        <v>38.7</v>
      </c>
      <c r="L7" t="n">
        <v>18.5</v>
      </c>
    </row>
    <row r="8">
      <c r="A8" t="inlineStr">
        <is>
          <t>Kampong Chhnang</t>
        </is>
      </c>
      <c r="B8" t="n">
        <v>488.1</v>
      </c>
      <c r="C8" t="n">
        <v>21</v>
      </c>
      <c r="D8" t="n">
        <v>24.7</v>
      </c>
      <c r="E8" t="n">
        <v>2.7</v>
      </c>
      <c r="F8" t="n">
        <v>18.2</v>
      </c>
      <c r="G8" t="n">
        <v>10.1</v>
      </c>
      <c r="H8" t="n">
        <v>10.6</v>
      </c>
      <c r="I8" t="n">
        <v>16.7</v>
      </c>
      <c r="J8" t="n">
        <v>9</v>
      </c>
      <c r="K8" t="n">
        <v>64.09999999999999</v>
      </c>
      <c r="L8" t="n">
        <v>3.8</v>
      </c>
    </row>
    <row r="9">
      <c r="A9" t="inlineStr">
        <is>
          <t>Kampong Speu</t>
        </is>
      </c>
      <c r="B9" t="n">
        <v>512.5</v>
      </c>
      <c r="C9" t="n">
        <v>20.1</v>
      </c>
      <c r="D9" t="n">
        <v>23.3</v>
      </c>
      <c r="E9" t="n">
        <v>2.9</v>
      </c>
      <c r="F9" t="n">
        <v>14.3</v>
      </c>
      <c r="G9" t="n">
        <v>9.300000000000001</v>
      </c>
      <c r="H9" t="n">
        <v>10.4</v>
      </c>
      <c r="I9" t="n">
        <v>41.2</v>
      </c>
      <c r="J9" t="n">
        <v>2.1</v>
      </c>
      <c r="K9" t="n">
        <v>38.1</v>
      </c>
      <c r="L9" t="n">
        <v>12.4</v>
      </c>
    </row>
    <row r="10">
      <c r="A10" t="inlineStr">
        <is>
          <t>Kampong Thom</t>
        </is>
      </c>
      <c r="B10" t="n">
        <v>516</v>
      </c>
      <c r="C10" t="n">
        <v>19.2</v>
      </c>
      <c r="D10" t="n">
        <v>22.9</v>
      </c>
      <c r="E10" t="n">
        <v>2.7</v>
      </c>
      <c r="F10" t="n">
        <v>14.9</v>
      </c>
      <c r="G10" t="n">
        <v>11.5</v>
      </c>
      <c r="H10" t="n">
        <v>12.3</v>
      </c>
      <c r="I10" t="n">
        <v>21.7</v>
      </c>
      <c r="J10" t="n">
        <v>0</v>
      </c>
      <c r="K10" t="n">
        <v>55.4</v>
      </c>
      <c r="L10" t="n">
        <v>15.2</v>
      </c>
    </row>
    <row r="11">
      <c r="A11" t="inlineStr">
        <is>
          <t>Kampot</t>
        </is>
      </c>
      <c r="B11" t="n">
        <v>429</v>
      </c>
      <c r="C11" t="n">
        <v>22.4</v>
      </c>
      <c r="D11" t="n">
        <v>27.1</v>
      </c>
      <c r="E11" t="n">
        <v>2.6</v>
      </c>
      <c r="F11" t="n">
        <v>14.4</v>
      </c>
      <c r="G11" t="n">
        <v>10.2</v>
      </c>
      <c r="H11" t="n">
        <v>20.5</v>
      </c>
      <c r="I11" t="n">
        <v>16</v>
      </c>
      <c r="J11" t="n">
        <v>36</v>
      </c>
      <c r="K11" t="n">
        <v>60</v>
      </c>
      <c r="L11" t="n">
        <v>21</v>
      </c>
    </row>
    <row r="12">
      <c r="A12" t="inlineStr">
        <is>
          <t>Kandal</t>
        </is>
      </c>
      <c r="B12" t="n">
        <v>616.2</v>
      </c>
      <c r="C12" t="n">
        <v>31.2</v>
      </c>
      <c r="D12" t="n">
        <v>36</v>
      </c>
      <c r="E12" t="n">
        <v>3.3</v>
      </c>
      <c r="F12" t="n">
        <v>17.7</v>
      </c>
      <c r="G12" t="n">
        <v>12.9</v>
      </c>
      <c r="H12" t="n">
        <v>14.1</v>
      </c>
      <c r="I12" t="n">
        <v>21.4</v>
      </c>
      <c r="J12" t="n">
        <v>15.7</v>
      </c>
      <c r="K12" t="n">
        <v>35.7</v>
      </c>
      <c r="L12" t="n">
        <v>10.7</v>
      </c>
    </row>
    <row r="13">
      <c r="A13" t="inlineStr">
        <is>
          <t>Kep</t>
        </is>
      </c>
      <c r="B13" t="n">
        <v>452.7</v>
      </c>
      <c r="C13" t="n">
        <v>39.8</v>
      </c>
      <c r="D13" t="n">
        <v>45.7</v>
      </c>
      <c r="E13" t="n">
        <v>4.5</v>
      </c>
      <c r="F13" t="n">
        <v>44.3</v>
      </c>
      <c r="G13" t="n">
        <v>13</v>
      </c>
      <c r="H13" t="n">
        <v>13</v>
      </c>
      <c r="I13" t="n">
        <v>0</v>
      </c>
      <c r="J13" t="n">
        <v>0</v>
      </c>
      <c r="K13" t="n">
        <v>33.3</v>
      </c>
      <c r="L13" t="n">
        <v>33.3</v>
      </c>
    </row>
    <row r="14">
      <c r="A14" t="inlineStr">
        <is>
          <t>Koh Kong</t>
        </is>
      </c>
      <c r="B14" t="n">
        <v>285.1</v>
      </c>
      <c r="C14" t="n">
        <v>15</v>
      </c>
      <c r="D14" t="n">
        <v>17.2</v>
      </c>
      <c r="E14" t="n">
        <v>2.4</v>
      </c>
      <c r="F14" t="n">
        <v>13.9</v>
      </c>
      <c r="G14" t="n">
        <v>7.3</v>
      </c>
      <c r="H14" t="n">
        <v>8.4</v>
      </c>
      <c r="I14" t="n">
        <v>35.5</v>
      </c>
      <c r="J14" t="n">
        <v>0</v>
      </c>
      <c r="K14" t="n">
        <v>54.8</v>
      </c>
      <c r="L14" t="n">
        <v>22.6</v>
      </c>
    </row>
    <row r="15">
      <c r="A15" t="inlineStr">
        <is>
          <t>Kratie</t>
        </is>
      </c>
      <c r="B15" t="n">
        <v>382.5</v>
      </c>
      <c r="C15" t="n">
        <v>18.1</v>
      </c>
      <c r="D15" t="n">
        <v>20.6</v>
      </c>
      <c r="E15" t="n">
        <v>2.5</v>
      </c>
      <c r="F15" t="n">
        <v>12.9</v>
      </c>
      <c r="G15" t="n">
        <v>8.5</v>
      </c>
      <c r="H15" t="n">
        <v>8.699999999999999</v>
      </c>
      <c r="I15" t="n">
        <v>12.7</v>
      </c>
      <c r="J15" t="n">
        <v>9.1</v>
      </c>
      <c r="K15" t="n">
        <v>58.2</v>
      </c>
      <c r="L15" t="n">
        <v>14.5</v>
      </c>
    </row>
    <row r="16">
      <c r="A16" t="inlineStr">
        <is>
          <t>Mondul Kiri</t>
        </is>
      </c>
      <c r="B16" t="n">
        <v>402.7</v>
      </c>
      <c r="C16" t="n">
        <v>18.9</v>
      </c>
      <c r="D16" t="n">
        <v>20.5</v>
      </c>
      <c r="E16" t="n">
        <v>2.8</v>
      </c>
      <c r="F16" t="n">
        <v>18.8</v>
      </c>
      <c r="G16" t="n">
        <v>8.9</v>
      </c>
      <c r="H16" t="n">
        <v>9.6</v>
      </c>
      <c r="I16" t="n">
        <v>42.9</v>
      </c>
      <c r="J16" t="n">
        <v>0</v>
      </c>
      <c r="K16" t="n">
        <v>78.59999999999999</v>
      </c>
      <c r="L16" t="n">
        <v>7.1</v>
      </c>
    </row>
    <row r="17">
      <c r="A17" t="inlineStr">
        <is>
          <t>Otdar Meanchey</t>
        </is>
      </c>
      <c r="B17" t="n">
        <v>412.6</v>
      </c>
      <c r="C17" t="n">
        <v>14</v>
      </c>
      <c r="D17" t="n">
        <v>15.9</v>
      </c>
      <c r="E17" t="n">
        <v>2.6</v>
      </c>
      <c r="F17" t="n">
        <v>17</v>
      </c>
      <c r="G17" t="n">
        <v>8.9</v>
      </c>
      <c r="H17" t="n">
        <v>9.4</v>
      </c>
      <c r="I17" t="n">
        <v>23.1</v>
      </c>
      <c r="J17" t="n">
        <v>0</v>
      </c>
      <c r="K17" t="n">
        <v>53.8</v>
      </c>
      <c r="L17" t="n">
        <v>15.4</v>
      </c>
    </row>
    <row r="18">
      <c r="A18" t="inlineStr">
        <is>
          <t>Pailin</t>
        </is>
      </c>
      <c r="B18" t="n">
        <v>602.4</v>
      </c>
      <c r="C18" t="n">
        <v>37.1</v>
      </c>
      <c r="D18" t="n">
        <v>42.1</v>
      </c>
      <c r="E18" t="n">
        <v>3.8</v>
      </c>
      <c r="F18" t="n">
        <v>35.6</v>
      </c>
      <c r="G18" t="n">
        <v>14.1</v>
      </c>
      <c r="H18" t="n">
        <v>14.7</v>
      </c>
      <c r="I18" t="n">
        <v>22.2</v>
      </c>
      <c r="J18" t="n">
        <v>0</v>
      </c>
      <c r="K18" t="n">
        <v>33.3</v>
      </c>
      <c r="L18" t="n">
        <v>11.1</v>
      </c>
    </row>
    <row r="19">
      <c r="A19" t="inlineStr">
        <is>
          <t>Phnom Penh</t>
        </is>
      </c>
      <c r="B19" t="n">
        <v>1471.4</v>
      </c>
      <c r="C19" t="n">
        <v>84.5</v>
      </c>
      <c r="D19" t="n">
        <v>93.3</v>
      </c>
      <c r="E19" t="n">
        <v>4</v>
      </c>
      <c r="F19" t="n">
        <v>31.9</v>
      </c>
      <c r="G19" t="n">
        <v>22.6</v>
      </c>
      <c r="H19" t="n">
        <v>31.2</v>
      </c>
      <c r="I19" t="n">
        <v>63.2</v>
      </c>
      <c r="J19" t="n">
        <v>7.4</v>
      </c>
      <c r="K19" t="n">
        <v>27.9</v>
      </c>
      <c r="L19" t="n">
        <v>16.2</v>
      </c>
    </row>
    <row r="20">
      <c r="A20" t="inlineStr">
        <is>
          <t>Preah Sihanouk</t>
        </is>
      </c>
      <c r="B20" t="n">
        <v>520</v>
      </c>
      <c r="C20" t="n">
        <v>27.4</v>
      </c>
      <c r="D20" t="n">
        <v>31.1</v>
      </c>
      <c r="E20" t="n">
        <v>2.3</v>
      </c>
      <c r="F20" t="n">
        <v>25.1</v>
      </c>
      <c r="G20" t="n">
        <v>12.5</v>
      </c>
      <c r="H20" t="n">
        <v>12.7</v>
      </c>
      <c r="I20" t="n">
        <v>33.3</v>
      </c>
      <c r="J20" t="n">
        <v>7.4</v>
      </c>
      <c r="K20" t="n">
        <v>33.3</v>
      </c>
      <c r="L20" t="n">
        <v>14.8</v>
      </c>
    </row>
    <row r="21">
      <c r="A21" t="inlineStr">
        <is>
          <t>Preah Vihear</t>
        </is>
      </c>
      <c r="B21" t="n">
        <v>248.1</v>
      </c>
      <c r="C21" t="n">
        <v>12.3</v>
      </c>
      <c r="D21" t="n">
        <v>13.4</v>
      </c>
      <c r="E21" t="n">
        <v>1.8</v>
      </c>
      <c r="F21" t="n">
        <v>13.4</v>
      </c>
      <c r="G21" t="n">
        <v>6.8</v>
      </c>
      <c r="H21" t="n">
        <v>6.8</v>
      </c>
      <c r="I21" t="n">
        <v>12.1</v>
      </c>
      <c r="J21" t="n">
        <v>0</v>
      </c>
      <c r="K21" t="n">
        <v>54.5</v>
      </c>
      <c r="L21" t="n">
        <v>10.6</v>
      </c>
    </row>
    <row r="22">
      <c r="A22" t="inlineStr">
        <is>
          <t>Prey Veng</t>
        </is>
      </c>
      <c r="B22" t="n">
        <v>612.3</v>
      </c>
      <c r="C22" t="n">
        <v>20.9</v>
      </c>
      <c r="D22" t="n">
        <v>25.8</v>
      </c>
      <c r="E22" t="n">
        <v>3</v>
      </c>
      <c r="F22" t="n">
        <v>17.6</v>
      </c>
      <c r="G22" t="n">
        <v>12.7</v>
      </c>
      <c r="H22" t="n">
        <v>13.6</v>
      </c>
      <c r="I22" t="n">
        <v>17.6</v>
      </c>
      <c r="J22" t="n">
        <v>11.2</v>
      </c>
      <c r="K22" t="n">
        <v>44.8</v>
      </c>
      <c r="L22" t="n">
        <v>15.2</v>
      </c>
    </row>
    <row r="23">
      <c r="A23" t="inlineStr">
        <is>
          <t>Pursat</t>
        </is>
      </c>
      <c r="B23" t="n">
        <v>522.7</v>
      </c>
      <c r="C23" t="n">
        <v>24.3</v>
      </c>
      <c r="D23" t="n">
        <v>28.5</v>
      </c>
      <c r="E23" t="n">
        <v>3.2</v>
      </c>
      <c r="F23" t="n">
        <v>17.7</v>
      </c>
      <c r="G23" t="n">
        <v>11.2</v>
      </c>
      <c r="H23" t="n">
        <v>11.9</v>
      </c>
      <c r="I23" t="n">
        <v>26.7</v>
      </c>
      <c r="J23" t="n">
        <v>1.7</v>
      </c>
      <c r="K23" t="n">
        <v>61.7</v>
      </c>
      <c r="L23" t="n">
        <v>6.7</v>
      </c>
    </row>
    <row r="24">
      <c r="A24" t="inlineStr">
        <is>
          <t>Ratanak Kiri</t>
        </is>
      </c>
      <c r="B24" t="n">
        <v>413.8</v>
      </c>
      <c r="C24" t="n">
        <v>14.4</v>
      </c>
      <c r="D24" t="n">
        <v>15.8</v>
      </c>
      <c r="E24" t="n">
        <v>2.6</v>
      </c>
      <c r="F24" t="n">
        <v>14.1</v>
      </c>
      <c r="G24" t="n">
        <v>8</v>
      </c>
      <c r="H24" t="n">
        <v>8.800000000000001</v>
      </c>
      <c r="I24" t="n">
        <v>23.5</v>
      </c>
      <c r="J24" t="n">
        <v>2.9</v>
      </c>
      <c r="K24" t="n">
        <v>47.1</v>
      </c>
      <c r="L24" t="n">
        <v>14.7</v>
      </c>
    </row>
    <row r="25">
      <c r="A25" t="inlineStr">
        <is>
          <t>Siemreap</t>
        </is>
      </c>
      <c r="B25" t="n">
        <v>687.4</v>
      </c>
      <c r="C25" t="n">
        <v>19.8</v>
      </c>
      <c r="D25" t="n">
        <v>23.7</v>
      </c>
      <c r="E25" t="n">
        <v>3.2</v>
      </c>
      <c r="F25" t="n">
        <v>17.4</v>
      </c>
      <c r="G25" t="n">
        <v>12.3</v>
      </c>
      <c r="H25" t="n">
        <v>13.7</v>
      </c>
      <c r="I25" t="n">
        <v>49.2</v>
      </c>
      <c r="J25" t="n">
        <v>1.6</v>
      </c>
      <c r="K25" t="n">
        <v>58.9</v>
      </c>
      <c r="L25" t="n">
        <v>16.1</v>
      </c>
    </row>
    <row r="26">
      <c r="A26" t="inlineStr">
        <is>
          <t>Stung Treng</t>
        </is>
      </c>
      <c r="B26" t="n">
        <v>224.7</v>
      </c>
      <c r="C26" t="n">
        <v>13.4</v>
      </c>
      <c r="D26" t="n">
        <v>15.1</v>
      </c>
      <c r="E26" t="n">
        <v>1.7</v>
      </c>
      <c r="F26" t="n">
        <v>8.9</v>
      </c>
      <c r="G26" t="n">
        <v>5.8</v>
      </c>
      <c r="H26" t="n">
        <v>6</v>
      </c>
      <c r="I26" t="n">
        <v>17.9</v>
      </c>
      <c r="J26" t="n">
        <v>0</v>
      </c>
      <c r="K26" t="n">
        <v>53.8</v>
      </c>
      <c r="L26" t="n">
        <v>17.9</v>
      </c>
    </row>
    <row r="27">
      <c r="A27" t="inlineStr">
        <is>
          <t>Svay Rieng</t>
        </is>
      </c>
      <c r="B27" t="n">
        <v>526.9</v>
      </c>
      <c r="C27" t="n">
        <v>25.5</v>
      </c>
      <c r="D27" t="n">
        <v>30.5</v>
      </c>
      <c r="E27" t="n">
        <v>3.3</v>
      </c>
      <c r="F27" t="n">
        <v>18.8</v>
      </c>
      <c r="G27" t="n">
        <v>13.1</v>
      </c>
      <c r="H27" t="n">
        <v>13.5</v>
      </c>
      <c r="I27" t="n">
        <v>25.7</v>
      </c>
      <c r="J27" t="n">
        <v>1.4</v>
      </c>
      <c r="K27" t="n">
        <v>67.59999999999999</v>
      </c>
      <c r="L27" t="n">
        <v>16.2</v>
      </c>
    </row>
    <row r="28">
      <c r="A28" t="inlineStr">
        <is>
          <t>Takeo</t>
        </is>
      </c>
      <c r="B28" t="n">
        <v>622.5</v>
      </c>
      <c r="C28" t="n">
        <v>27.6</v>
      </c>
      <c r="D28" t="n">
        <v>34</v>
      </c>
      <c r="E28" t="n">
        <v>4.2</v>
      </c>
      <c r="F28" t="n">
        <v>22</v>
      </c>
      <c r="G28" t="n">
        <v>15.7</v>
      </c>
      <c r="H28" t="n">
        <v>16.2</v>
      </c>
      <c r="I28" t="n">
        <v>12.6</v>
      </c>
      <c r="J28" t="n">
        <v>16.8</v>
      </c>
      <c r="K28" t="n">
        <v>50.4</v>
      </c>
      <c r="L28" t="n">
        <v>16.8</v>
      </c>
    </row>
    <row r="29">
      <c r="A29" t="inlineStr">
        <is>
          <t>Tbaung Khmum</t>
        </is>
      </c>
      <c r="B29" t="n">
        <v>592.5</v>
      </c>
      <c r="C29" t="n">
        <v>19.4</v>
      </c>
      <c r="D29" t="n">
        <v>22.8</v>
      </c>
      <c r="E29" t="n">
        <v>3</v>
      </c>
      <c r="F29" t="n">
        <v>18.5</v>
      </c>
      <c r="G29" t="n">
        <v>12.4</v>
      </c>
      <c r="H29" t="n">
        <v>13.5</v>
      </c>
      <c r="I29" t="n">
        <v>27.5</v>
      </c>
      <c r="J29" t="n">
        <v>6.3</v>
      </c>
      <c r="K29" t="n">
        <v>45</v>
      </c>
      <c r="L29" t="n">
        <v>15</v>
      </c>
    </row>
    <row r="30">
      <c r="A30" t="inlineStr">
        <is>
          <t>Whole Kingdom</t>
        </is>
      </c>
      <c r="B30" t="n">
        <v>564.4</v>
      </c>
      <c r="C30" t="n">
        <v>24.3</v>
      </c>
      <c r="D30" t="n">
        <v>28.5</v>
      </c>
      <c r="E30" t="n">
        <v>3</v>
      </c>
      <c r="F30" t="n">
        <v>18</v>
      </c>
      <c r="G30" t="n">
        <v>11.8</v>
      </c>
      <c r="H30" t="n">
        <v>13.3</v>
      </c>
      <c r="I30" t="n">
        <v>25.5</v>
      </c>
      <c r="J30" t="n">
        <v>7.4</v>
      </c>
      <c r="K30" t="n">
        <v>50.8</v>
      </c>
      <c r="L30" t="n">
        <v>14.7</v>
      </c>
    </row>
    <row r="31">
      <c r="A31" t="inlineStr">
        <is>
          <t>-  Urban Area</t>
        </is>
      </c>
      <c r="B31" t="n">
        <v>1010</v>
      </c>
      <c r="C31" t="n">
        <v>52.3</v>
      </c>
      <c r="D31" t="n">
        <v>59.5</v>
      </c>
      <c r="E31" t="n">
        <v>4</v>
      </c>
      <c r="F31" t="n">
        <v>29.7</v>
      </c>
      <c r="G31" t="n">
        <v>19.2</v>
      </c>
      <c r="H31" t="n">
        <v>22.5</v>
      </c>
      <c r="I31" t="n">
        <v>38.5</v>
      </c>
      <c r="J31" t="n">
        <v>4.5</v>
      </c>
      <c r="K31" t="n">
        <v>32.8</v>
      </c>
      <c r="L31" t="n">
        <v>11.1</v>
      </c>
    </row>
    <row r="32">
      <c r="A32" t="inlineStr">
        <is>
          <t>-  Rural Area</t>
        </is>
      </c>
      <c r="B32" t="n">
        <v>495.1</v>
      </c>
      <c r="C32" t="n">
        <v>19.9</v>
      </c>
      <c r="D32" t="n">
        <v>23.6</v>
      </c>
      <c r="E32" t="n">
        <v>2.9</v>
      </c>
      <c r="F32" t="n">
        <v>16.2</v>
      </c>
      <c r="G32" t="n">
        <v>10.6</v>
      </c>
      <c r="H32" t="n">
        <v>11.9</v>
      </c>
      <c r="I32" t="n">
        <v>23.5</v>
      </c>
      <c r="J32" t="n">
        <v>7.8</v>
      </c>
      <c r="K32" t="n">
        <v>53.6</v>
      </c>
      <c r="L32" t="n">
        <v>15.2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7030A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9" customWidth="1" min="2" max="2"/>
    <col width="8.5703125" customWidth="1" min="3" max="3"/>
    <col width="10.85546875" customWidth="1" min="5" max="5"/>
    <col width="11.42578125" customWidth="1" min="8" max="8"/>
    <col width="8.42578125" customWidth="1" min="9" max="9"/>
    <col width="9.7109375" customWidth="1" min="10" max="10"/>
    <col width="11.42578125" customWidth="1" min="11" max="11"/>
  </cols>
  <sheetData>
    <row r="1">
      <c r="A1" t="inlineStr">
        <is>
          <t>Table 7: Indicators on Primary Students and Staff by Province</t>
        </is>
      </c>
    </row>
    <row r="2">
      <c r="A2" t="inlineStr">
        <is>
          <t>Province</t>
        </is>
      </c>
      <c r="B2" t="inlineStr">
        <is>
          <t>Pupil</t>
        </is>
      </c>
      <c r="C2" t="inlineStr">
        <is>
          <t>Pupil</t>
        </is>
      </c>
      <c r="D2" t="inlineStr">
        <is>
          <t>Pupil</t>
        </is>
      </c>
      <c r="E2" t="inlineStr">
        <is>
          <t>Pupil</t>
        </is>
      </c>
      <c r="F2" t="inlineStr">
        <is>
          <t>Classes</t>
        </is>
      </c>
      <c r="G2" t="inlineStr">
        <is>
          <t>Classroom</t>
        </is>
      </c>
      <c r="H2" t="inlineStr">
        <is>
          <t>Percentage of</t>
        </is>
      </c>
      <c r="J2" t="inlineStr">
        <is>
          <t>Percentage of Female in</t>
        </is>
      </c>
    </row>
    <row r="3">
      <c r="B3" t="inlineStr">
        <is>
          <t>Teacher</t>
        </is>
      </c>
      <c r="C3" t="inlineStr">
        <is>
          <t>Staff</t>
        </is>
      </c>
      <c r="D3" t="inlineStr">
        <is>
          <t>Class</t>
        </is>
      </c>
      <c r="E3" t="inlineStr">
        <is>
          <t>Classroom</t>
        </is>
      </c>
      <c r="F3" t="inlineStr">
        <is>
          <t>per</t>
        </is>
      </c>
      <c r="G3" t="inlineStr">
        <is>
          <t>Area (m2)</t>
        </is>
      </c>
      <c r="H3" t="inlineStr">
        <is>
          <t>Non-teaching</t>
        </is>
      </c>
      <c r="I3" t="inlineStr">
        <is>
          <t>Female</t>
        </is>
      </c>
      <c r="J3" t="inlineStr">
        <is>
          <t>Teaching</t>
        </is>
      </c>
      <c r="K3" t="inlineStr">
        <is>
          <t>Non-teaching</t>
        </is>
      </c>
    </row>
    <row r="4">
      <c r="B4" t="inlineStr">
        <is>
          <t>Ratio</t>
        </is>
      </c>
      <c r="C4" t="inlineStr">
        <is>
          <t>Ratio</t>
        </is>
      </c>
      <c r="D4" t="inlineStr">
        <is>
          <t>Ratio</t>
        </is>
      </c>
      <c r="E4" t="inlineStr">
        <is>
          <t>Ratio</t>
        </is>
      </c>
      <c r="F4" t="inlineStr">
        <is>
          <t>Classroom</t>
        </is>
      </c>
      <c r="G4" t="inlineStr">
        <is>
          <t>per Pupil</t>
        </is>
      </c>
      <c r="H4" t="inlineStr">
        <is>
          <t>Staff</t>
        </is>
      </c>
      <c r="I4" t="inlineStr">
        <is>
          <t>Staff</t>
        </is>
      </c>
      <c r="J4" t="inlineStr">
        <is>
          <t>Staff</t>
        </is>
      </c>
      <c r="K4" t="inlineStr">
        <is>
          <t>Staff</t>
        </is>
      </c>
    </row>
    <row r="5">
      <c r="A5" t="inlineStr">
        <is>
          <t>Banteay Meanchey</t>
        </is>
      </c>
      <c r="B5" t="n">
        <v>35.5</v>
      </c>
      <c r="C5" t="n">
        <v>29.4</v>
      </c>
      <c r="D5" t="n">
        <v>30.4</v>
      </c>
      <c r="E5" t="n">
        <v>41.2</v>
      </c>
      <c r="F5" t="n">
        <v>1.4</v>
      </c>
      <c r="G5" t="n">
        <v>1.4</v>
      </c>
      <c r="H5" t="n">
        <v>17.2</v>
      </c>
      <c r="I5" t="n">
        <v>52</v>
      </c>
      <c r="J5" t="n">
        <v>58.5</v>
      </c>
      <c r="K5" t="n">
        <v>21.1</v>
      </c>
    </row>
    <row r="6">
      <c r="A6" t="inlineStr">
        <is>
          <t>Battambang</t>
        </is>
      </c>
      <c r="B6" t="n">
        <v>47.2</v>
      </c>
      <c r="C6" t="n">
        <v>35.6</v>
      </c>
      <c r="D6" t="n">
        <v>31.4</v>
      </c>
      <c r="E6" t="n">
        <v>47.6</v>
      </c>
      <c r="F6" t="n">
        <v>1.5</v>
      </c>
      <c r="G6" t="n">
        <v>1.2</v>
      </c>
      <c r="H6" t="n">
        <v>24.6</v>
      </c>
      <c r="I6" t="n">
        <v>58.4</v>
      </c>
      <c r="J6" t="n">
        <v>64.8</v>
      </c>
      <c r="K6" t="n">
        <v>38.7</v>
      </c>
    </row>
    <row r="7">
      <c r="A7" t="inlineStr">
        <is>
          <t>Kampong Cham</t>
        </is>
      </c>
      <c r="B7" t="n">
        <v>54.4</v>
      </c>
      <c r="C7" t="n">
        <v>38.1</v>
      </c>
      <c r="D7" t="n">
        <v>34.6</v>
      </c>
      <c r="E7" t="n">
        <v>47</v>
      </c>
      <c r="F7" t="n">
        <v>1.4</v>
      </c>
      <c r="G7" t="n">
        <v>1.2</v>
      </c>
      <c r="H7" t="n">
        <v>30</v>
      </c>
      <c r="I7" t="n">
        <v>58.4</v>
      </c>
      <c r="J7" t="n">
        <v>65.8</v>
      </c>
      <c r="K7" t="n">
        <v>41.2</v>
      </c>
    </row>
    <row r="8">
      <c r="A8" t="inlineStr">
        <is>
          <t>Kampong Chhnang</t>
        </is>
      </c>
      <c r="B8" t="n">
        <v>41.5</v>
      </c>
      <c r="C8" t="n">
        <v>33.4</v>
      </c>
      <c r="D8" t="n">
        <v>32.7</v>
      </c>
      <c r="E8" t="n">
        <v>47.8</v>
      </c>
      <c r="F8" t="n">
        <v>1.5</v>
      </c>
      <c r="G8" t="n">
        <v>1.2</v>
      </c>
      <c r="H8" t="n">
        <v>19.6</v>
      </c>
      <c r="I8" t="n">
        <v>46.8</v>
      </c>
      <c r="J8" t="n">
        <v>51.6</v>
      </c>
      <c r="K8" t="n">
        <v>27.1</v>
      </c>
    </row>
    <row r="9">
      <c r="A9" t="inlineStr">
        <is>
          <t>Kampong Speu</t>
        </is>
      </c>
      <c r="B9" t="n">
        <v>50.1</v>
      </c>
      <c r="C9" t="n">
        <v>39.8</v>
      </c>
      <c r="D9" t="n">
        <v>37.6</v>
      </c>
      <c r="E9" t="n">
        <v>48.3</v>
      </c>
      <c r="F9" t="n">
        <v>1.3</v>
      </c>
      <c r="G9" t="n">
        <v>1.3</v>
      </c>
      <c r="H9" t="n">
        <v>20.5</v>
      </c>
      <c r="I9" t="n">
        <v>43</v>
      </c>
      <c r="J9" t="n">
        <v>48.6</v>
      </c>
      <c r="K9" t="n">
        <v>21.5</v>
      </c>
    </row>
    <row r="10">
      <c r="A10" t="inlineStr">
        <is>
          <t>Kampong Thom</t>
        </is>
      </c>
      <c r="B10" t="n">
        <v>41.8</v>
      </c>
      <c r="C10" t="n">
        <v>34.9</v>
      </c>
      <c r="D10" t="n">
        <v>29.4</v>
      </c>
      <c r="E10" t="n">
        <v>40.3</v>
      </c>
      <c r="F10" t="n">
        <v>1.4</v>
      </c>
      <c r="G10" t="n">
        <v>1.5</v>
      </c>
      <c r="H10" t="n">
        <v>16.5</v>
      </c>
      <c r="I10" t="n">
        <v>54</v>
      </c>
      <c r="J10" t="n">
        <v>58.8</v>
      </c>
      <c r="K10" t="n">
        <v>29.3</v>
      </c>
    </row>
    <row r="11">
      <c r="A11" t="inlineStr">
        <is>
          <t>Kampot</t>
        </is>
      </c>
      <c r="B11" t="n">
        <v>33.8</v>
      </c>
      <c r="C11" t="n">
        <v>27.4</v>
      </c>
      <c r="D11" t="n">
        <v>31.6</v>
      </c>
      <c r="E11" t="n">
        <v>38.9</v>
      </c>
      <c r="F11" t="n">
        <v>1.2</v>
      </c>
      <c r="G11" t="n">
        <v>1.5</v>
      </c>
      <c r="H11" t="n">
        <v>19.2</v>
      </c>
      <c r="I11" t="n">
        <v>46.9</v>
      </c>
      <c r="J11" t="n">
        <v>53.2</v>
      </c>
      <c r="K11" t="n">
        <v>20.2</v>
      </c>
    </row>
    <row r="12">
      <c r="A12" t="inlineStr">
        <is>
          <t>Kandal</t>
        </is>
      </c>
      <c r="B12" t="n">
        <v>66.7</v>
      </c>
      <c r="C12" t="n">
        <v>49.9</v>
      </c>
      <c r="D12" t="n">
        <v>37.4</v>
      </c>
      <c r="E12" t="n">
        <v>49.2</v>
      </c>
      <c r="F12" t="n">
        <v>1.3</v>
      </c>
      <c r="G12" t="n">
        <v>1.3</v>
      </c>
      <c r="H12" t="n">
        <v>25.2</v>
      </c>
      <c r="I12" t="n">
        <v>55.8</v>
      </c>
      <c r="J12" t="n">
        <v>65.3</v>
      </c>
      <c r="K12" t="n">
        <v>27.7</v>
      </c>
    </row>
    <row r="13">
      <c r="A13" t="inlineStr">
        <is>
          <t>Kep</t>
        </is>
      </c>
      <c r="B13" t="n">
        <v>27.5</v>
      </c>
      <c r="C13" t="n">
        <v>21</v>
      </c>
      <c r="D13" t="n">
        <v>30</v>
      </c>
      <c r="E13" t="n">
        <v>37.5</v>
      </c>
      <c r="F13" t="n">
        <v>1.3</v>
      </c>
      <c r="G13" t="n">
        <v>1.6</v>
      </c>
      <c r="H13" t="n">
        <v>23.8</v>
      </c>
      <c r="I13" t="n">
        <v>48.7</v>
      </c>
      <c r="J13" t="n">
        <v>58.8</v>
      </c>
      <c r="K13" t="n">
        <v>16.1</v>
      </c>
    </row>
    <row r="14">
      <c r="A14" t="inlineStr">
        <is>
          <t>Koh Kong</t>
        </is>
      </c>
      <c r="B14" t="n">
        <v>25.8</v>
      </c>
      <c r="C14" t="n">
        <v>22.1</v>
      </c>
      <c r="D14" t="n">
        <v>20.9</v>
      </c>
      <c r="E14" t="n">
        <v>31.1</v>
      </c>
      <c r="F14" t="n">
        <v>1.5</v>
      </c>
      <c r="G14" t="n">
        <v>1.9</v>
      </c>
      <c r="H14" t="n">
        <v>14.4</v>
      </c>
      <c r="I14" t="n">
        <v>48.9</v>
      </c>
      <c r="J14" t="n">
        <v>52.5</v>
      </c>
      <c r="K14" t="n">
        <v>27.7</v>
      </c>
    </row>
    <row r="15">
      <c r="A15" t="inlineStr">
        <is>
          <t>Kratie</t>
        </is>
      </c>
      <c r="B15" t="n">
        <v>41.4</v>
      </c>
      <c r="C15" t="n">
        <v>35.5</v>
      </c>
      <c r="D15" t="n">
        <v>28.2</v>
      </c>
      <c r="E15" t="n">
        <v>43.7</v>
      </c>
      <c r="F15" t="n">
        <v>1.6</v>
      </c>
      <c r="G15" t="n">
        <v>1.3</v>
      </c>
      <c r="H15" t="n">
        <v>14.3</v>
      </c>
      <c r="I15" t="n">
        <v>63.3</v>
      </c>
      <c r="J15" t="n">
        <v>67.8</v>
      </c>
      <c r="K15" t="n">
        <v>36.2</v>
      </c>
    </row>
    <row r="16">
      <c r="A16" t="inlineStr">
        <is>
          <t>Mondul Kiri</t>
        </is>
      </c>
      <c r="B16" t="n">
        <v>24.1</v>
      </c>
      <c r="C16" t="n">
        <v>22.5</v>
      </c>
      <c r="D16" t="n">
        <v>22.2</v>
      </c>
      <c r="E16" t="n">
        <v>31.3</v>
      </c>
      <c r="F16" t="n">
        <v>1.4</v>
      </c>
      <c r="G16" t="n">
        <v>2</v>
      </c>
      <c r="H16" t="n">
        <v>6.7</v>
      </c>
      <c r="I16" t="n">
        <v>51</v>
      </c>
      <c r="J16" t="n">
        <v>53.2</v>
      </c>
      <c r="K16" t="n">
        <v>20</v>
      </c>
    </row>
    <row r="17">
      <c r="A17" t="inlineStr">
        <is>
          <t>Otdar Meanchey</t>
        </is>
      </c>
      <c r="B17" t="n">
        <v>38.5</v>
      </c>
      <c r="C17" t="n">
        <v>30.3</v>
      </c>
      <c r="D17" t="n">
        <v>24.2</v>
      </c>
      <c r="E17" t="n">
        <v>35.2</v>
      </c>
      <c r="F17" t="n">
        <v>1.5</v>
      </c>
      <c r="G17" t="n">
        <v>1.6</v>
      </c>
      <c r="H17" t="n">
        <v>21.5</v>
      </c>
      <c r="I17" t="n">
        <v>43.6</v>
      </c>
      <c r="J17" t="n">
        <v>48.2</v>
      </c>
      <c r="K17" t="n">
        <v>26.7</v>
      </c>
    </row>
    <row r="18">
      <c r="A18" t="inlineStr">
        <is>
          <t>Pailin</t>
        </is>
      </c>
      <c r="B18" t="n">
        <v>33</v>
      </c>
      <c r="C18" t="n">
        <v>28.6</v>
      </c>
      <c r="D18" t="n">
        <v>27.1</v>
      </c>
      <c r="E18" t="n">
        <v>38.2</v>
      </c>
      <c r="F18" t="n">
        <v>1.4</v>
      </c>
      <c r="G18" t="n">
        <v>1.6</v>
      </c>
      <c r="H18" t="n">
        <v>13.3</v>
      </c>
      <c r="I18" t="n">
        <v>54.8</v>
      </c>
      <c r="J18" t="n">
        <v>57.2</v>
      </c>
      <c r="K18" t="n">
        <v>39.1</v>
      </c>
    </row>
    <row r="19">
      <c r="A19" t="inlineStr">
        <is>
          <t>Phnom Penh</t>
        </is>
      </c>
      <c r="B19" t="n">
        <v>42.3</v>
      </c>
      <c r="C19" t="n">
        <v>36.2</v>
      </c>
      <c r="D19" t="n">
        <v>43.3</v>
      </c>
      <c r="E19" t="n">
        <v>60</v>
      </c>
      <c r="F19" t="n">
        <v>1.4</v>
      </c>
      <c r="G19" t="n">
        <v>1</v>
      </c>
      <c r="H19" t="n">
        <v>14.5</v>
      </c>
      <c r="I19" t="n">
        <v>70.59999999999999</v>
      </c>
      <c r="J19" t="n">
        <v>75.09999999999999</v>
      </c>
      <c r="K19" t="n">
        <v>43.4</v>
      </c>
    </row>
    <row r="20">
      <c r="A20" t="inlineStr">
        <is>
          <t>Preah Sihanouk</t>
        </is>
      </c>
      <c r="B20" t="n">
        <v>34.1</v>
      </c>
      <c r="C20" t="n">
        <v>28.3</v>
      </c>
      <c r="D20" t="n">
        <v>34.4</v>
      </c>
      <c r="E20" t="n">
        <v>42.5</v>
      </c>
      <c r="F20" t="n">
        <v>1.2</v>
      </c>
      <c r="G20" t="n">
        <v>1.3</v>
      </c>
      <c r="H20" t="n">
        <v>17</v>
      </c>
      <c r="I20" t="n">
        <v>54.7</v>
      </c>
      <c r="J20" t="n">
        <v>58.9</v>
      </c>
      <c r="K20" t="n">
        <v>33.7</v>
      </c>
    </row>
    <row r="21">
      <c r="A21" t="inlineStr">
        <is>
          <t>Preah Vihear</t>
        </is>
      </c>
      <c r="B21" t="n">
        <v>29.9</v>
      </c>
      <c r="C21" t="n">
        <v>24.7</v>
      </c>
      <c r="D21" t="n">
        <v>23.4</v>
      </c>
      <c r="E21" t="n">
        <v>31.2</v>
      </c>
      <c r="F21" t="n">
        <v>1.3</v>
      </c>
      <c r="G21" t="n">
        <v>1.8</v>
      </c>
      <c r="H21" t="n">
        <v>17.4</v>
      </c>
      <c r="I21" t="n">
        <v>50.9</v>
      </c>
      <c r="J21" t="n">
        <v>55.6</v>
      </c>
      <c r="K21" t="n">
        <v>28.7</v>
      </c>
    </row>
    <row r="22">
      <c r="A22" t="inlineStr">
        <is>
          <t>Prey Veng</t>
        </is>
      </c>
      <c r="B22" t="n">
        <v>53.6</v>
      </c>
      <c r="C22" t="n">
        <v>36.6</v>
      </c>
      <c r="D22" t="n">
        <v>32.5</v>
      </c>
      <c r="E22" t="n">
        <v>41.9</v>
      </c>
      <c r="F22" t="n">
        <v>1.3</v>
      </c>
      <c r="G22" t="n">
        <v>1.4</v>
      </c>
      <c r="H22" t="n">
        <v>31.7</v>
      </c>
      <c r="I22" t="n">
        <v>43.6</v>
      </c>
      <c r="J22" t="n">
        <v>51.1</v>
      </c>
      <c r="K22" t="n">
        <v>27.4</v>
      </c>
    </row>
    <row r="23">
      <c r="A23" t="inlineStr">
        <is>
          <t>Pursat</t>
        </is>
      </c>
      <c r="B23" t="n">
        <v>48.6</v>
      </c>
      <c r="C23" t="n">
        <v>37</v>
      </c>
      <c r="D23" t="n">
        <v>30.7</v>
      </c>
      <c r="E23" t="n">
        <v>43.8</v>
      </c>
      <c r="F23" t="n">
        <v>1.4</v>
      </c>
      <c r="G23" t="n">
        <v>1.3</v>
      </c>
      <c r="H23" t="n">
        <v>23.9</v>
      </c>
      <c r="I23" t="n">
        <v>49.6</v>
      </c>
      <c r="J23" t="n">
        <v>56.1</v>
      </c>
      <c r="K23" t="n">
        <v>28.9</v>
      </c>
    </row>
    <row r="24">
      <c r="A24" t="inlineStr">
        <is>
          <t>Ratanak Kiri</t>
        </is>
      </c>
      <c r="B24" t="n">
        <v>46.2</v>
      </c>
      <c r="C24" t="n">
        <v>41.8</v>
      </c>
      <c r="D24" t="n">
        <v>27</v>
      </c>
      <c r="E24" t="n">
        <v>42.5</v>
      </c>
      <c r="F24" t="n">
        <v>1.6</v>
      </c>
      <c r="G24" t="n">
        <v>1.4</v>
      </c>
      <c r="H24" t="n">
        <v>9.6</v>
      </c>
      <c r="I24" t="n">
        <v>46.7</v>
      </c>
      <c r="J24" t="n">
        <v>49</v>
      </c>
      <c r="K24" t="n">
        <v>25.3</v>
      </c>
    </row>
    <row r="25">
      <c r="A25" t="inlineStr">
        <is>
          <t>Siemreap</t>
        </is>
      </c>
      <c r="B25" t="n">
        <v>55</v>
      </c>
      <c r="C25" t="n">
        <v>38.8</v>
      </c>
      <c r="D25" t="n">
        <v>35.1</v>
      </c>
      <c r="E25" t="n">
        <v>50.6</v>
      </c>
      <c r="F25" t="n">
        <v>1.4</v>
      </c>
      <c r="G25" t="n">
        <v>1.1</v>
      </c>
      <c r="H25" t="n">
        <v>29.4</v>
      </c>
      <c r="I25" t="n">
        <v>62.5</v>
      </c>
      <c r="J25" t="n">
        <v>70.59999999999999</v>
      </c>
      <c r="K25" t="n">
        <v>43.2</v>
      </c>
    </row>
    <row r="26">
      <c r="A26" t="inlineStr">
        <is>
          <t>Stung Treng</t>
        </is>
      </c>
      <c r="B26" t="n">
        <v>33.4</v>
      </c>
      <c r="C26" t="n">
        <v>29</v>
      </c>
      <c r="D26" t="n">
        <v>18.8</v>
      </c>
      <c r="E26" t="n">
        <v>35.1</v>
      </c>
      <c r="F26" t="n">
        <v>1.9</v>
      </c>
      <c r="G26" t="n">
        <v>1.6</v>
      </c>
      <c r="H26" t="n">
        <v>13.1</v>
      </c>
      <c r="I26" t="n">
        <v>58.4</v>
      </c>
      <c r="J26" t="n">
        <v>63.1</v>
      </c>
      <c r="K26" t="n">
        <v>27</v>
      </c>
    </row>
    <row r="27">
      <c r="A27" t="inlineStr">
        <is>
          <t>Svay Rieng</t>
        </is>
      </c>
      <c r="B27" t="n">
        <v>46.6</v>
      </c>
      <c r="C27" t="n">
        <v>34.5</v>
      </c>
      <c r="D27" t="n">
        <v>33.2</v>
      </c>
      <c r="E27" t="n">
        <v>40.6</v>
      </c>
      <c r="F27" t="n">
        <v>1.2</v>
      </c>
      <c r="G27" t="n">
        <v>1.4</v>
      </c>
      <c r="H27" t="n">
        <v>26</v>
      </c>
      <c r="I27" t="n">
        <v>38.1</v>
      </c>
      <c r="J27" t="n">
        <v>44</v>
      </c>
      <c r="K27" t="n">
        <v>21.4</v>
      </c>
    </row>
    <row r="28">
      <c r="A28" t="inlineStr">
        <is>
          <t>Takeo</t>
        </is>
      </c>
      <c r="B28" t="n">
        <v>41</v>
      </c>
      <c r="C28" t="n">
        <v>30.1</v>
      </c>
      <c r="D28" t="n">
        <v>32.4</v>
      </c>
      <c r="E28" t="n">
        <v>36.7</v>
      </c>
      <c r="F28" t="n">
        <v>1.1</v>
      </c>
      <c r="G28" t="n">
        <v>1.7</v>
      </c>
      <c r="H28" t="n">
        <v>26.5</v>
      </c>
      <c r="I28" t="n">
        <v>39.7</v>
      </c>
      <c r="J28" t="n">
        <v>45.9</v>
      </c>
      <c r="K28" t="n">
        <v>22.3</v>
      </c>
    </row>
    <row r="29">
      <c r="A29" t="inlineStr">
        <is>
          <t>Tbaung Khmum</t>
        </is>
      </c>
      <c r="B29" t="n">
        <v>52</v>
      </c>
      <c r="C29" t="n">
        <v>39.9</v>
      </c>
      <c r="D29" t="n">
        <v>33.2</v>
      </c>
      <c r="E29" t="n">
        <v>46</v>
      </c>
      <c r="F29" t="n">
        <v>1.4</v>
      </c>
      <c r="G29" t="n">
        <v>1.2</v>
      </c>
      <c r="H29" t="n">
        <v>23.2</v>
      </c>
      <c r="I29" t="n">
        <v>55</v>
      </c>
      <c r="J29" t="n">
        <v>62.1</v>
      </c>
      <c r="K29" t="n">
        <v>31.8</v>
      </c>
    </row>
    <row r="30">
      <c r="A30" t="inlineStr">
        <is>
          <t>Whole Kingdom</t>
        </is>
      </c>
      <c r="B30" t="n">
        <v>45.1</v>
      </c>
      <c r="C30" t="n">
        <v>35.1</v>
      </c>
      <c r="D30" t="n">
        <v>32.2</v>
      </c>
      <c r="E30" t="n">
        <v>44.1</v>
      </c>
      <c r="F30" t="n">
        <v>1.4</v>
      </c>
      <c r="G30" t="n">
        <v>1.3</v>
      </c>
      <c r="H30" t="n">
        <v>22.2</v>
      </c>
      <c r="I30" t="n">
        <v>52.7</v>
      </c>
      <c r="J30" t="n">
        <v>58.9</v>
      </c>
      <c r="K30" t="n">
        <v>30.9</v>
      </c>
    </row>
    <row r="31">
      <c r="A31" t="inlineStr">
        <is>
          <t>-  Urban Area</t>
        </is>
      </c>
      <c r="B31" t="n">
        <v>39.3</v>
      </c>
      <c r="C31" t="n">
        <v>32.3</v>
      </c>
      <c r="D31" t="n">
        <v>38.2</v>
      </c>
      <c r="E31" t="n">
        <v>51.4</v>
      </c>
      <c r="F31" t="n">
        <v>1.3</v>
      </c>
      <c r="G31" t="n">
        <v>1.1</v>
      </c>
      <c r="H31" t="n">
        <v>17.7</v>
      </c>
      <c r="I31" t="n">
        <v>65.90000000000001</v>
      </c>
      <c r="J31" t="n">
        <v>71.09999999999999</v>
      </c>
      <c r="K31" t="n">
        <v>41.7</v>
      </c>
    </row>
    <row r="32">
      <c r="A32" t="inlineStr">
        <is>
          <t>-  Rural Area</t>
        </is>
      </c>
      <c r="B32" t="n">
        <v>46.5</v>
      </c>
      <c r="C32" t="n">
        <v>35.7</v>
      </c>
      <c r="D32" t="n">
        <v>31.2</v>
      </c>
      <c r="E32" t="n">
        <v>42.8</v>
      </c>
      <c r="F32" t="n">
        <v>1.4</v>
      </c>
      <c r="G32" t="n">
        <v>1.4</v>
      </c>
      <c r="H32" t="n">
        <v>23.2</v>
      </c>
      <c r="I32" t="n">
        <v>49.7</v>
      </c>
      <c r="J32" t="n">
        <v>55.9</v>
      </c>
      <c r="K32" t="n">
        <v>29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7030A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7.42578125" customWidth="1" min="2" max="2"/>
    <col width="8.85546875" customWidth="1" min="4" max="4"/>
    <col width="7.42578125" customWidth="1" min="5" max="5"/>
    <col width="8.85546875" customWidth="1" min="6" max="6"/>
    <col width="7.42578125" customWidth="1" min="7" max="7"/>
    <col width="7.140625" customWidth="1" min="10" max="10"/>
    <col width="6.7109375" customWidth="1" min="11" max="11"/>
    <col width="7.5703125" customWidth="1" min="12" max="12"/>
  </cols>
  <sheetData>
    <row r="1">
      <c r="A1" t="inlineStr">
        <is>
          <t>Table 27: School-Going Age Population and Respective Sex-Ratios</t>
        </is>
      </c>
    </row>
    <row r="2">
      <c r="A2" t="inlineStr">
        <is>
          <t>Province</t>
        </is>
      </c>
      <c r="B2" t="inlineStr">
        <is>
          <t>Aged 6</t>
        </is>
      </c>
      <c r="D2" t="inlineStr">
        <is>
          <t>Aged 6-11</t>
        </is>
      </c>
      <c r="F2" t="inlineStr">
        <is>
          <t>Aged 12-14</t>
        </is>
      </c>
      <c r="H2" t="inlineStr">
        <is>
          <t>Aged 15-17</t>
        </is>
      </c>
      <c r="J2" t="inlineStr">
        <is>
          <t>Sex-Ratio of Population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Aged 6</t>
        </is>
      </c>
      <c r="K3" t="inlineStr">
        <is>
          <t>6-11</t>
        </is>
      </c>
      <c r="L3" t="inlineStr">
        <is>
          <t>12-14</t>
        </is>
      </c>
      <c r="M3" t="inlineStr">
        <is>
          <t>15-17</t>
        </is>
      </c>
    </row>
    <row r="4">
      <c r="A4" t="inlineStr">
        <is>
          <t>Banteay Meanchey</t>
        </is>
      </c>
      <c r="B4" t="n">
        <v>17727</v>
      </c>
      <c r="C4" t="n">
        <v>8478</v>
      </c>
      <c r="D4" t="n">
        <v>101813</v>
      </c>
      <c r="E4" t="n">
        <v>48706</v>
      </c>
      <c r="F4" t="n">
        <v>56835</v>
      </c>
      <c r="G4" t="n">
        <v>27156</v>
      </c>
      <c r="H4" t="n">
        <v>54605</v>
      </c>
      <c r="I4" t="n">
        <v>26216</v>
      </c>
      <c r="J4" t="n">
        <v>109.1</v>
      </c>
      <c r="K4" t="n">
        <v>109</v>
      </c>
      <c r="L4" t="n">
        <v>109.3</v>
      </c>
      <c r="M4" t="n">
        <v>108.3</v>
      </c>
    </row>
    <row r="5">
      <c r="A5" t="inlineStr">
        <is>
          <t>Battambang</t>
        </is>
      </c>
      <c r="B5" t="n">
        <v>20510</v>
      </c>
      <c r="C5" t="n">
        <v>9910</v>
      </c>
      <c r="D5" t="n">
        <v>117792</v>
      </c>
      <c r="E5" t="n">
        <v>56932</v>
      </c>
      <c r="F5" t="n">
        <v>65755</v>
      </c>
      <c r="G5" t="n">
        <v>31743</v>
      </c>
      <c r="H5" t="n">
        <v>63174</v>
      </c>
      <c r="I5" t="n">
        <v>30642</v>
      </c>
      <c r="J5" t="n">
        <v>107</v>
      </c>
      <c r="K5" t="n">
        <v>106.9</v>
      </c>
      <c r="L5" t="n">
        <v>107.1</v>
      </c>
      <c r="M5" t="n">
        <v>106.2</v>
      </c>
    </row>
    <row r="6">
      <c r="A6" t="inlineStr">
        <is>
          <t>Kampong Cham</t>
        </is>
      </c>
      <c r="B6" t="n">
        <v>18506</v>
      </c>
      <c r="C6" t="n">
        <v>9183</v>
      </c>
      <c r="D6" t="n">
        <v>106284</v>
      </c>
      <c r="E6" t="n">
        <v>52758</v>
      </c>
      <c r="F6" t="n">
        <v>59331</v>
      </c>
      <c r="G6" t="n">
        <v>29418</v>
      </c>
      <c r="H6" t="n">
        <v>57003</v>
      </c>
      <c r="I6" t="n">
        <v>28390</v>
      </c>
      <c r="J6" t="n">
        <v>101.5</v>
      </c>
      <c r="K6" t="n">
        <v>101.5</v>
      </c>
      <c r="L6" t="n">
        <v>101.7</v>
      </c>
      <c r="M6" t="n">
        <v>100.8</v>
      </c>
    </row>
    <row r="7">
      <c r="A7" t="inlineStr">
        <is>
          <t>Kampong Chhnang</t>
        </is>
      </c>
      <c r="B7" t="n">
        <v>10839</v>
      </c>
      <c r="C7" t="n">
        <v>5389</v>
      </c>
      <c r="D7" t="n">
        <v>62253</v>
      </c>
      <c r="E7" t="n">
        <v>30957</v>
      </c>
      <c r="F7" t="n">
        <v>34752</v>
      </c>
      <c r="G7" t="n">
        <v>17262</v>
      </c>
      <c r="H7" t="n">
        <v>33388</v>
      </c>
      <c r="I7" t="n">
        <v>16659</v>
      </c>
      <c r="J7" t="n">
        <v>101.2</v>
      </c>
      <c r="K7" t="n">
        <v>101.1</v>
      </c>
      <c r="L7" t="n">
        <v>101.3</v>
      </c>
      <c r="M7" t="n">
        <v>100.4</v>
      </c>
    </row>
    <row r="8">
      <c r="A8" t="inlineStr">
        <is>
          <t>Kampong Speu</t>
        </is>
      </c>
      <c r="B8" t="n">
        <v>18048</v>
      </c>
      <c r="C8" t="n">
        <v>8860</v>
      </c>
      <c r="D8" t="n">
        <v>103656</v>
      </c>
      <c r="E8" t="n">
        <v>50902</v>
      </c>
      <c r="F8" t="n">
        <v>57864</v>
      </c>
      <c r="G8" t="n">
        <v>28382</v>
      </c>
      <c r="H8" t="n">
        <v>55593</v>
      </c>
      <c r="I8" t="n">
        <v>27393</v>
      </c>
      <c r="J8" t="n">
        <v>103.7</v>
      </c>
      <c r="K8" t="n">
        <v>103.6</v>
      </c>
      <c r="L8" t="n">
        <v>103.9</v>
      </c>
      <c r="M8" t="n">
        <v>102.9</v>
      </c>
    </row>
    <row r="9">
      <c r="A9" t="inlineStr">
        <is>
          <t>Kampong Thom</t>
        </is>
      </c>
      <c r="B9" t="n">
        <v>14018</v>
      </c>
      <c r="C9" t="n">
        <v>6872</v>
      </c>
      <c r="D9" t="n">
        <v>80507</v>
      </c>
      <c r="E9" t="n">
        <v>39480</v>
      </c>
      <c r="F9" t="n">
        <v>44942</v>
      </c>
      <c r="G9" t="n">
        <v>22014</v>
      </c>
      <c r="H9" t="n">
        <v>43178</v>
      </c>
      <c r="I9" t="n">
        <v>21247</v>
      </c>
      <c r="J9" t="n">
        <v>104</v>
      </c>
      <c r="K9" t="n">
        <v>103.9</v>
      </c>
      <c r="L9" t="n">
        <v>104.2</v>
      </c>
      <c r="M9" t="n">
        <v>103.2</v>
      </c>
    </row>
    <row r="10">
      <c r="A10" t="inlineStr">
        <is>
          <t>Kampot</t>
        </is>
      </c>
      <c r="B10" t="n">
        <v>12213</v>
      </c>
      <c r="C10" t="n">
        <v>5997</v>
      </c>
      <c r="D10" t="n">
        <v>70145</v>
      </c>
      <c r="E10" t="n">
        <v>34456</v>
      </c>
      <c r="F10" t="n">
        <v>39157</v>
      </c>
      <c r="G10" t="n">
        <v>19212</v>
      </c>
      <c r="H10" t="n">
        <v>37620</v>
      </c>
      <c r="I10" t="n">
        <v>18543</v>
      </c>
      <c r="J10" t="n">
        <v>103.6</v>
      </c>
      <c r="K10" t="n">
        <v>103.6</v>
      </c>
      <c r="L10" t="n">
        <v>103.8</v>
      </c>
      <c r="M10" t="n">
        <v>102.9</v>
      </c>
    </row>
    <row r="11">
      <c r="A11" t="inlineStr">
        <is>
          <t>Kandal</t>
        </is>
      </c>
      <c r="B11" t="n">
        <v>24713</v>
      </c>
      <c r="C11" t="n">
        <v>12143</v>
      </c>
      <c r="D11" t="n">
        <v>141934</v>
      </c>
      <c r="E11" t="n">
        <v>69764</v>
      </c>
      <c r="F11" t="n">
        <v>79233</v>
      </c>
      <c r="G11" t="n">
        <v>38900</v>
      </c>
      <c r="H11" t="n">
        <v>76123</v>
      </c>
      <c r="I11" t="n">
        <v>37544</v>
      </c>
      <c r="J11" t="n">
        <v>103.5</v>
      </c>
      <c r="K11" t="n">
        <v>103.4</v>
      </c>
      <c r="L11" t="n">
        <v>103.7</v>
      </c>
      <c r="M11" t="n">
        <v>102.8</v>
      </c>
    </row>
    <row r="12">
      <c r="A12" t="inlineStr">
        <is>
          <t>Kep</t>
        </is>
      </c>
      <c r="B12" t="n">
        <v>878</v>
      </c>
      <c r="C12" t="n">
        <v>422</v>
      </c>
      <c r="D12" t="n">
        <v>5040</v>
      </c>
      <c r="E12" t="n">
        <v>2426</v>
      </c>
      <c r="F12" t="n">
        <v>2813</v>
      </c>
      <c r="G12" t="n">
        <v>1353</v>
      </c>
      <c r="H12" t="n">
        <v>2703</v>
      </c>
      <c r="I12" t="n">
        <v>1306</v>
      </c>
      <c r="J12" t="n">
        <v>107.8</v>
      </c>
      <c r="K12" t="n">
        <v>107.8</v>
      </c>
      <c r="L12" t="n">
        <v>108</v>
      </c>
      <c r="M12" t="n">
        <v>107</v>
      </c>
    </row>
    <row r="13">
      <c r="A13" t="inlineStr">
        <is>
          <t>Koh Kong</t>
        </is>
      </c>
      <c r="B13" t="n">
        <v>2590</v>
      </c>
      <c r="C13" t="n">
        <v>1218</v>
      </c>
      <c r="D13" t="n">
        <v>14873</v>
      </c>
      <c r="E13" t="n">
        <v>7000</v>
      </c>
      <c r="F13" t="n">
        <v>8303</v>
      </c>
      <c r="G13" t="n">
        <v>3903</v>
      </c>
      <c r="H13" t="n">
        <v>7977</v>
      </c>
      <c r="I13" t="n">
        <v>3768</v>
      </c>
      <c r="J13" t="n">
        <v>112.5</v>
      </c>
      <c r="K13" t="n">
        <v>112.5</v>
      </c>
      <c r="L13" t="n">
        <v>112.7</v>
      </c>
      <c r="M13" t="n">
        <v>111.7</v>
      </c>
    </row>
    <row r="14">
      <c r="A14" t="inlineStr">
        <is>
          <t>Kratie</t>
        </is>
      </c>
      <c r="B14" t="n">
        <v>7708</v>
      </c>
      <c r="C14" t="n">
        <v>3674</v>
      </c>
      <c r="D14" t="n">
        <v>44269</v>
      </c>
      <c r="E14" t="n">
        <v>21106</v>
      </c>
      <c r="F14" t="n">
        <v>24713</v>
      </c>
      <c r="G14" t="n">
        <v>11768</v>
      </c>
      <c r="H14" t="n">
        <v>23743</v>
      </c>
      <c r="I14" t="n">
        <v>11361</v>
      </c>
      <c r="J14" t="n">
        <v>109.8</v>
      </c>
      <c r="K14" t="n">
        <v>109.8</v>
      </c>
      <c r="L14" t="n">
        <v>110</v>
      </c>
      <c r="M14" t="n">
        <v>109</v>
      </c>
    </row>
    <row r="15">
      <c r="A15" t="inlineStr">
        <is>
          <t>Mondul Kiri</t>
        </is>
      </c>
      <c r="B15" t="n">
        <v>1897</v>
      </c>
      <c r="C15" t="n">
        <v>876</v>
      </c>
      <c r="D15" t="n">
        <v>10894</v>
      </c>
      <c r="E15" t="n">
        <v>5031</v>
      </c>
      <c r="F15" t="n">
        <v>6081</v>
      </c>
      <c r="G15" t="n">
        <v>2805</v>
      </c>
      <c r="H15" t="n">
        <v>5842</v>
      </c>
      <c r="I15" t="n">
        <v>2709</v>
      </c>
      <c r="J15" t="n">
        <v>116.6</v>
      </c>
      <c r="K15" t="n">
        <v>116.5</v>
      </c>
      <c r="L15" t="n">
        <v>116.8</v>
      </c>
      <c r="M15" t="n">
        <v>115.7</v>
      </c>
    </row>
    <row r="16">
      <c r="A16" t="inlineStr">
        <is>
          <t>Otdar Meanchey</t>
        </is>
      </c>
      <c r="B16" t="n">
        <v>5678</v>
      </c>
      <c r="C16" t="n">
        <v>2665</v>
      </c>
      <c r="D16" t="n">
        <v>32609</v>
      </c>
      <c r="E16" t="n">
        <v>15313</v>
      </c>
      <c r="F16" t="n">
        <v>18203</v>
      </c>
      <c r="G16" t="n">
        <v>8537</v>
      </c>
      <c r="H16" t="n">
        <v>17489</v>
      </c>
      <c r="I16" t="n">
        <v>8243</v>
      </c>
      <c r="J16" t="n">
        <v>113</v>
      </c>
      <c r="K16" t="n">
        <v>113</v>
      </c>
      <c r="L16" t="n">
        <v>113.2</v>
      </c>
      <c r="M16" t="n">
        <v>112.2</v>
      </c>
    </row>
    <row r="17">
      <c r="A17" t="inlineStr">
        <is>
          <t>Pailin</t>
        </is>
      </c>
      <c r="B17" t="n">
        <v>1545</v>
      </c>
      <c r="C17" t="n">
        <v>721</v>
      </c>
      <c r="D17" t="n">
        <v>8873</v>
      </c>
      <c r="E17" t="n">
        <v>4145</v>
      </c>
      <c r="F17" t="n">
        <v>4953</v>
      </c>
      <c r="G17" t="n">
        <v>2311</v>
      </c>
      <c r="H17" t="n">
        <v>4759</v>
      </c>
      <c r="I17" t="n">
        <v>2232</v>
      </c>
      <c r="J17" t="n">
        <v>114.1</v>
      </c>
      <c r="K17" t="n">
        <v>114.1</v>
      </c>
      <c r="L17" t="n">
        <v>114.3</v>
      </c>
      <c r="M17" t="n">
        <v>113.3</v>
      </c>
    </row>
    <row r="18">
      <c r="A18" t="inlineStr">
        <is>
          <t>Phnom Penh</t>
        </is>
      </c>
      <c r="B18" t="n">
        <v>46933</v>
      </c>
      <c r="C18" t="n">
        <v>23036</v>
      </c>
      <c r="D18" t="n">
        <v>269551</v>
      </c>
      <c r="E18" t="n">
        <v>132341</v>
      </c>
      <c r="F18" t="n">
        <v>150473</v>
      </c>
      <c r="G18" t="n">
        <v>73792</v>
      </c>
      <c r="H18" t="n">
        <v>144566</v>
      </c>
      <c r="I18" t="n">
        <v>71221</v>
      </c>
      <c r="J18" t="n">
        <v>103.7</v>
      </c>
      <c r="K18" t="n">
        <v>103.7</v>
      </c>
      <c r="L18" t="n">
        <v>103.9</v>
      </c>
      <c r="M18" t="n">
        <v>103</v>
      </c>
    </row>
    <row r="19">
      <c r="A19" t="inlineStr">
        <is>
          <t>Preah Sihanouk</t>
        </is>
      </c>
      <c r="B19" t="n">
        <v>6378</v>
      </c>
      <c r="C19" t="n">
        <v>2888</v>
      </c>
      <c r="D19" t="n">
        <v>36632</v>
      </c>
      <c r="E19" t="n">
        <v>16595</v>
      </c>
      <c r="F19" t="n">
        <v>20449</v>
      </c>
      <c r="G19" t="n">
        <v>9251</v>
      </c>
      <c r="H19" t="n">
        <v>19646</v>
      </c>
      <c r="I19" t="n">
        <v>8936</v>
      </c>
      <c r="J19" t="n">
        <v>120.8</v>
      </c>
      <c r="K19" t="n">
        <v>120.7</v>
      </c>
      <c r="L19" t="n">
        <v>121</v>
      </c>
      <c r="M19" t="n">
        <v>119.9</v>
      </c>
    </row>
    <row r="20">
      <c r="A20" t="inlineStr">
        <is>
          <t>Preah Vihear</t>
        </is>
      </c>
      <c r="B20" t="n">
        <v>5241</v>
      </c>
      <c r="C20" t="n">
        <v>2465</v>
      </c>
      <c r="D20" t="n">
        <v>30103</v>
      </c>
      <c r="E20" t="n">
        <v>14165</v>
      </c>
      <c r="F20" t="n">
        <v>16805</v>
      </c>
      <c r="G20" t="n">
        <v>7897</v>
      </c>
      <c r="H20" t="n">
        <v>16145</v>
      </c>
      <c r="I20" t="n">
        <v>7625</v>
      </c>
      <c r="J20" t="n">
        <v>112.6</v>
      </c>
      <c r="K20" t="n">
        <v>112.5</v>
      </c>
      <c r="L20" t="n">
        <v>112.8</v>
      </c>
      <c r="M20" t="n">
        <v>111.7</v>
      </c>
    </row>
    <row r="21">
      <c r="A21" t="inlineStr">
        <is>
          <t>Prey Veng</t>
        </is>
      </c>
      <c r="B21" t="n">
        <v>21753</v>
      </c>
      <c r="C21" t="n">
        <v>10974</v>
      </c>
      <c r="D21" t="n">
        <v>124935</v>
      </c>
      <c r="E21" t="n">
        <v>63047</v>
      </c>
      <c r="F21" t="n">
        <v>69743</v>
      </c>
      <c r="G21" t="n">
        <v>35156</v>
      </c>
      <c r="H21" t="n">
        <v>67006</v>
      </c>
      <c r="I21" t="n">
        <v>33923</v>
      </c>
      <c r="J21" t="n">
        <v>98.2</v>
      </c>
      <c r="K21" t="n">
        <v>98.2</v>
      </c>
      <c r="L21" t="n">
        <v>98.40000000000001</v>
      </c>
      <c r="M21" t="n">
        <v>97.5</v>
      </c>
    </row>
    <row r="22">
      <c r="A22" t="inlineStr">
        <is>
          <t>Pursat</t>
        </is>
      </c>
      <c r="B22" t="n">
        <v>8637</v>
      </c>
      <c r="C22" t="n">
        <v>4224</v>
      </c>
      <c r="D22" t="n">
        <v>49606</v>
      </c>
      <c r="E22" t="n">
        <v>24269</v>
      </c>
      <c r="F22" t="n">
        <v>27692</v>
      </c>
      <c r="G22" t="n">
        <v>13532</v>
      </c>
      <c r="H22" t="n">
        <v>26605</v>
      </c>
      <c r="I22" t="n">
        <v>13061</v>
      </c>
      <c r="J22" t="n">
        <v>104.5</v>
      </c>
      <c r="K22" t="n">
        <v>104.4</v>
      </c>
      <c r="L22" t="n">
        <v>104.6</v>
      </c>
      <c r="M22" t="n">
        <v>103.7</v>
      </c>
    </row>
    <row r="23">
      <c r="A23" t="inlineStr">
        <is>
          <t>Ratanak Kiri</t>
        </is>
      </c>
      <c r="B23" t="n">
        <v>4473</v>
      </c>
      <c r="C23" t="n">
        <v>2096</v>
      </c>
      <c r="D23" t="n">
        <v>25688</v>
      </c>
      <c r="E23" t="n">
        <v>12040</v>
      </c>
      <c r="F23" t="n">
        <v>14340</v>
      </c>
      <c r="G23" t="n">
        <v>6713</v>
      </c>
      <c r="H23" t="n">
        <v>13777</v>
      </c>
      <c r="I23" t="n">
        <v>6482</v>
      </c>
      <c r="J23" t="n">
        <v>113.4</v>
      </c>
      <c r="K23" t="n">
        <v>113.4</v>
      </c>
      <c r="L23" t="n">
        <v>113.6</v>
      </c>
      <c r="M23" t="n">
        <v>112.6</v>
      </c>
    </row>
    <row r="24">
      <c r="A24" t="inlineStr">
        <is>
          <t>Siemreap</t>
        </is>
      </c>
      <c r="B24" t="n">
        <v>20860</v>
      </c>
      <c r="C24" t="n">
        <v>10109</v>
      </c>
      <c r="D24" t="n">
        <v>119807</v>
      </c>
      <c r="E24" t="n">
        <v>58075</v>
      </c>
      <c r="F24" t="n">
        <v>66880</v>
      </c>
      <c r="G24" t="n">
        <v>32381</v>
      </c>
      <c r="H24" t="n">
        <v>64255</v>
      </c>
      <c r="I24" t="n">
        <v>31257</v>
      </c>
      <c r="J24" t="n">
        <v>106.4</v>
      </c>
      <c r="K24" t="n">
        <v>106.3</v>
      </c>
      <c r="L24" t="n">
        <v>106.5</v>
      </c>
      <c r="M24" t="n">
        <v>105.6</v>
      </c>
    </row>
    <row r="25">
      <c r="A25" t="inlineStr">
        <is>
          <t>Stung Treng</t>
        </is>
      </c>
      <c r="B25" t="n">
        <v>3409</v>
      </c>
      <c r="C25" t="n">
        <v>1584</v>
      </c>
      <c r="D25" t="n">
        <v>19576</v>
      </c>
      <c r="E25" t="n">
        <v>9103</v>
      </c>
      <c r="F25" t="n">
        <v>10928</v>
      </c>
      <c r="G25" t="n">
        <v>5075</v>
      </c>
      <c r="H25" t="n">
        <v>10499</v>
      </c>
      <c r="I25" t="n">
        <v>4901</v>
      </c>
      <c r="J25" t="n">
        <v>115.1</v>
      </c>
      <c r="K25" t="n">
        <v>115</v>
      </c>
      <c r="L25" t="n">
        <v>115.3</v>
      </c>
      <c r="M25" t="n">
        <v>114.2</v>
      </c>
    </row>
    <row r="26">
      <c r="A26" t="inlineStr">
        <is>
          <t>Svay Rieng</t>
        </is>
      </c>
      <c r="B26" t="n">
        <v>10808</v>
      </c>
      <c r="C26" t="n">
        <v>5413</v>
      </c>
      <c r="D26" t="n">
        <v>62071</v>
      </c>
      <c r="E26" t="n">
        <v>31099</v>
      </c>
      <c r="F26" t="n">
        <v>34650</v>
      </c>
      <c r="G26" t="n">
        <v>17341</v>
      </c>
      <c r="H26" t="n">
        <v>33290</v>
      </c>
      <c r="I26" t="n">
        <v>16734</v>
      </c>
      <c r="J26" t="n">
        <v>99.7</v>
      </c>
      <c r="K26" t="n">
        <v>99.59999999999999</v>
      </c>
      <c r="L26" t="n">
        <v>99.8</v>
      </c>
      <c r="M26" t="n">
        <v>98.90000000000001</v>
      </c>
    </row>
    <row r="27">
      <c r="A27" t="inlineStr">
        <is>
          <t>Takeo</t>
        </is>
      </c>
      <c r="B27" t="n">
        <v>18529</v>
      </c>
      <c r="C27" t="n">
        <v>9208</v>
      </c>
      <c r="D27" t="n">
        <v>106416</v>
      </c>
      <c r="E27" t="n">
        <v>52898</v>
      </c>
      <c r="F27" t="n">
        <v>59405</v>
      </c>
      <c r="G27" t="n">
        <v>29496</v>
      </c>
      <c r="H27" t="n">
        <v>57074</v>
      </c>
      <c r="I27" t="n">
        <v>28465</v>
      </c>
      <c r="J27" t="n">
        <v>101.2</v>
      </c>
      <c r="K27" t="n">
        <v>101.2</v>
      </c>
      <c r="L27" t="n">
        <v>101.4</v>
      </c>
      <c r="M27" t="n">
        <v>100.5</v>
      </c>
    </row>
    <row r="28">
      <c r="A28" t="inlineStr">
        <is>
          <t>Tbaung Khmum</t>
        </is>
      </c>
      <c r="B28" t="n">
        <v>15978</v>
      </c>
      <c r="C28" t="n">
        <v>7806</v>
      </c>
      <c r="D28" t="n">
        <v>91764</v>
      </c>
      <c r="E28" t="n">
        <v>44844</v>
      </c>
      <c r="F28" t="n">
        <v>51226</v>
      </c>
      <c r="G28" t="n">
        <v>25004</v>
      </c>
      <c r="H28" t="n">
        <v>49215</v>
      </c>
      <c r="I28" t="n">
        <v>24134</v>
      </c>
      <c r="J28" t="n">
        <v>104.7</v>
      </c>
      <c r="K28" t="n">
        <v>104.6</v>
      </c>
      <c r="L28" t="n">
        <v>104.9</v>
      </c>
      <c r="M28" t="n">
        <v>103.9</v>
      </c>
    </row>
    <row r="29">
      <c r="A29" t="inlineStr">
        <is>
          <t>Whole Kingdom</t>
        </is>
      </c>
      <c r="B29" t="n">
        <v>319868</v>
      </c>
      <c r="C29" t="n">
        <v>156212</v>
      </c>
      <c r="D29" t="n">
        <v>1837090</v>
      </c>
      <c r="E29" t="n">
        <v>897450</v>
      </c>
      <c r="F29" t="n">
        <v>1025527</v>
      </c>
      <c r="G29" t="n">
        <v>500403</v>
      </c>
      <c r="H29" t="n">
        <v>985274</v>
      </c>
      <c r="I29" t="n">
        <v>482990</v>
      </c>
      <c r="J29" t="n">
        <v>104.8</v>
      </c>
      <c r="K29" t="n">
        <v>104.7</v>
      </c>
      <c r="L29" t="n">
        <v>104.9</v>
      </c>
      <c r="M29" t="n">
        <v>104</v>
      </c>
    </row>
    <row r="30">
      <c r="A30" t="inlineStr">
        <is>
          <t>- Urban Area</t>
        </is>
      </c>
      <c r="B30" t="n">
        <v>85630</v>
      </c>
      <c r="C30" t="n">
        <v>41775</v>
      </c>
      <c r="D30" t="n">
        <v>491799</v>
      </c>
      <c r="E30" t="n">
        <v>239998</v>
      </c>
      <c r="F30" t="n">
        <v>274539</v>
      </c>
      <c r="G30" t="n">
        <v>133819</v>
      </c>
      <c r="H30" t="n">
        <v>263763</v>
      </c>
      <c r="I30" t="n">
        <v>129163</v>
      </c>
      <c r="J30" t="n">
        <v>105</v>
      </c>
      <c r="K30" t="n">
        <v>104.9</v>
      </c>
      <c r="L30" t="n">
        <v>105.2</v>
      </c>
      <c r="M30" t="n">
        <v>104.2</v>
      </c>
    </row>
    <row r="31">
      <c r="A31" t="inlineStr">
        <is>
          <t>- Rural Area</t>
        </is>
      </c>
      <c r="B31" t="n">
        <v>234238</v>
      </c>
      <c r="C31" t="n">
        <v>114437</v>
      </c>
      <c r="D31" t="n">
        <v>1345291</v>
      </c>
      <c r="E31" t="n">
        <v>657452</v>
      </c>
      <c r="F31" t="n">
        <v>750988</v>
      </c>
      <c r="G31" t="n">
        <v>366584</v>
      </c>
      <c r="H31" t="n">
        <v>721511</v>
      </c>
      <c r="I31" t="n">
        <v>353827</v>
      </c>
      <c r="J31" t="n">
        <v>104.7</v>
      </c>
      <c r="K31" t="n">
        <v>104.6</v>
      </c>
      <c r="L31" t="n">
        <v>104.9</v>
      </c>
      <c r="M31" t="n">
        <v>103.9</v>
      </c>
    </row>
  </sheetData>
  <mergeCells count="7">
    <mergeCell ref="F2:G2"/>
    <mergeCell ref="B2:C2"/>
    <mergeCell ref="H2:I2"/>
    <mergeCell ref="D2:E2"/>
    <mergeCell ref="A2:A3"/>
    <mergeCell ref="J2:M2"/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30A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9" customWidth="1" min="2" max="2"/>
    <col width="8.5703125" customWidth="1" min="3" max="3"/>
    <col width="10.85546875" customWidth="1" min="5" max="5"/>
    <col width="11.42578125" customWidth="1" min="8" max="8"/>
    <col width="8.42578125" customWidth="1" min="9" max="9"/>
    <col width="9.7109375" customWidth="1" min="10" max="10"/>
    <col width="11.42578125" customWidth="1" min="11" max="11"/>
  </cols>
  <sheetData>
    <row r="1">
      <c r="A1" t="inlineStr">
        <is>
          <t>Table 8: Indicators on Secondary Students and Staff by Province</t>
        </is>
      </c>
    </row>
    <row r="2">
      <c r="A2" t="inlineStr">
        <is>
          <t>Province</t>
        </is>
      </c>
      <c r="B2" t="inlineStr">
        <is>
          <t>Pupil</t>
        </is>
      </c>
      <c r="C2" t="inlineStr">
        <is>
          <t>Pupil</t>
        </is>
      </c>
      <c r="D2" t="inlineStr">
        <is>
          <t>Pupil</t>
        </is>
      </c>
      <c r="E2" t="inlineStr">
        <is>
          <t>Pupil</t>
        </is>
      </c>
      <c r="F2" t="inlineStr">
        <is>
          <t>Classes</t>
        </is>
      </c>
      <c r="G2" t="inlineStr">
        <is>
          <t>Classroom</t>
        </is>
      </c>
      <c r="H2" t="inlineStr">
        <is>
          <t>Percentage of</t>
        </is>
      </c>
      <c r="J2" t="inlineStr">
        <is>
          <t>Percentage of Female in</t>
        </is>
      </c>
    </row>
    <row r="3">
      <c r="B3" t="inlineStr">
        <is>
          <t>Teacher</t>
        </is>
      </c>
      <c r="C3" t="inlineStr">
        <is>
          <t>Staff</t>
        </is>
      </c>
      <c r="D3" t="inlineStr">
        <is>
          <t>Class</t>
        </is>
      </c>
      <c r="E3" t="inlineStr">
        <is>
          <t>Classroom</t>
        </is>
      </c>
      <c r="F3" t="inlineStr">
        <is>
          <t>per</t>
        </is>
      </c>
      <c r="G3" t="inlineStr">
        <is>
          <t>Area (m2)</t>
        </is>
      </c>
      <c r="H3" t="inlineStr">
        <is>
          <t>Non-teaching</t>
        </is>
      </c>
      <c r="I3" t="inlineStr">
        <is>
          <t>Female</t>
        </is>
      </c>
      <c r="J3" t="inlineStr">
        <is>
          <t>Teaching</t>
        </is>
      </c>
      <c r="K3" t="inlineStr">
        <is>
          <t>Non-teaching</t>
        </is>
      </c>
    </row>
    <row r="4">
      <c r="B4" t="inlineStr">
        <is>
          <t>Ratio</t>
        </is>
      </c>
      <c r="C4" t="inlineStr">
        <is>
          <t>Ratio</t>
        </is>
      </c>
      <c r="D4" t="inlineStr">
        <is>
          <t>Ratio</t>
        </is>
      </c>
      <c r="E4" t="inlineStr">
        <is>
          <t>Ratio</t>
        </is>
      </c>
      <c r="F4" t="inlineStr">
        <is>
          <t>Classroom</t>
        </is>
      </c>
      <c r="G4" t="inlineStr">
        <is>
          <t>per Pupil</t>
        </is>
      </c>
      <c r="H4" t="inlineStr">
        <is>
          <t>Staff</t>
        </is>
      </c>
      <c r="I4" t="inlineStr">
        <is>
          <t>Staff</t>
        </is>
      </c>
      <c r="J4" t="inlineStr">
        <is>
          <t>Staff</t>
        </is>
      </c>
      <c r="K4" t="inlineStr">
        <is>
          <t>Staff</t>
        </is>
      </c>
    </row>
    <row r="5">
      <c r="A5" t="inlineStr">
        <is>
          <t>Banteay Meanchey</t>
        </is>
      </c>
      <c r="B5" t="n">
        <v>25.5</v>
      </c>
      <c r="C5" t="n">
        <v>21.7</v>
      </c>
      <c r="D5" t="n">
        <v>46.1</v>
      </c>
      <c r="E5" t="n">
        <v>47</v>
      </c>
      <c r="F5" t="n">
        <v>1</v>
      </c>
      <c r="G5" t="n">
        <v>1.2</v>
      </c>
      <c r="H5" t="n">
        <v>15.1</v>
      </c>
      <c r="I5" t="n">
        <v>39.4</v>
      </c>
      <c r="J5" t="n">
        <v>41.2</v>
      </c>
      <c r="K5" t="n">
        <v>29.5</v>
      </c>
    </row>
    <row r="6">
      <c r="A6" t="inlineStr">
        <is>
          <t>Battambang</t>
        </is>
      </c>
      <c r="B6" t="n">
        <v>27.1</v>
      </c>
      <c r="C6" t="n">
        <v>22.8</v>
      </c>
      <c r="D6" t="n">
        <v>47.7</v>
      </c>
      <c r="E6" t="n">
        <v>50.7</v>
      </c>
      <c r="F6" t="n">
        <v>1.1</v>
      </c>
      <c r="G6" t="n">
        <v>1.1</v>
      </c>
      <c r="H6" t="n">
        <v>15.7</v>
      </c>
      <c r="I6" t="n">
        <v>44.9</v>
      </c>
      <c r="J6" t="n">
        <v>47.1</v>
      </c>
      <c r="K6" t="n">
        <v>33.5</v>
      </c>
    </row>
    <row r="7">
      <c r="A7" t="inlineStr">
        <is>
          <t>Kampong Cham</t>
        </is>
      </c>
      <c r="B7" t="n">
        <v>23.4</v>
      </c>
      <c r="C7" t="n">
        <v>19</v>
      </c>
      <c r="D7" t="n">
        <v>43.9</v>
      </c>
      <c r="E7" t="n">
        <v>47.4</v>
      </c>
      <c r="F7" t="n">
        <v>1.1</v>
      </c>
      <c r="G7" t="n">
        <v>1.2</v>
      </c>
      <c r="H7" t="n">
        <v>18.6</v>
      </c>
      <c r="I7" t="n">
        <v>46.1</v>
      </c>
      <c r="J7" t="n">
        <v>47.8</v>
      </c>
      <c r="K7" t="n">
        <v>38.6</v>
      </c>
    </row>
    <row r="8">
      <c r="A8" t="inlineStr">
        <is>
          <t>Kampong Chhnang</t>
        </is>
      </c>
      <c r="B8" t="n">
        <v>23.3</v>
      </c>
      <c r="C8" t="n">
        <v>19.8</v>
      </c>
      <c r="D8" t="n">
        <v>46</v>
      </c>
      <c r="E8" t="n">
        <v>48.1</v>
      </c>
      <c r="F8" t="n">
        <v>1</v>
      </c>
      <c r="G8" t="n">
        <v>1.2</v>
      </c>
      <c r="H8" t="n">
        <v>15.1</v>
      </c>
      <c r="I8" t="n">
        <v>39.7</v>
      </c>
      <c r="J8" t="n">
        <v>42</v>
      </c>
      <c r="K8" t="n">
        <v>27.1</v>
      </c>
    </row>
    <row r="9">
      <c r="A9" t="inlineStr">
        <is>
          <t>Kampong Speu</t>
        </is>
      </c>
      <c r="B9" t="n">
        <v>25.5</v>
      </c>
      <c r="C9" t="n">
        <v>22</v>
      </c>
      <c r="D9" t="n">
        <v>49.5</v>
      </c>
      <c r="E9" t="n">
        <v>55.1</v>
      </c>
      <c r="F9" t="n">
        <v>1.1</v>
      </c>
      <c r="G9" t="n">
        <v>1.1</v>
      </c>
      <c r="H9" t="n">
        <v>13.6</v>
      </c>
      <c r="I9" t="n">
        <v>33.9</v>
      </c>
      <c r="J9" t="n">
        <v>36.8</v>
      </c>
      <c r="K9" t="n">
        <v>15.3</v>
      </c>
    </row>
    <row r="10">
      <c r="A10" t="inlineStr">
        <is>
          <t>Kampong Thom</t>
        </is>
      </c>
      <c r="B10" t="n">
        <v>26.9</v>
      </c>
      <c r="C10" t="n">
        <v>22.5</v>
      </c>
      <c r="D10" t="n">
        <v>42.1</v>
      </c>
      <c r="E10" t="n">
        <v>44.8</v>
      </c>
      <c r="F10" t="n">
        <v>1.1</v>
      </c>
      <c r="G10" t="n">
        <v>1.4</v>
      </c>
      <c r="H10" t="n">
        <v>16.3</v>
      </c>
      <c r="I10" t="n">
        <v>42.8</v>
      </c>
      <c r="J10" t="n">
        <v>47.1</v>
      </c>
      <c r="K10" t="n">
        <v>20.7</v>
      </c>
    </row>
    <row r="11">
      <c r="A11" t="inlineStr">
        <is>
          <t>Kampot</t>
        </is>
      </c>
      <c r="B11" t="n">
        <v>19.1</v>
      </c>
      <c r="C11" t="n">
        <v>15.8</v>
      </c>
      <c r="D11" t="n">
        <v>20.9</v>
      </c>
      <c r="E11" t="n">
        <v>42.2</v>
      </c>
      <c r="F11" t="n">
        <v>2</v>
      </c>
      <c r="G11" t="n">
        <v>1.3</v>
      </c>
      <c r="H11" t="n">
        <v>17.2</v>
      </c>
      <c r="I11" t="n">
        <v>38.6</v>
      </c>
      <c r="J11" t="n">
        <v>41.5</v>
      </c>
      <c r="K11" t="n">
        <v>25.1</v>
      </c>
    </row>
    <row r="12">
      <c r="A12" t="inlineStr">
        <is>
          <t>Kandal</t>
        </is>
      </c>
      <c r="B12" t="n">
        <v>19.8</v>
      </c>
      <c r="C12" t="n">
        <v>17.1</v>
      </c>
      <c r="D12" t="n">
        <v>43.8</v>
      </c>
      <c r="E12" t="n">
        <v>48</v>
      </c>
      <c r="F12" t="n">
        <v>1.1</v>
      </c>
      <c r="G12" t="n">
        <v>1.3</v>
      </c>
      <c r="H12" t="n">
        <v>13.5</v>
      </c>
      <c r="I12" t="n">
        <v>43.7</v>
      </c>
      <c r="J12" t="n">
        <v>47</v>
      </c>
      <c r="K12" t="n">
        <v>23</v>
      </c>
    </row>
    <row r="13">
      <c r="A13" t="inlineStr">
        <is>
          <t>Kep</t>
        </is>
      </c>
      <c r="B13" t="n">
        <v>11.4</v>
      </c>
      <c r="C13" t="n">
        <v>9.9</v>
      </c>
      <c r="D13" t="n">
        <v>34.8</v>
      </c>
      <c r="E13" t="n">
        <v>34.8</v>
      </c>
      <c r="F13" t="n">
        <v>1</v>
      </c>
      <c r="G13" t="n">
        <v>1.8</v>
      </c>
      <c r="H13" t="n">
        <v>12.8</v>
      </c>
      <c r="I13" t="n">
        <v>41.2</v>
      </c>
      <c r="J13" t="n">
        <v>43.5</v>
      </c>
      <c r="K13" t="n">
        <v>25.7</v>
      </c>
    </row>
    <row r="14">
      <c r="A14" t="inlineStr">
        <is>
          <t>Koh Kong</t>
        </is>
      </c>
      <c r="B14" t="n">
        <v>19</v>
      </c>
      <c r="C14" t="n">
        <v>16.6</v>
      </c>
      <c r="D14" t="n">
        <v>34.1</v>
      </c>
      <c r="E14" t="n">
        <v>39.3</v>
      </c>
      <c r="F14" t="n">
        <v>1.2</v>
      </c>
      <c r="G14" t="n">
        <v>1.5</v>
      </c>
      <c r="H14" t="n">
        <v>12.8</v>
      </c>
      <c r="I14" t="n">
        <v>35.1</v>
      </c>
      <c r="J14" t="n">
        <v>35.9</v>
      </c>
      <c r="K14" t="n">
        <v>29.4</v>
      </c>
    </row>
    <row r="15">
      <c r="A15" t="inlineStr">
        <is>
          <t>Kratie</t>
        </is>
      </c>
      <c r="B15" t="n">
        <v>21.1</v>
      </c>
      <c r="C15" t="n">
        <v>18.6</v>
      </c>
      <c r="D15" t="n">
        <v>44.1</v>
      </c>
      <c r="E15" t="n">
        <v>45.2</v>
      </c>
      <c r="F15" t="n">
        <v>1</v>
      </c>
      <c r="G15" t="n">
        <v>1.3</v>
      </c>
      <c r="H15" t="n">
        <v>11.9</v>
      </c>
      <c r="I15" t="n">
        <v>48.3</v>
      </c>
      <c r="J15" t="n">
        <v>50.9</v>
      </c>
      <c r="K15" t="n">
        <v>28.9</v>
      </c>
    </row>
    <row r="16">
      <c r="A16" t="inlineStr">
        <is>
          <t>Mondul Kiri</t>
        </is>
      </c>
      <c r="B16" t="n">
        <v>21.4</v>
      </c>
      <c r="C16" t="n">
        <v>19.6</v>
      </c>
      <c r="D16" t="n">
        <v>41.8</v>
      </c>
      <c r="E16" t="n">
        <v>45.5</v>
      </c>
      <c r="F16" t="n">
        <v>1.1</v>
      </c>
      <c r="G16" t="n">
        <v>1.4</v>
      </c>
      <c r="H16" t="n">
        <v>8</v>
      </c>
      <c r="I16" t="n">
        <v>38.7</v>
      </c>
      <c r="J16" t="n">
        <v>40.9</v>
      </c>
      <c r="K16" t="n">
        <v>13</v>
      </c>
    </row>
    <row r="17">
      <c r="A17" t="inlineStr">
        <is>
          <t>Otdar Meanchey</t>
        </is>
      </c>
      <c r="B17" t="n">
        <v>29.5</v>
      </c>
      <c r="C17" t="n">
        <v>25.9</v>
      </c>
      <c r="D17" t="n">
        <v>44.1</v>
      </c>
      <c r="E17" t="n">
        <v>46.2</v>
      </c>
      <c r="F17" t="n">
        <v>1</v>
      </c>
      <c r="G17" t="n">
        <v>1.2</v>
      </c>
      <c r="H17" t="n">
        <v>12.2</v>
      </c>
      <c r="I17" t="n">
        <v>33.9</v>
      </c>
      <c r="J17" t="n">
        <v>35.9</v>
      </c>
      <c r="K17" t="n">
        <v>19.7</v>
      </c>
    </row>
    <row r="18">
      <c r="A18" t="inlineStr">
        <is>
          <t>Pailin</t>
        </is>
      </c>
      <c r="B18" t="n">
        <v>16.2</v>
      </c>
      <c r="C18" t="n">
        <v>14.3</v>
      </c>
      <c r="D18" t="n">
        <v>41.1</v>
      </c>
      <c r="E18" t="n">
        <v>42.7</v>
      </c>
      <c r="F18" t="n">
        <v>1</v>
      </c>
      <c r="G18" t="n">
        <v>1.5</v>
      </c>
      <c r="H18" t="n">
        <v>11.9</v>
      </c>
      <c r="I18" t="n">
        <v>41.2</v>
      </c>
      <c r="J18" t="n">
        <v>44.3</v>
      </c>
      <c r="K18" t="n">
        <v>17.8</v>
      </c>
    </row>
    <row r="19">
      <c r="A19" t="inlineStr">
        <is>
          <t>Phnom Penh</t>
        </is>
      </c>
      <c r="B19" t="n">
        <v>17.4</v>
      </c>
      <c r="C19" t="n">
        <v>15.8</v>
      </c>
      <c r="D19" t="n">
        <v>47.2</v>
      </c>
      <c r="E19" t="n">
        <v>65.09999999999999</v>
      </c>
      <c r="F19" t="n">
        <v>1.4</v>
      </c>
      <c r="G19" t="n">
        <v>0.9</v>
      </c>
      <c r="H19" t="n">
        <v>9.4</v>
      </c>
      <c r="I19" t="n">
        <v>44.5</v>
      </c>
      <c r="J19" t="n">
        <v>45.8</v>
      </c>
      <c r="K19" t="n">
        <v>31.8</v>
      </c>
    </row>
    <row r="20">
      <c r="A20" t="inlineStr">
        <is>
          <t>Preah Sihanouk</t>
        </is>
      </c>
      <c r="B20" t="n">
        <v>18.9</v>
      </c>
      <c r="C20" t="n">
        <v>16.7</v>
      </c>
      <c r="D20" t="n">
        <v>40.9</v>
      </c>
      <c r="E20" t="n">
        <v>41.7</v>
      </c>
      <c r="F20" t="n">
        <v>1</v>
      </c>
      <c r="G20" t="n">
        <v>1.4</v>
      </c>
      <c r="H20" t="n">
        <v>11.9</v>
      </c>
      <c r="I20" t="n">
        <v>35.9</v>
      </c>
      <c r="J20" t="n">
        <v>37.9</v>
      </c>
      <c r="K20" t="n">
        <v>21</v>
      </c>
    </row>
    <row r="21">
      <c r="A21" t="inlineStr">
        <is>
          <t>Preah Vihear</t>
        </is>
      </c>
      <c r="B21" t="n">
        <v>20.2</v>
      </c>
      <c r="C21" t="n">
        <v>18.5</v>
      </c>
      <c r="D21" t="n">
        <v>36.7</v>
      </c>
      <c r="E21" t="n">
        <v>36.7</v>
      </c>
      <c r="F21" t="n">
        <v>1</v>
      </c>
      <c r="G21" t="n">
        <v>1.6</v>
      </c>
      <c r="H21" t="n">
        <v>8.5</v>
      </c>
      <c r="I21" t="n">
        <v>41</v>
      </c>
      <c r="J21" t="n">
        <v>41.7</v>
      </c>
      <c r="K21" t="n">
        <v>33.3</v>
      </c>
    </row>
    <row r="22">
      <c r="A22" t="inlineStr">
        <is>
          <t>Prey Veng</t>
        </is>
      </c>
      <c r="B22" t="n">
        <v>29.3</v>
      </c>
      <c r="C22" t="n">
        <v>23.7</v>
      </c>
      <c r="D22" t="n">
        <v>45.1</v>
      </c>
      <c r="E22" t="n">
        <v>48.2</v>
      </c>
      <c r="F22" t="n">
        <v>1.1</v>
      </c>
      <c r="G22" t="n">
        <v>1.2</v>
      </c>
      <c r="H22" t="n">
        <v>19</v>
      </c>
      <c r="I22" t="n">
        <v>34.2</v>
      </c>
      <c r="J22" t="n">
        <v>37.1</v>
      </c>
      <c r="K22" t="n">
        <v>21.9</v>
      </c>
    </row>
    <row r="23">
      <c r="A23" t="inlineStr">
        <is>
          <t>Pursat</t>
        </is>
      </c>
      <c r="B23" t="n">
        <v>21.5</v>
      </c>
      <c r="C23" t="n">
        <v>18.4</v>
      </c>
      <c r="D23" t="n">
        <v>44.1</v>
      </c>
      <c r="E23" t="n">
        <v>46.9</v>
      </c>
      <c r="F23" t="n">
        <v>1.1</v>
      </c>
      <c r="G23" t="n">
        <v>1.2</v>
      </c>
      <c r="H23" t="n">
        <v>14.6</v>
      </c>
      <c r="I23" t="n">
        <v>36.2</v>
      </c>
      <c r="J23" t="n">
        <v>38.8</v>
      </c>
      <c r="K23" t="n">
        <v>21.2</v>
      </c>
    </row>
    <row r="24">
      <c r="A24" t="inlineStr">
        <is>
          <t>Ratanak Kiri</t>
        </is>
      </c>
      <c r="B24" t="n">
        <v>28.8</v>
      </c>
      <c r="C24" t="n">
        <v>26.3</v>
      </c>
      <c r="D24" t="n">
        <v>47.1</v>
      </c>
      <c r="E24" t="n">
        <v>51.5</v>
      </c>
      <c r="F24" t="n">
        <v>1.1</v>
      </c>
      <c r="G24" t="n">
        <v>1.2</v>
      </c>
      <c r="H24" t="n">
        <v>9</v>
      </c>
      <c r="I24" t="n">
        <v>41</v>
      </c>
      <c r="J24" t="n">
        <v>41.4</v>
      </c>
      <c r="K24" t="n">
        <v>37.5</v>
      </c>
    </row>
    <row r="25">
      <c r="A25" t="inlineStr">
        <is>
          <t>Siemreap</t>
        </is>
      </c>
      <c r="B25" t="n">
        <v>34.7</v>
      </c>
      <c r="C25" t="n">
        <v>29</v>
      </c>
      <c r="D25" t="n">
        <v>50.1</v>
      </c>
      <c r="E25" t="n">
        <v>55.8</v>
      </c>
      <c r="F25" t="n">
        <v>1.1</v>
      </c>
      <c r="G25" t="n">
        <v>1</v>
      </c>
      <c r="H25" t="n">
        <v>16.3</v>
      </c>
      <c r="I25" t="n">
        <v>45.5</v>
      </c>
      <c r="J25" t="n">
        <v>47.5</v>
      </c>
      <c r="K25" t="n">
        <v>34.9</v>
      </c>
    </row>
    <row r="26">
      <c r="A26" t="inlineStr">
        <is>
          <t>Stung Treng</t>
        </is>
      </c>
      <c r="B26" t="n">
        <v>16.8</v>
      </c>
      <c r="C26" t="n">
        <v>14.9</v>
      </c>
      <c r="D26" t="n">
        <v>37.3</v>
      </c>
      <c r="E26" t="n">
        <v>38.9</v>
      </c>
      <c r="F26" t="n">
        <v>1</v>
      </c>
      <c r="G26" t="n">
        <v>1.5</v>
      </c>
      <c r="H26" t="n">
        <v>11.4</v>
      </c>
      <c r="I26" t="n">
        <v>39</v>
      </c>
      <c r="J26" t="n">
        <v>39.8</v>
      </c>
      <c r="K26" t="n">
        <v>32.8</v>
      </c>
    </row>
    <row r="27">
      <c r="A27" t="inlineStr">
        <is>
          <t>Svay Rieng</t>
        </is>
      </c>
      <c r="B27" t="n">
        <v>20.7</v>
      </c>
      <c r="C27" t="n">
        <v>17.3</v>
      </c>
      <c r="D27" t="n">
        <v>39.1</v>
      </c>
      <c r="E27" t="n">
        <v>40.3</v>
      </c>
      <c r="F27" t="n">
        <v>1</v>
      </c>
      <c r="G27" t="n">
        <v>1.4</v>
      </c>
      <c r="H27" t="n">
        <v>16.4</v>
      </c>
      <c r="I27" t="n">
        <v>29.4</v>
      </c>
      <c r="J27" t="n">
        <v>30.8</v>
      </c>
      <c r="K27" t="n">
        <v>22.4</v>
      </c>
    </row>
    <row r="28">
      <c r="A28" t="inlineStr">
        <is>
          <t>Takeo</t>
        </is>
      </c>
      <c r="B28" t="n">
        <v>22.6</v>
      </c>
      <c r="C28" t="n">
        <v>18.3</v>
      </c>
      <c r="D28" t="n">
        <v>38.4</v>
      </c>
      <c r="E28" t="n">
        <v>39.7</v>
      </c>
      <c r="F28" t="n">
        <v>1</v>
      </c>
      <c r="G28" t="n">
        <v>1.6</v>
      </c>
      <c r="H28" t="n">
        <v>18.8</v>
      </c>
      <c r="I28" t="n">
        <v>30.9</v>
      </c>
      <c r="J28" t="n">
        <v>33</v>
      </c>
      <c r="K28" t="n">
        <v>21.9</v>
      </c>
    </row>
    <row r="29">
      <c r="A29" t="inlineStr">
        <is>
          <t>Tbaung Khmum</t>
        </is>
      </c>
      <c r="B29" t="n">
        <v>30.6</v>
      </c>
      <c r="C29" t="n">
        <v>26</v>
      </c>
      <c r="D29" t="n">
        <v>43.8</v>
      </c>
      <c r="E29" t="n">
        <v>47.7</v>
      </c>
      <c r="F29" t="n">
        <v>1.1</v>
      </c>
      <c r="G29" t="n">
        <v>1.2</v>
      </c>
      <c r="H29" t="n">
        <v>15</v>
      </c>
      <c r="I29" t="n">
        <v>39.7</v>
      </c>
      <c r="J29" t="n">
        <v>42.5</v>
      </c>
      <c r="K29" t="n">
        <v>23.7</v>
      </c>
    </row>
    <row r="30">
      <c r="A30" t="inlineStr">
        <is>
          <t>Whole Kingdom</t>
        </is>
      </c>
      <c r="B30" t="n">
        <v>23.3</v>
      </c>
      <c r="C30" t="n">
        <v>19.8</v>
      </c>
      <c r="D30" t="n">
        <v>42.3</v>
      </c>
      <c r="E30" t="n">
        <v>48</v>
      </c>
      <c r="F30" t="n">
        <v>1.1</v>
      </c>
      <c r="G30" t="n">
        <v>1.2</v>
      </c>
      <c r="H30" t="n">
        <v>14.8</v>
      </c>
      <c r="I30" t="n">
        <v>40.1</v>
      </c>
      <c r="J30" t="n">
        <v>42.4</v>
      </c>
      <c r="K30" t="n">
        <v>26.8</v>
      </c>
    </row>
    <row r="31">
      <c r="A31" t="inlineStr">
        <is>
          <t>-  Urban Area</t>
        </is>
      </c>
      <c r="B31" t="n">
        <v>19.3</v>
      </c>
      <c r="C31" t="n">
        <v>17</v>
      </c>
      <c r="D31" t="n">
        <v>45</v>
      </c>
      <c r="E31" t="n">
        <v>52.5</v>
      </c>
      <c r="F31" t="n">
        <v>1.2</v>
      </c>
      <c r="G31" t="n">
        <v>1.1</v>
      </c>
      <c r="H31" t="n">
        <v>12.1</v>
      </c>
      <c r="I31" t="n">
        <v>44.6</v>
      </c>
      <c r="J31" t="n">
        <v>45.9</v>
      </c>
      <c r="K31" t="n">
        <v>34.9</v>
      </c>
    </row>
    <row r="32">
      <c r="A32" t="inlineStr">
        <is>
          <t>-  Rural Area</t>
        </is>
      </c>
      <c r="B32" t="n">
        <v>24.9</v>
      </c>
      <c r="C32" t="n">
        <v>20.9</v>
      </c>
      <c r="D32" t="n">
        <v>41.6</v>
      </c>
      <c r="E32" t="n">
        <v>46.7</v>
      </c>
      <c r="F32" t="n">
        <v>1.1</v>
      </c>
      <c r="G32" t="n">
        <v>1.3</v>
      </c>
      <c r="H32" t="n">
        <v>15.8</v>
      </c>
      <c r="I32" t="n">
        <v>38.3</v>
      </c>
      <c r="J32" t="n">
        <v>40.9</v>
      </c>
      <c r="K32" t="n">
        <v>24.3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7030A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8.5703125" customWidth="1" min="3" max="3"/>
    <col width="9.5703125" customWidth="1" min="5" max="5"/>
    <col width="10.5703125" customWidth="1" min="7" max="7"/>
    <col width="11.42578125" customWidth="1" min="8" max="8"/>
    <col width="8.42578125" customWidth="1" min="9" max="9"/>
    <col width="9.7109375" customWidth="1" min="10" max="10"/>
    <col width="11.42578125" customWidth="1" min="11" max="11"/>
  </cols>
  <sheetData>
    <row r="1">
      <c r="A1" t="inlineStr">
        <is>
          <t>Table 5:  Indicators on Students and Staff</t>
        </is>
      </c>
    </row>
    <row r="2">
      <c r="A2" t="inlineStr">
        <is>
          <t>Particulars</t>
        </is>
      </c>
      <c r="B2" t="inlineStr">
        <is>
          <t>Pupil</t>
        </is>
      </c>
      <c r="C2" t="inlineStr">
        <is>
          <t>Pupil</t>
        </is>
      </c>
      <c r="D2" t="inlineStr">
        <is>
          <t>Pupil</t>
        </is>
      </c>
      <c r="E2" t="inlineStr">
        <is>
          <t>Pupil</t>
        </is>
      </c>
      <c r="F2" t="inlineStr">
        <is>
          <t>Classes</t>
        </is>
      </c>
      <c r="G2" t="inlineStr">
        <is>
          <t>Classroom</t>
        </is>
      </c>
      <c r="H2" t="inlineStr">
        <is>
          <t>Percentage of</t>
        </is>
      </c>
      <c r="J2" t="inlineStr">
        <is>
          <t>Percentage of Female in</t>
        </is>
      </c>
    </row>
    <row r="3">
      <c r="B3" t="inlineStr">
        <is>
          <t>Teacher</t>
        </is>
      </c>
      <c r="C3" t="inlineStr">
        <is>
          <t>Staff</t>
        </is>
      </c>
      <c r="D3" t="inlineStr">
        <is>
          <t>Class</t>
        </is>
      </c>
      <c r="E3" t="inlineStr">
        <is>
          <t>Classroom</t>
        </is>
      </c>
      <c r="F3" t="inlineStr">
        <is>
          <t>per</t>
        </is>
      </c>
      <c r="G3" t="inlineStr">
        <is>
          <t>Area (m2)</t>
        </is>
      </c>
      <c r="H3" t="inlineStr">
        <is>
          <t>Non-teaching</t>
        </is>
      </c>
      <c r="I3" t="inlineStr">
        <is>
          <t>Female</t>
        </is>
      </c>
      <c r="J3" t="inlineStr">
        <is>
          <t>Teaching</t>
        </is>
      </c>
      <c r="K3" t="inlineStr">
        <is>
          <t>Non-teaching</t>
        </is>
      </c>
    </row>
    <row r="4">
      <c r="B4" t="inlineStr">
        <is>
          <t>Ratio</t>
        </is>
      </c>
      <c r="C4" t="inlineStr">
        <is>
          <t>Ratio</t>
        </is>
      </c>
      <c r="D4" t="inlineStr">
        <is>
          <t>Ratio</t>
        </is>
      </c>
      <c r="E4" t="inlineStr">
        <is>
          <t>Ratio</t>
        </is>
      </c>
      <c r="F4" t="inlineStr">
        <is>
          <t>Classroom</t>
        </is>
      </c>
      <c r="G4" t="inlineStr">
        <is>
          <t>per Pupil</t>
        </is>
      </c>
      <c r="H4" t="inlineStr">
        <is>
          <t>Staff</t>
        </is>
      </c>
      <c r="I4" t="inlineStr">
        <is>
          <t>Staff</t>
        </is>
      </c>
      <c r="J4" t="inlineStr">
        <is>
          <t>Staff</t>
        </is>
      </c>
      <c r="K4" t="inlineStr">
        <is>
          <t>Staff</t>
        </is>
      </c>
    </row>
    <row r="5">
      <c r="A5" t="inlineStr">
        <is>
          <t>Whole Kingdom</t>
        </is>
      </c>
      <c r="B5" t="n">
        <v>34.6</v>
      </c>
      <c r="C5" t="n">
        <v>28.4</v>
      </c>
      <c r="D5" t="n">
        <v>34.2</v>
      </c>
      <c r="E5" t="n">
        <v>43.9</v>
      </c>
      <c r="F5" t="n">
        <v>1.3</v>
      </c>
      <c r="G5" t="n">
        <v>1.4</v>
      </c>
      <c r="H5" t="n">
        <v>18</v>
      </c>
      <c r="I5" t="n">
        <v>49.2</v>
      </c>
      <c r="J5" t="n">
        <v>53.4</v>
      </c>
      <c r="K5" t="n">
        <v>30.2</v>
      </c>
    </row>
    <row r="6">
      <c r="A6" t="inlineStr">
        <is>
          <t>By Area of Location:
-    Urban Area</t>
        </is>
      </c>
      <c r="B6" t="n">
        <v>27.9</v>
      </c>
      <c r="C6" t="n">
        <v>23.9</v>
      </c>
      <c r="D6" t="n">
        <v>39</v>
      </c>
      <c r="E6" t="n">
        <v>50.5</v>
      </c>
      <c r="F6" t="n">
        <v>1.3</v>
      </c>
      <c r="G6" t="n">
        <v>1.2</v>
      </c>
      <c r="H6" t="n">
        <v>14.3</v>
      </c>
      <c r="I6" t="n">
        <v>55.6</v>
      </c>
      <c r="J6" t="n">
        <v>58.2</v>
      </c>
      <c r="K6" t="n">
        <v>40.1</v>
      </c>
    </row>
    <row r="7">
      <c r="A7" t="inlineStr">
        <is>
          <t>-    Rural Area</t>
        </is>
      </c>
      <c r="B7" t="n">
        <v>36.7</v>
      </c>
      <c r="C7" t="n">
        <v>29.7</v>
      </c>
      <c r="D7" t="n">
        <v>33.2</v>
      </c>
      <c r="E7" t="n">
        <v>42.6</v>
      </c>
      <c r="F7" t="n">
        <v>1.3</v>
      </c>
      <c r="G7" t="n">
        <v>1.4</v>
      </c>
      <c r="H7" t="n">
        <v>19.1</v>
      </c>
      <c r="I7" t="n">
        <v>47.3</v>
      </c>
      <c r="J7" t="n">
        <v>51.9</v>
      </c>
      <c r="K7" t="n">
        <v>28</v>
      </c>
    </row>
    <row r="8">
      <c r="A8" t="inlineStr">
        <is>
          <t>By Type of School &amp; Edn. Level :
-    Pre-School</t>
        </is>
      </c>
      <c r="B8" t="n">
        <v>38.7</v>
      </c>
      <c r="C8" t="n">
        <v>36.7</v>
      </c>
      <c r="D8" t="n">
        <v>25.7</v>
      </c>
      <c r="E8" t="n">
        <v>30.6</v>
      </c>
      <c r="F8" t="n">
        <v>1.2</v>
      </c>
      <c r="G8" t="n">
        <v>3</v>
      </c>
      <c r="H8" t="n">
        <v>5.3</v>
      </c>
      <c r="I8" t="n">
        <v>94.40000000000001</v>
      </c>
      <c r="J8" t="n">
        <v>94.90000000000001</v>
      </c>
      <c r="K8" t="n">
        <v>84.3</v>
      </c>
    </row>
    <row r="9">
      <c r="A9" t="inlineStr">
        <is>
          <t>-    Primary School</t>
        </is>
      </c>
      <c r="B9" t="n">
        <v>45.1</v>
      </c>
      <c r="C9" t="n">
        <v>35.1</v>
      </c>
      <c r="D9" t="n">
        <v>32.2</v>
      </c>
      <c r="E9" t="n">
        <v>44.1</v>
      </c>
      <c r="F9" t="n">
        <v>1.4</v>
      </c>
      <c r="G9" t="n">
        <v>1.3</v>
      </c>
      <c r="H9" t="n">
        <v>22.2</v>
      </c>
      <c r="I9" t="n">
        <v>52.7</v>
      </c>
      <c r="J9" t="n">
        <v>58.9</v>
      </c>
      <c r="K9" t="n">
        <v>30.9</v>
      </c>
    </row>
    <row r="10">
      <c r="A10" t="inlineStr">
        <is>
          <t>-    College</t>
        </is>
      </c>
      <c r="B10" t="n">
        <v>23.3</v>
      </c>
      <c r="C10" t="n">
        <v>19.3</v>
      </c>
      <c r="D10" t="n">
        <v>43.1</v>
      </c>
      <c r="E10" t="n">
        <v>46.2</v>
      </c>
      <c r="F10" t="n">
        <v>1.1</v>
      </c>
      <c r="G10" t="n">
        <v>1.3</v>
      </c>
      <c r="H10" t="n">
        <v>16.9</v>
      </c>
      <c r="I10" t="n">
        <v>41.7</v>
      </c>
      <c r="J10" t="n">
        <v>45.3</v>
      </c>
      <c r="K10" t="n">
        <v>23.7</v>
      </c>
    </row>
    <row r="11">
      <c r="A11" t="inlineStr">
        <is>
          <t>-    Lycee</t>
        </is>
      </c>
      <c r="B11" t="n">
        <v>23.3</v>
      </c>
      <c r="C11" t="n">
        <v>20.1</v>
      </c>
      <c r="D11" t="n">
        <v>42</v>
      </c>
      <c r="E11" t="n">
        <v>48.9</v>
      </c>
      <c r="F11" t="n">
        <v>1.2</v>
      </c>
      <c r="G11" t="n">
        <v>1.2</v>
      </c>
      <c r="H11" t="n">
        <v>13.7</v>
      </c>
      <c r="I11" t="n">
        <v>39.2</v>
      </c>
      <c r="J11" t="n">
        <v>40.9</v>
      </c>
      <c r="K11" t="n">
        <v>28.7</v>
      </c>
    </row>
    <row r="12">
      <c r="A12" t="inlineStr">
        <is>
          <t>-    Lower Secondary Level</t>
        </is>
      </c>
      <c r="B12" t="n">
        <v>23.4</v>
      </c>
      <c r="C12" t="n">
        <v>19.8</v>
      </c>
      <c r="D12" t="n">
        <v>43.3</v>
      </c>
      <c r="E12" t="n">
        <v>48.3</v>
      </c>
      <c r="F12" t="n">
        <v>1.1</v>
      </c>
      <c r="G12" t="n">
        <v>1.3</v>
      </c>
      <c r="H12" t="n">
        <v>15.4</v>
      </c>
      <c r="I12" t="n">
        <v>42.7</v>
      </c>
      <c r="J12" t="n">
        <v>45.8</v>
      </c>
      <c r="K12" t="n">
        <v>25.9</v>
      </c>
    </row>
    <row r="13">
      <c r="A13" t="inlineStr">
        <is>
          <t>-    Upper Secondary Level</t>
        </is>
      </c>
      <c r="B13" t="n">
        <v>23</v>
      </c>
      <c r="C13" t="n">
        <v>19.8</v>
      </c>
      <c r="D13" t="n">
        <v>40.7</v>
      </c>
      <c r="E13" t="n">
        <v>47.4</v>
      </c>
      <c r="F13" t="n">
        <v>1.2</v>
      </c>
      <c r="G13" t="n">
        <v>1.2</v>
      </c>
      <c r="H13" t="n">
        <v>13.6</v>
      </c>
      <c r="I13" t="n">
        <v>35.2</v>
      </c>
      <c r="J13" t="n">
        <v>36.3</v>
      </c>
      <c r="K13" t="n">
        <v>28.6</v>
      </c>
    </row>
    <row r="14">
      <c r="A14" t="inlineStr">
        <is>
          <t>Characteristics of Primary Schools:
-    Cluster - core school</t>
        </is>
      </c>
      <c r="B14" t="n">
        <v>46.4</v>
      </c>
      <c r="C14" t="n">
        <v>35.8</v>
      </c>
      <c r="D14" t="n">
        <v>38</v>
      </c>
      <c r="E14" t="n">
        <v>50</v>
      </c>
      <c r="F14" t="n">
        <v>1.3</v>
      </c>
      <c r="G14" t="n">
        <v>1.2</v>
      </c>
      <c r="H14" t="n">
        <v>22.8</v>
      </c>
      <c r="I14" t="n">
        <v>58.3</v>
      </c>
      <c r="J14" t="n">
        <v>65.7</v>
      </c>
      <c r="K14" t="n">
        <v>33.6</v>
      </c>
    </row>
    <row r="15">
      <c r="A15" t="inlineStr">
        <is>
          <t>-    Cluster - satellite school</t>
        </is>
      </c>
      <c r="B15" t="n">
        <v>44.5</v>
      </c>
      <c r="C15" t="n">
        <v>34.8</v>
      </c>
      <c r="D15" t="n">
        <v>30</v>
      </c>
      <c r="E15" t="n">
        <v>41.7</v>
      </c>
      <c r="F15" t="n">
        <v>1.4</v>
      </c>
      <c r="G15" t="n">
        <v>1.4</v>
      </c>
      <c r="H15" t="n">
        <v>21.9</v>
      </c>
      <c r="I15" t="n">
        <v>50.1</v>
      </c>
      <c r="J15" t="n">
        <v>55.8</v>
      </c>
      <c r="K15" t="n">
        <v>29.6</v>
      </c>
    </row>
    <row r="16">
      <c r="A16" t="inlineStr">
        <is>
          <t>-    Annex school</t>
        </is>
      </c>
      <c r="B16" t="n">
        <v>43</v>
      </c>
      <c r="C16" t="n">
        <v>34.2</v>
      </c>
      <c r="D16" t="n">
        <v>29.1</v>
      </c>
      <c r="E16" t="n">
        <v>38.9</v>
      </c>
      <c r="F16" t="n">
        <v>1.3</v>
      </c>
      <c r="G16" t="n">
        <v>1.5</v>
      </c>
      <c r="H16" t="n">
        <v>20.5</v>
      </c>
      <c r="I16" t="n">
        <v>50.3</v>
      </c>
      <c r="J16" t="n">
        <v>54.6</v>
      </c>
      <c r="K16" t="n">
        <v>33.4</v>
      </c>
    </row>
    <row r="17">
      <c r="A17" t="inlineStr">
        <is>
          <t>-    School in Pagoda</t>
        </is>
      </c>
      <c r="B17" t="n">
        <v>44.8</v>
      </c>
      <c r="C17" t="n">
        <v>33.9</v>
      </c>
      <c r="D17" t="n">
        <v>33.8</v>
      </c>
      <c r="E17" t="n">
        <v>42.9</v>
      </c>
      <c r="F17" t="n">
        <v>1.3</v>
      </c>
      <c r="G17" t="n">
        <v>1.4</v>
      </c>
      <c r="H17" t="n">
        <v>24.3</v>
      </c>
      <c r="I17" t="n">
        <v>50.4</v>
      </c>
      <c r="J17" t="n">
        <v>57</v>
      </c>
      <c r="K17" t="n">
        <v>29.9</v>
      </c>
    </row>
    <row r="18">
      <c r="A18" t="inlineStr">
        <is>
          <t>Disadvantaged school (All Level)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7030A0"/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9" customWidth="1" min="2" max="2"/>
    <col width="7.28515625" customWidth="1" min="3" max="3"/>
    <col width="9.5703125" customWidth="1" min="5" max="5"/>
    <col width="9.140625" customWidth="1" min="9" max="9"/>
    <col width="9.42578125" customWidth="1" min="10" max="10"/>
    <col width="10" customWidth="1" min="12" max="12"/>
    <col width="8.42578125" customWidth="1" min="13" max="13"/>
  </cols>
  <sheetData>
    <row r="1">
      <c r="A1" t="inlineStr">
        <is>
          <t>Table 6: Indicators on Students and Staff by Province</t>
        </is>
      </c>
    </row>
    <row r="2">
      <c r="A2" t="inlineStr">
        <is>
          <t>Province</t>
        </is>
      </c>
      <c r="B2" t="inlineStr">
        <is>
          <t>Pupil</t>
        </is>
      </c>
      <c r="C2" t="inlineStr">
        <is>
          <t>Pupil</t>
        </is>
      </c>
      <c r="D2" t="inlineStr">
        <is>
          <t>Pupil</t>
        </is>
      </c>
      <c r="E2" t="inlineStr">
        <is>
          <t>Pupil</t>
        </is>
      </c>
      <c r="F2" t="inlineStr">
        <is>
          <t>Classes</t>
        </is>
      </c>
      <c r="G2" t="inlineStr">
        <is>
          <t>Classroom</t>
        </is>
      </c>
      <c r="H2" t="inlineStr">
        <is>
          <t>Percentage of Total Students in</t>
        </is>
      </c>
      <c r="L2" t="inlineStr">
        <is>
          <t>Percentage of</t>
        </is>
      </c>
    </row>
    <row r="3">
      <c r="B3" t="inlineStr">
        <is>
          <t>Teacher</t>
        </is>
      </c>
      <c r="C3" t="inlineStr">
        <is>
          <t>Staff</t>
        </is>
      </c>
      <c r="D3" t="inlineStr">
        <is>
          <t>Class</t>
        </is>
      </c>
      <c r="E3" t="inlineStr">
        <is>
          <t>Classroom</t>
        </is>
      </c>
      <c r="F3" t="inlineStr">
        <is>
          <t>per</t>
        </is>
      </c>
      <c r="G3" t="inlineStr">
        <is>
          <t>Area (m2)</t>
        </is>
      </c>
      <c r="H3" t="inlineStr">
        <is>
          <t>Pre-school</t>
        </is>
      </c>
      <c r="I3" t="inlineStr">
        <is>
          <t>Primary</t>
        </is>
      </c>
      <c r="J3" t="inlineStr">
        <is>
          <t>Lower</t>
        </is>
      </c>
      <c r="K3" t="inlineStr">
        <is>
          <t>Upper</t>
        </is>
      </c>
      <c r="L3" t="inlineStr">
        <is>
          <t>Non-tching</t>
        </is>
      </c>
      <c r="M3" t="inlineStr">
        <is>
          <t>Female</t>
        </is>
      </c>
    </row>
    <row r="4">
      <c r="B4" t="inlineStr">
        <is>
          <t>Ratio</t>
        </is>
      </c>
      <c r="C4" t="inlineStr">
        <is>
          <t>Ratio</t>
        </is>
      </c>
      <c r="D4" t="inlineStr">
        <is>
          <t>Ratio</t>
        </is>
      </c>
      <c r="E4" t="inlineStr">
        <is>
          <t>Ratio</t>
        </is>
      </c>
      <c r="F4" t="inlineStr">
        <is>
          <t>Classroom</t>
        </is>
      </c>
      <c r="G4" t="inlineStr">
        <is>
          <t>per Pupil</t>
        </is>
      </c>
      <c r="J4" t="inlineStr">
        <is>
          <t>Secondary</t>
        </is>
      </c>
      <c r="K4" t="inlineStr">
        <is>
          <t>Secondary</t>
        </is>
      </c>
      <c r="L4" t="inlineStr">
        <is>
          <t>Staff</t>
        </is>
      </c>
      <c r="M4" t="inlineStr">
        <is>
          <t>Staff</t>
        </is>
      </c>
    </row>
    <row r="5">
      <c r="A5" t="inlineStr">
        <is>
          <t>Banteay Meanchey</t>
        </is>
      </c>
      <c r="B5" t="n">
        <v>34.4</v>
      </c>
      <c r="C5" t="n">
        <v>28.8</v>
      </c>
      <c r="D5" t="n">
        <v>33.6</v>
      </c>
      <c r="E5" t="n">
        <v>41.3</v>
      </c>
      <c r="F5" t="n">
        <v>1.2</v>
      </c>
      <c r="G5" t="n">
        <v>1.4</v>
      </c>
      <c r="H5" t="n">
        <v>10.2</v>
      </c>
      <c r="I5" t="n">
        <v>60.9</v>
      </c>
      <c r="J5" t="n">
        <v>19.3</v>
      </c>
      <c r="K5" t="n">
        <v>9.6</v>
      </c>
      <c r="L5" t="n">
        <v>16.4</v>
      </c>
      <c r="M5" t="n">
        <v>48.1</v>
      </c>
    </row>
    <row r="6">
      <c r="A6" t="inlineStr">
        <is>
          <t>Battambang</t>
        </is>
      </c>
      <c r="B6" t="n">
        <v>37.8</v>
      </c>
      <c r="C6" t="n">
        <v>30.3</v>
      </c>
      <c r="D6" t="n">
        <v>34.3</v>
      </c>
      <c r="E6" t="n">
        <v>46.5</v>
      </c>
      <c r="F6" t="n">
        <v>1.4</v>
      </c>
      <c r="G6" t="n">
        <v>1.2</v>
      </c>
      <c r="H6" t="n">
        <v>6.6</v>
      </c>
      <c r="I6" t="n">
        <v>65.40000000000001</v>
      </c>
      <c r="J6" t="n">
        <v>18.6</v>
      </c>
      <c r="K6" t="n">
        <v>9.300000000000001</v>
      </c>
      <c r="L6" t="n">
        <v>19.8</v>
      </c>
      <c r="M6" t="n">
        <v>56</v>
      </c>
    </row>
    <row r="7">
      <c r="A7" t="inlineStr">
        <is>
          <t>Kampong Cham</t>
        </is>
      </c>
      <c r="B7" t="n">
        <v>38.2</v>
      </c>
      <c r="C7" t="n">
        <v>29.3</v>
      </c>
      <c r="D7" t="n">
        <v>36.5</v>
      </c>
      <c r="E7" t="n">
        <v>46.1</v>
      </c>
      <c r="F7" t="n">
        <v>1.3</v>
      </c>
      <c r="G7" t="n">
        <v>1.3</v>
      </c>
      <c r="H7" t="n">
        <v>7</v>
      </c>
      <c r="I7" t="n">
        <v>62</v>
      </c>
      <c r="J7" t="n">
        <v>19.6</v>
      </c>
      <c r="K7" t="n">
        <v>11.3</v>
      </c>
      <c r="L7" t="n">
        <v>23.3</v>
      </c>
      <c r="M7" t="n">
        <v>54.2</v>
      </c>
    </row>
    <row r="8">
      <c r="A8" t="inlineStr">
        <is>
          <t>Kampong Chhnang</t>
        </is>
      </c>
      <c r="B8" t="n">
        <v>33</v>
      </c>
      <c r="C8" t="n">
        <v>27.4</v>
      </c>
      <c r="D8" t="n">
        <v>35.8</v>
      </c>
      <c r="E8" t="n">
        <v>46.4</v>
      </c>
      <c r="F8" t="n">
        <v>1.3</v>
      </c>
      <c r="G8" t="n">
        <v>1.2</v>
      </c>
      <c r="H8" t="n">
        <v>5.5</v>
      </c>
      <c r="I8" t="n">
        <v>62.3</v>
      </c>
      <c r="J8" t="n">
        <v>21.4</v>
      </c>
      <c r="K8" t="n">
        <v>10.8</v>
      </c>
      <c r="L8" t="n">
        <v>17.1</v>
      </c>
      <c r="M8" t="n">
        <v>46</v>
      </c>
    </row>
    <row r="9">
      <c r="A9" t="inlineStr">
        <is>
          <t>Kampong Speu</t>
        </is>
      </c>
      <c r="B9" t="n">
        <v>38.4</v>
      </c>
      <c r="C9" t="n">
        <v>32</v>
      </c>
      <c r="D9" t="n">
        <v>39.6</v>
      </c>
      <c r="E9" t="n">
        <v>48.5</v>
      </c>
      <c r="F9" t="n">
        <v>1.2</v>
      </c>
      <c r="G9" t="n">
        <v>1.3</v>
      </c>
      <c r="H9" t="n">
        <v>5.6</v>
      </c>
      <c r="I9" t="n">
        <v>64.3</v>
      </c>
      <c r="J9" t="n">
        <v>20.9</v>
      </c>
      <c r="K9" t="n">
        <v>9.1</v>
      </c>
      <c r="L9" t="n">
        <v>16.8</v>
      </c>
      <c r="M9" t="n">
        <v>41.5</v>
      </c>
    </row>
    <row r="10">
      <c r="A10" t="inlineStr">
        <is>
          <t>Kampong Thom</t>
        </is>
      </c>
      <c r="B10" t="n">
        <v>35.6</v>
      </c>
      <c r="C10" t="n">
        <v>30</v>
      </c>
      <c r="D10" t="n">
        <v>32.3</v>
      </c>
      <c r="E10" t="n">
        <v>41.1</v>
      </c>
      <c r="F10" t="n">
        <v>1.3</v>
      </c>
      <c r="G10" t="n">
        <v>1.6</v>
      </c>
      <c r="H10" t="n">
        <v>6.3</v>
      </c>
      <c r="I10" t="n">
        <v>63.8</v>
      </c>
      <c r="J10" t="n">
        <v>19.1</v>
      </c>
      <c r="K10" t="n">
        <v>10.8</v>
      </c>
      <c r="L10" t="n">
        <v>15.6</v>
      </c>
      <c r="M10" t="n">
        <v>51.9</v>
      </c>
    </row>
    <row r="11">
      <c r="A11" t="inlineStr">
        <is>
          <t>Kampot</t>
        </is>
      </c>
      <c r="B11" t="n">
        <v>26.5</v>
      </c>
      <c r="C11" t="n">
        <v>21.9</v>
      </c>
      <c r="D11" t="n">
        <v>26.6</v>
      </c>
      <c r="E11" t="n">
        <v>39</v>
      </c>
      <c r="F11" t="n">
        <v>1.5</v>
      </c>
      <c r="G11" t="n">
        <v>1.5</v>
      </c>
      <c r="H11" t="n">
        <v>5.6</v>
      </c>
      <c r="I11" t="n">
        <v>60.2</v>
      </c>
      <c r="J11" t="n">
        <v>21.9</v>
      </c>
      <c r="K11" t="n">
        <v>12.3</v>
      </c>
      <c r="L11" t="n">
        <v>17.4</v>
      </c>
      <c r="M11" t="n">
        <v>45.3</v>
      </c>
    </row>
    <row r="12">
      <c r="A12" t="inlineStr">
        <is>
          <t>Kandal</t>
        </is>
      </c>
      <c r="B12" t="n">
        <v>36.1</v>
      </c>
      <c r="C12" t="n">
        <v>29.9</v>
      </c>
      <c r="D12" t="n">
        <v>38.7</v>
      </c>
      <c r="E12" t="n">
        <v>47.2</v>
      </c>
      <c r="F12" t="n">
        <v>1.2</v>
      </c>
      <c r="G12" t="n">
        <v>1.4</v>
      </c>
      <c r="H12" t="n">
        <v>6</v>
      </c>
      <c r="I12" t="n">
        <v>61.3</v>
      </c>
      <c r="J12" t="n">
        <v>21.2</v>
      </c>
      <c r="K12" t="n">
        <v>11.6</v>
      </c>
      <c r="L12" t="n">
        <v>17.2</v>
      </c>
      <c r="M12" t="n">
        <v>51.2</v>
      </c>
    </row>
    <row r="13">
      <c r="A13" t="inlineStr">
        <is>
          <t>Kep</t>
        </is>
      </c>
      <c r="B13" t="n">
        <v>18.9</v>
      </c>
      <c r="C13" t="n">
        <v>15.7</v>
      </c>
      <c r="D13" t="n">
        <v>30</v>
      </c>
      <c r="E13" t="n">
        <v>34.4</v>
      </c>
      <c r="F13" t="n">
        <v>1.1</v>
      </c>
      <c r="G13" t="n">
        <v>1.7</v>
      </c>
      <c r="H13" t="n">
        <v>9.1</v>
      </c>
      <c r="I13" t="n">
        <v>60.8</v>
      </c>
      <c r="J13" t="n">
        <v>19.2</v>
      </c>
      <c r="K13" t="n">
        <v>10.9</v>
      </c>
      <c r="L13" t="n">
        <v>16.9</v>
      </c>
      <c r="M13" t="n">
        <v>48.3</v>
      </c>
    </row>
    <row r="14">
      <c r="A14" t="inlineStr">
        <is>
          <t>Koh Kong</t>
        </is>
      </c>
      <c r="B14" t="n">
        <v>23.4</v>
      </c>
      <c r="C14" t="n">
        <v>20.3</v>
      </c>
      <c r="D14" t="n">
        <v>23.3</v>
      </c>
      <c r="E14" t="n">
        <v>32.4</v>
      </c>
      <c r="F14" t="n">
        <v>1.4</v>
      </c>
      <c r="G14" t="n">
        <v>1.9</v>
      </c>
      <c r="H14" t="n">
        <v>7.4</v>
      </c>
      <c r="I14" t="n">
        <v>61.2</v>
      </c>
      <c r="J14" t="n">
        <v>20.3</v>
      </c>
      <c r="K14" t="n">
        <v>11.1</v>
      </c>
      <c r="L14" t="n">
        <v>13.4</v>
      </c>
      <c r="M14" t="n">
        <v>45.6</v>
      </c>
    </row>
    <row r="15">
      <c r="A15" t="inlineStr">
        <is>
          <t>Kratie</t>
        </is>
      </c>
      <c r="B15" t="n">
        <v>33.2</v>
      </c>
      <c r="C15" t="n">
        <v>28.9</v>
      </c>
      <c r="D15" t="n">
        <v>29.9</v>
      </c>
      <c r="E15" t="n">
        <v>42.8</v>
      </c>
      <c r="F15" t="n">
        <v>1.4</v>
      </c>
      <c r="G15" t="n">
        <v>1.3</v>
      </c>
      <c r="H15" t="n">
        <v>5</v>
      </c>
      <c r="I15" t="n">
        <v>71.5</v>
      </c>
      <c r="J15" t="n">
        <v>16.1</v>
      </c>
      <c r="K15" t="n">
        <v>7.4</v>
      </c>
      <c r="L15" t="n">
        <v>13</v>
      </c>
      <c r="M15" t="n">
        <v>59.7</v>
      </c>
    </row>
    <row r="16">
      <c r="A16" t="inlineStr">
        <is>
          <t>Mondul Kiri</t>
        </is>
      </c>
      <c r="B16" t="n">
        <v>23.5</v>
      </c>
      <c r="C16" t="n">
        <v>21.9</v>
      </c>
      <c r="D16" t="n">
        <v>25.6</v>
      </c>
      <c r="E16" t="n">
        <v>33.8</v>
      </c>
      <c r="F16" t="n">
        <v>1.3</v>
      </c>
      <c r="G16" t="n">
        <v>1.9</v>
      </c>
      <c r="H16" t="n">
        <v>5.4</v>
      </c>
      <c r="I16" t="n">
        <v>69.09999999999999</v>
      </c>
      <c r="J16" t="n">
        <v>16.9</v>
      </c>
      <c r="K16" t="n">
        <v>8.699999999999999</v>
      </c>
      <c r="L16" t="n">
        <v>6.8</v>
      </c>
      <c r="M16" t="n">
        <v>49.4</v>
      </c>
    </row>
    <row r="17">
      <c r="A17" t="inlineStr">
        <is>
          <t>Otdar Meanchey</t>
        </is>
      </c>
      <c r="B17" t="n">
        <v>35.1</v>
      </c>
      <c r="C17" t="n">
        <v>29</v>
      </c>
      <c r="D17" t="n">
        <v>27.6</v>
      </c>
      <c r="E17" t="n">
        <v>36.9</v>
      </c>
      <c r="F17" t="n">
        <v>1.3</v>
      </c>
      <c r="G17" t="n">
        <v>1.8</v>
      </c>
      <c r="H17" t="n">
        <v>6.1</v>
      </c>
      <c r="I17" t="n">
        <v>66</v>
      </c>
      <c r="J17" t="n">
        <v>18.6</v>
      </c>
      <c r="K17" t="n">
        <v>9.300000000000001</v>
      </c>
      <c r="L17" t="n">
        <v>17.5</v>
      </c>
      <c r="M17" t="n">
        <v>42.9</v>
      </c>
    </row>
    <row r="18">
      <c r="A18" t="inlineStr">
        <is>
          <t>Pailin</t>
        </is>
      </c>
      <c r="B18" t="n">
        <v>24.3</v>
      </c>
      <c r="C18" t="n">
        <v>21.3</v>
      </c>
      <c r="D18" t="n">
        <v>30.2</v>
      </c>
      <c r="E18" t="n">
        <v>38.2</v>
      </c>
      <c r="F18" t="n">
        <v>1.3</v>
      </c>
      <c r="G18" t="n">
        <v>1.6</v>
      </c>
      <c r="H18" t="n">
        <v>6</v>
      </c>
      <c r="I18" t="n">
        <v>60.7</v>
      </c>
      <c r="J18" t="n">
        <v>21.9</v>
      </c>
      <c r="K18" t="n">
        <v>11.4</v>
      </c>
      <c r="L18" t="n">
        <v>12.4</v>
      </c>
      <c r="M18" t="n">
        <v>50.4</v>
      </c>
    </row>
    <row r="19">
      <c r="A19" t="inlineStr">
        <is>
          <t>Phnom Penh</t>
        </is>
      </c>
      <c r="B19" t="n">
        <v>26.5</v>
      </c>
      <c r="C19" t="n">
        <v>23.6</v>
      </c>
      <c r="D19" t="n">
        <v>43</v>
      </c>
      <c r="E19" t="n">
        <v>60.6</v>
      </c>
      <c r="F19" t="n">
        <v>1.4</v>
      </c>
      <c r="G19" t="n">
        <v>1</v>
      </c>
      <c r="H19" t="n">
        <v>4</v>
      </c>
      <c r="I19" t="n">
        <v>55.2</v>
      </c>
      <c r="J19" t="n">
        <v>24</v>
      </c>
      <c r="K19" t="n">
        <v>16.8</v>
      </c>
      <c r="L19" t="n">
        <v>11.2</v>
      </c>
      <c r="M19" t="n">
        <v>55.6</v>
      </c>
    </row>
    <row r="20">
      <c r="A20" t="inlineStr">
        <is>
          <t>Preah Sihanouk</t>
        </is>
      </c>
      <c r="B20" t="n">
        <v>26.7</v>
      </c>
      <c r="C20" t="n">
        <v>22.9</v>
      </c>
      <c r="D20" t="n">
        <v>35.4</v>
      </c>
      <c r="E20" t="n">
        <v>40.7</v>
      </c>
      <c r="F20" t="n">
        <v>1.2</v>
      </c>
      <c r="G20" t="n">
        <v>1.5</v>
      </c>
      <c r="H20" t="n">
        <v>4.5</v>
      </c>
      <c r="I20" t="n">
        <v>63.8</v>
      </c>
      <c r="J20" t="n">
        <v>20.8</v>
      </c>
      <c r="K20" t="n">
        <v>10.9</v>
      </c>
      <c r="L20" t="n">
        <v>14.1</v>
      </c>
      <c r="M20" t="n">
        <v>48.5</v>
      </c>
    </row>
    <row r="21">
      <c r="A21" t="inlineStr">
        <is>
          <t>Preah Vihear</t>
        </is>
      </c>
      <c r="B21" t="n">
        <v>26.8</v>
      </c>
      <c r="C21" t="n">
        <v>23.1</v>
      </c>
      <c r="D21" t="n">
        <v>26.2</v>
      </c>
      <c r="E21" t="n">
        <v>32.1</v>
      </c>
      <c r="F21" t="n">
        <v>1.2</v>
      </c>
      <c r="G21" t="n">
        <v>1.8</v>
      </c>
      <c r="H21" t="n">
        <v>7.1</v>
      </c>
      <c r="I21" t="n">
        <v>64.90000000000001</v>
      </c>
      <c r="J21" t="n">
        <v>18.3</v>
      </c>
      <c r="K21" t="n">
        <v>9.800000000000001</v>
      </c>
      <c r="L21" t="n">
        <v>13.8</v>
      </c>
      <c r="M21" t="n">
        <v>49.4</v>
      </c>
    </row>
    <row r="22">
      <c r="A22" t="inlineStr">
        <is>
          <t>Prey Veng</t>
        </is>
      </c>
      <c r="B22" t="n">
        <v>41.3</v>
      </c>
      <c r="C22" t="n">
        <v>31.1</v>
      </c>
      <c r="D22" t="n">
        <v>35.1</v>
      </c>
      <c r="E22" t="n">
        <v>42.2</v>
      </c>
      <c r="F22" t="n">
        <v>1.2</v>
      </c>
      <c r="G22" t="n">
        <v>1.4</v>
      </c>
      <c r="H22" t="n">
        <v>6.9</v>
      </c>
      <c r="I22" t="n">
        <v>61.5</v>
      </c>
      <c r="J22" t="n">
        <v>21</v>
      </c>
      <c r="K22" t="n">
        <v>10.6</v>
      </c>
      <c r="L22" t="n">
        <v>24.7</v>
      </c>
      <c r="M22" t="n">
        <v>42.8</v>
      </c>
    </row>
    <row r="23">
      <c r="A23" t="inlineStr">
        <is>
          <t>Pursat</t>
        </is>
      </c>
      <c r="B23" t="n">
        <v>35.5</v>
      </c>
      <c r="C23" t="n">
        <v>28.7</v>
      </c>
      <c r="D23" t="n">
        <v>33.2</v>
      </c>
      <c r="E23" t="n">
        <v>43.1</v>
      </c>
      <c r="F23" t="n">
        <v>1.3</v>
      </c>
      <c r="G23" t="n">
        <v>1.3</v>
      </c>
      <c r="H23" t="n">
        <v>7.1</v>
      </c>
      <c r="I23" t="n">
        <v>64.7</v>
      </c>
      <c r="J23" t="n">
        <v>18.4</v>
      </c>
      <c r="K23" t="n">
        <v>9.699999999999999</v>
      </c>
      <c r="L23" t="n">
        <v>19</v>
      </c>
      <c r="M23" t="n">
        <v>46.2</v>
      </c>
    </row>
    <row r="24">
      <c r="A24" t="inlineStr">
        <is>
          <t>Ratanak Kiri</t>
        </is>
      </c>
      <c r="B24" t="n">
        <v>39.4</v>
      </c>
      <c r="C24" t="n">
        <v>35.8</v>
      </c>
      <c r="D24" t="n">
        <v>28.6</v>
      </c>
      <c r="E24" t="n">
        <v>43.3</v>
      </c>
      <c r="F24" t="n">
        <v>1.5</v>
      </c>
      <c r="G24" t="n">
        <v>1.4</v>
      </c>
      <c r="H24" t="n">
        <v>4.6</v>
      </c>
      <c r="I24" t="n">
        <v>70.40000000000001</v>
      </c>
      <c r="J24" t="n">
        <v>16.6</v>
      </c>
      <c r="K24" t="n">
        <v>8.4</v>
      </c>
      <c r="L24" t="n">
        <v>9</v>
      </c>
      <c r="M24" t="n">
        <v>47.2</v>
      </c>
    </row>
    <row r="25">
      <c r="A25" t="inlineStr">
        <is>
          <t>Siemreap</t>
        </is>
      </c>
      <c r="B25" t="n">
        <v>46.9</v>
      </c>
      <c r="C25" t="n">
        <v>36.2</v>
      </c>
      <c r="D25" t="n">
        <v>36.6</v>
      </c>
      <c r="E25" t="n">
        <v>49.7</v>
      </c>
      <c r="F25" t="n">
        <v>1.4</v>
      </c>
      <c r="G25" t="n">
        <v>1.2</v>
      </c>
      <c r="H25" t="n">
        <v>10.2</v>
      </c>
      <c r="I25" t="n">
        <v>59.2</v>
      </c>
      <c r="J25" t="n">
        <v>19.3</v>
      </c>
      <c r="K25" t="n">
        <v>11.3</v>
      </c>
      <c r="L25" t="n">
        <v>22.8</v>
      </c>
      <c r="M25" t="n">
        <v>58.3</v>
      </c>
    </row>
    <row r="26">
      <c r="A26" t="inlineStr">
        <is>
          <t>Stung Treng</t>
        </is>
      </c>
      <c r="B26" t="n">
        <v>27</v>
      </c>
      <c r="C26" t="n">
        <v>23.7</v>
      </c>
      <c r="D26" t="n">
        <v>21.3</v>
      </c>
      <c r="E26" t="n">
        <v>35.3</v>
      </c>
      <c r="F26" t="n">
        <v>1.7</v>
      </c>
      <c r="G26" t="n">
        <v>1.7</v>
      </c>
      <c r="H26" t="n">
        <v>3.6</v>
      </c>
      <c r="I26" t="n">
        <v>73.3</v>
      </c>
      <c r="J26" t="n">
        <v>15.5</v>
      </c>
      <c r="K26" t="n">
        <v>7.5</v>
      </c>
      <c r="L26" t="n">
        <v>12.1</v>
      </c>
      <c r="M26" t="n">
        <v>52.6</v>
      </c>
    </row>
    <row r="27">
      <c r="A27" t="inlineStr">
        <is>
          <t>Svay Rieng</t>
        </is>
      </c>
      <c r="B27" t="n">
        <v>32.4</v>
      </c>
      <c r="C27" t="n">
        <v>25.7</v>
      </c>
      <c r="D27" t="n">
        <v>34</v>
      </c>
      <c r="E27" t="n">
        <v>39.3</v>
      </c>
      <c r="F27" t="n">
        <v>1.2</v>
      </c>
      <c r="G27" t="n">
        <v>1.5</v>
      </c>
      <c r="H27" t="n">
        <v>5.7</v>
      </c>
      <c r="I27" t="n">
        <v>62.2</v>
      </c>
      <c r="J27" t="n">
        <v>21.7</v>
      </c>
      <c r="K27" t="n">
        <v>10.4</v>
      </c>
      <c r="L27" t="n">
        <v>20.6</v>
      </c>
      <c r="M27" t="n">
        <v>36.5</v>
      </c>
    </row>
    <row r="28">
      <c r="A28" t="inlineStr">
        <is>
          <t>Takeo</t>
        </is>
      </c>
      <c r="B28" t="n">
        <v>30.9</v>
      </c>
      <c r="C28" t="n">
        <v>24.3</v>
      </c>
      <c r="D28" t="n">
        <v>33.9</v>
      </c>
      <c r="E28" t="n">
        <v>37</v>
      </c>
      <c r="F28" t="n">
        <v>1.1</v>
      </c>
      <c r="G28" t="n">
        <v>1.8</v>
      </c>
      <c r="H28" t="n">
        <v>6.2</v>
      </c>
      <c r="I28" t="n">
        <v>56.8</v>
      </c>
      <c r="J28" t="n">
        <v>22.8</v>
      </c>
      <c r="K28" t="n">
        <v>14.2</v>
      </c>
      <c r="L28" t="n">
        <v>21.4</v>
      </c>
      <c r="M28" t="n">
        <v>38.1</v>
      </c>
    </row>
    <row r="29">
      <c r="A29" t="inlineStr">
        <is>
          <t>Tbaung Khmum</t>
        </is>
      </c>
      <c r="B29" t="n">
        <v>43.7</v>
      </c>
      <c r="C29" t="n">
        <v>35.4</v>
      </c>
      <c r="D29" t="n">
        <v>34.9</v>
      </c>
      <c r="E29" t="n">
        <v>45.3</v>
      </c>
      <c r="F29" t="n">
        <v>1.3</v>
      </c>
      <c r="G29" t="n">
        <v>1.3</v>
      </c>
      <c r="H29" t="n">
        <v>8</v>
      </c>
      <c r="I29" t="n">
        <v>64.2</v>
      </c>
      <c r="J29" t="n">
        <v>18.8</v>
      </c>
      <c r="K29" t="n">
        <v>9</v>
      </c>
      <c r="L29" t="n">
        <v>19</v>
      </c>
      <c r="M29" t="n">
        <v>51.2</v>
      </c>
    </row>
    <row r="30">
      <c r="A30" t="inlineStr">
        <is>
          <t>Whole Kingdom</t>
        </is>
      </c>
      <c r="B30" t="n">
        <v>34.6</v>
      </c>
      <c r="C30" t="n">
        <v>28.4</v>
      </c>
      <c r="D30" t="n">
        <v>34.2</v>
      </c>
      <c r="E30" t="n">
        <v>43.9</v>
      </c>
      <c r="F30" t="n">
        <v>1.3</v>
      </c>
      <c r="G30" t="n">
        <v>1.4</v>
      </c>
      <c r="H30" t="n">
        <v>6.6</v>
      </c>
      <c r="I30" t="n">
        <v>62.1</v>
      </c>
      <c r="J30" t="n">
        <v>20.2</v>
      </c>
      <c r="K30" t="n">
        <v>11</v>
      </c>
      <c r="L30" t="n">
        <v>18</v>
      </c>
      <c r="M30" t="n">
        <v>49.2</v>
      </c>
    </row>
    <row r="31">
      <c r="A31" t="inlineStr">
        <is>
          <t>-  Urban Area</t>
        </is>
      </c>
      <c r="B31" t="n">
        <v>27.9</v>
      </c>
      <c r="C31" t="n">
        <v>23.9</v>
      </c>
      <c r="D31" t="n">
        <v>39</v>
      </c>
      <c r="E31" t="n">
        <v>50.5</v>
      </c>
      <c r="F31" t="n">
        <v>1.3</v>
      </c>
      <c r="G31" t="n">
        <v>1.2</v>
      </c>
      <c r="H31" t="n">
        <v>5.8</v>
      </c>
      <c r="I31" t="n">
        <v>55.1</v>
      </c>
      <c r="J31" t="n">
        <v>22.2</v>
      </c>
      <c r="K31" t="n">
        <v>16.8</v>
      </c>
      <c r="L31" t="n">
        <v>14.3</v>
      </c>
      <c r="M31" t="n">
        <v>55.6</v>
      </c>
    </row>
    <row r="32">
      <c r="A32" t="inlineStr">
        <is>
          <t>-  Rural Area</t>
        </is>
      </c>
      <c r="B32" t="n">
        <v>36.7</v>
      </c>
      <c r="C32" t="n">
        <v>29.7</v>
      </c>
      <c r="D32" t="n">
        <v>33.2</v>
      </c>
      <c r="E32" t="n">
        <v>42.6</v>
      </c>
      <c r="F32" t="n">
        <v>1.3</v>
      </c>
      <c r="G32" t="n">
        <v>1.4</v>
      </c>
      <c r="H32" t="n">
        <v>6.8</v>
      </c>
      <c r="I32" t="n">
        <v>63.8</v>
      </c>
      <c r="J32" t="n">
        <v>19.7</v>
      </c>
      <c r="K32" t="n">
        <v>9.6</v>
      </c>
      <c r="L32" t="n">
        <v>19.1</v>
      </c>
      <c r="M32" t="n">
        <v>47.3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00B0F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5703125" customWidth="1" min="2" max="2"/>
    <col width="8.28515625" customWidth="1" min="4" max="4"/>
    <col width="9.5703125" customWidth="1" min="5" max="5"/>
    <col width="8.28515625" customWidth="1" min="7" max="7"/>
    <col width="9.5703125" customWidth="1" min="8" max="8"/>
    <col width="8.28515625" customWidth="1" min="10" max="10"/>
    <col width="9" customWidth="1" min="11" max="11"/>
    <col width="8.5703125" customWidth="1" min="13" max="13"/>
  </cols>
  <sheetData>
    <row r="1">
      <c r="A1" t="inlineStr">
        <is>
          <t>Table 16: Student Flow Rates and Graduates by level for Both Sex 2020 - 2021</t>
        </is>
      </c>
    </row>
    <row r="2">
      <c r="A2" t="inlineStr">
        <is>
          <t>Province</t>
        </is>
      </c>
      <c r="B2" t="inlineStr">
        <is>
          <t>Primary Level (Grades 1-6)</t>
        </is>
      </c>
      <c r="E2" t="inlineStr">
        <is>
          <t>Lower Secondary Level (Grades 7-9)</t>
        </is>
      </c>
      <c r="H2" t="inlineStr">
        <is>
          <t>Upper Secondary Level (Grades 10-12)</t>
        </is>
      </c>
      <c r="K2" t="inlineStr">
        <is>
          <t>Successful Candidates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Grade 6</t>
        </is>
      </c>
      <c r="L3" t="inlineStr">
        <is>
          <t>Grade 9</t>
        </is>
      </c>
      <c r="M3" t="inlineStr">
        <is>
          <t>Grade 12</t>
        </is>
      </c>
    </row>
    <row r="4">
      <c r="A4" t="inlineStr">
        <is>
          <t>Banteay Meanchey</t>
        </is>
      </c>
      <c r="B4" t="n">
        <v>89.5</v>
      </c>
      <c r="C4" t="n">
        <v>4.9</v>
      </c>
      <c r="D4" t="n">
        <v>5.5</v>
      </c>
      <c r="E4" t="n">
        <v>87.09999999999999</v>
      </c>
      <c r="F4" t="n">
        <v>0.9</v>
      </c>
      <c r="G4" t="n">
        <v>12.1</v>
      </c>
      <c r="H4" t="n">
        <v>85.5</v>
      </c>
      <c r="I4" t="n">
        <v>0.8</v>
      </c>
      <c r="J4" t="n">
        <v>13.8</v>
      </c>
      <c r="K4" t="n">
        <v>13425</v>
      </c>
      <c r="L4" t="n">
        <v>6483</v>
      </c>
      <c r="M4" t="n">
        <v>2846</v>
      </c>
    </row>
    <row r="5">
      <c r="A5" t="inlineStr">
        <is>
          <t>Battambang</t>
        </is>
      </c>
      <c r="B5" t="n">
        <v>85.09999999999999</v>
      </c>
      <c r="C5" t="n">
        <v>6.9</v>
      </c>
      <c r="D5" t="n">
        <v>8</v>
      </c>
      <c r="E5" t="n">
        <v>82.09999999999999</v>
      </c>
      <c r="F5" t="n">
        <v>1.2</v>
      </c>
      <c r="G5" t="n">
        <v>16.7</v>
      </c>
      <c r="H5" t="n">
        <v>79.5</v>
      </c>
      <c r="I5" t="n">
        <v>1.3</v>
      </c>
      <c r="J5" t="n">
        <v>19.1</v>
      </c>
      <c r="K5" t="n">
        <v>17707</v>
      </c>
      <c r="L5" t="n">
        <v>8854</v>
      </c>
      <c r="M5" t="n">
        <v>3670</v>
      </c>
    </row>
    <row r="6">
      <c r="A6" t="inlineStr">
        <is>
          <t>Kampong Cham</t>
        </is>
      </c>
      <c r="B6" t="n">
        <v>80.90000000000001</v>
      </c>
      <c r="C6" t="n">
        <v>9.699999999999999</v>
      </c>
      <c r="D6" t="n">
        <v>9.4</v>
      </c>
      <c r="E6" t="n">
        <v>80.09999999999999</v>
      </c>
      <c r="F6" t="n">
        <v>1.2</v>
      </c>
      <c r="G6" t="n">
        <v>18.7</v>
      </c>
      <c r="H6" t="n">
        <v>78.90000000000001</v>
      </c>
      <c r="I6" t="n">
        <v>1.3</v>
      </c>
      <c r="J6" t="n">
        <v>19.8</v>
      </c>
      <c r="K6" t="n">
        <v>12191</v>
      </c>
      <c r="L6" t="n">
        <v>7169</v>
      </c>
      <c r="M6" t="n">
        <v>3875</v>
      </c>
    </row>
    <row r="7">
      <c r="A7" t="inlineStr">
        <is>
          <t>Kampong Chhnang</t>
        </is>
      </c>
      <c r="B7" t="n">
        <v>87.7</v>
      </c>
      <c r="C7" t="n">
        <v>8.300000000000001</v>
      </c>
      <c r="D7" t="n">
        <v>4</v>
      </c>
      <c r="E7" t="n">
        <v>81</v>
      </c>
      <c r="F7" t="n">
        <v>0.7</v>
      </c>
      <c r="G7" t="n">
        <v>18.3</v>
      </c>
      <c r="H7" t="n">
        <v>74</v>
      </c>
      <c r="I7" t="n">
        <v>1.1</v>
      </c>
      <c r="J7" t="n">
        <v>24.9</v>
      </c>
      <c r="K7" t="n">
        <v>9809</v>
      </c>
      <c r="L7" t="n">
        <v>4566</v>
      </c>
      <c r="M7" t="n">
        <v>1835</v>
      </c>
    </row>
    <row r="8">
      <c r="A8" t="inlineStr">
        <is>
          <t>Kampong Speu</t>
        </is>
      </c>
      <c r="B8" t="n">
        <v>86.09999999999999</v>
      </c>
      <c r="C8" t="n">
        <v>5.7</v>
      </c>
      <c r="D8" t="n">
        <v>8.199999999999999</v>
      </c>
      <c r="E8" t="n">
        <v>71.59999999999999</v>
      </c>
      <c r="F8" t="n">
        <v>0.7</v>
      </c>
      <c r="G8" t="n">
        <v>27.7</v>
      </c>
      <c r="H8" t="n">
        <v>68.5</v>
      </c>
      <c r="I8" t="n">
        <v>0.7</v>
      </c>
      <c r="J8" t="n">
        <v>30.8</v>
      </c>
      <c r="K8" t="n">
        <v>11387</v>
      </c>
      <c r="L8" t="n">
        <v>3827</v>
      </c>
      <c r="M8" t="n">
        <v>1599</v>
      </c>
    </row>
    <row r="9">
      <c r="A9" t="inlineStr">
        <is>
          <t>Kampong Thom</t>
        </is>
      </c>
      <c r="B9" t="n">
        <v>83.3</v>
      </c>
      <c r="C9" t="n">
        <v>7.7</v>
      </c>
      <c r="D9" t="n">
        <v>9</v>
      </c>
      <c r="E9" t="n">
        <v>81.2</v>
      </c>
      <c r="F9" t="n">
        <v>0.8</v>
      </c>
      <c r="G9" t="n">
        <v>18</v>
      </c>
      <c r="H9" t="n">
        <v>80.09999999999999</v>
      </c>
      <c r="I9" t="n">
        <v>0.8</v>
      </c>
      <c r="J9" t="n">
        <v>19.2</v>
      </c>
      <c r="K9" t="n">
        <v>8944</v>
      </c>
      <c r="L9" t="n">
        <v>5990</v>
      </c>
      <c r="M9" t="n">
        <v>2725</v>
      </c>
    </row>
    <row r="10">
      <c r="A10" t="inlineStr">
        <is>
          <t>Kampot</t>
        </is>
      </c>
      <c r="B10" t="n">
        <v>88.3</v>
      </c>
      <c r="C10" t="n">
        <v>5.3</v>
      </c>
      <c r="D10" t="n">
        <v>6.4</v>
      </c>
      <c r="E10" t="n">
        <v>82.59999999999999</v>
      </c>
      <c r="F10" t="n">
        <v>1.5</v>
      </c>
      <c r="G10" t="n">
        <v>15.8</v>
      </c>
      <c r="H10" t="n">
        <v>79.5</v>
      </c>
      <c r="I10" t="n">
        <v>1.1</v>
      </c>
      <c r="J10" t="n">
        <v>19.4</v>
      </c>
      <c r="K10" t="n">
        <v>9182</v>
      </c>
      <c r="L10" t="n">
        <v>5349</v>
      </c>
      <c r="M10" t="n">
        <v>2852</v>
      </c>
    </row>
    <row r="11">
      <c r="A11" t="inlineStr">
        <is>
          <t>Kandal</t>
        </is>
      </c>
      <c r="B11" t="n">
        <v>84.90000000000001</v>
      </c>
      <c r="C11" t="n">
        <v>11.5</v>
      </c>
      <c r="D11" t="n">
        <v>3.6</v>
      </c>
      <c r="E11" t="n">
        <v>87.7</v>
      </c>
      <c r="F11" t="n">
        <v>1.1</v>
      </c>
      <c r="G11" t="n">
        <v>11.2</v>
      </c>
      <c r="H11" t="n">
        <v>81.3</v>
      </c>
      <c r="I11" t="n">
        <v>0.9</v>
      </c>
      <c r="J11" t="n">
        <v>17.8</v>
      </c>
      <c r="K11" t="n">
        <v>21715</v>
      </c>
      <c r="L11" t="n">
        <v>11868</v>
      </c>
      <c r="M11" t="n">
        <v>5397</v>
      </c>
    </row>
    <row r="12">
      <c r="A12" t="inlineStr">
        <is>
          <t>Kep</t>
        </is>
      </c>
      <c r="B12" t="n">
        <v>87.40000000000001</v>
      </c>
      <c r="C12" t="n">
        <v>5.5</v>
      </c>
      <c r="D12" t="n">
        <v>7.1</v>
      </c>
      <c r="E12" t="n">
        <v>86.90000000000001</v>
      </c>
      <c r="F12" t="n">
        <v>2.8</v>
      </c>
      <c r="G12" t="n">
        <v>10.3</v>
      </c>
      <c r="H12" t="n">
        <v>90.40000000000001</v>
      </c>
      <c r="I12" t="n">
        <v>0.1</v>
      </c>
      <c r="J12" t="n">
        <v>9.5</v>
      </c>
      <c r="K12" t="n">
        <v>605</v>
      </c>
      <c r="L12" t="n">
        <v>324</v>
      </c>
      <c r="M12" t="n">
        <v>259</v>
      </c>
    </row>
    <row r="13">
      <c r="A13" t="inlineStr">
        <is>
          <t>Koh Kong</t>
        </is>
      </c>
      <c r="B13" t="n">
        <v>84.2</v>
      </c>
      <c r="C13" t="n">
        <v>5.1</v>
      </c>
      <c r="D13" t="n">
        <v>10.7</v>
      </c>
      <c r="E13" t="n">
        <v>83.40000000000001</v>
      </c>
      <c r="F13" t="n">
        <v>1.7</v>
      </c>
      <c r="G13" t="n">
        <v>14.9</v>
      </c>
      <c r="H13" t="n">
        <v>80.8</v>
      </c>
      <c r="I13" t="n">
        <v>0.5</v>
      </c>
      <c r="J13" t="n">
        <v>18.7</v>
      </c>
      <c r="K13" t="n">
        <v>1639</v>
      </c>
      <c r="L13" t="n">
        <v>1018</v>
      </c>
      <c r="M13" t="n">
        <v>527</v>
      </c>
    </row>
    <row r="14">
      <c r="A14" t="inlineStr">
        <is>
          <t>Kratie</t>
        </is>
      </c>
      <c r="B14" t="n">
        <v>80</v>
      </c>
      <c r="C14" t="n">
        <v>9.800000000000001</v>
      </c>
      <c r="D14" t="n">
        <v>10.2</v>
      </c>
      <c r="E14" t="n">
        <v>78.59999999999999</v>
      </c>
      <c r="F14" t="n">
        <v>1.3</v>
      </c>
      <c r="G14" t="n">
        <v>20.1</v>
      </c>
      <c r="H14" t="n">
        <v>83.09999999999999</v>
      </c>
      <c r="I14" t="n">
        <v>0.4</v>
      </c>
      <c r="J14" t="n">
        <v>16.5</v>
      </c>
      <c r="K14" t="n">
        <v>5259</v>
      </c>
      <c r="L14" t="n">
        <v>2410</v>
      </c>
      <c r="M14" t="n">
        <v>1273</v>
      </c>
    </row>
    <row r="15">
      <c r="A15" t="inlineStr">
        <is>
          <t>Mondul Kiri</t>
        </is>
      </c>
      <c r="B15" t="n">
        <v>85</v>
      </c>
      <c r="C15" t="n">
        <v>7</v>
      </c>
      <c r="D15" t="n">
        <v>7.9</v>
      </c>
      <c r="E15" t="n">
        <v>84.8</v>
      </c>
      <c r="F15" t="n">
        <v>2.3</v>
      </c>
      <c r="G15" t="n">
        <v>12.9</v>
      </c>
      <c r="H15" t="n">
        <v>88.90000000000001</v>
      </c>
      <c r="I15" t="n">
        <v>1.2</v>
      </c>
      <c r="J15" t="n">
        <v>9.9</v>
      </c>
      <c r="K15" t="n">
        <v>1503</v>
      </c>
      <c r="L15" t="n">
        <v>785</v>
      </c>
      <c r="M15" t="n">
        <v>359</v>
      </c>
    </row>
    <row r="16">
      <c r="A16" t="inlineStr">
        <is>
          <t>Otdar Meanchey</t>
        </is>
      </c>
      <c r="B16" t="n">
        <v>80.90000000000001</v>
      </c>
      <c r="C16" t="n">
        <v>8.5</v>
      </c>
      <c r="D16" t="n">
        <v>10.7</v>
      </c>
      <c r="E16" t="n">
        <v>81.40000000000001</v>
      </c>
      <c r="F16" t="n">
        <v>1.8</v>
      </c>
      <c r="G16" t="n">
        <v>16.8</v>
      </c>
      <c r="H16" t="n">
        <v>85.2</v>
      </c>
      <c r="I16" t="n">
        <v>2.3</v>
      </c>
      <c r="J16" t="n">
        <v>12.5</v>
      </c>
      <c r="K16" t="n">
        <v>3048</v>
      </c>
      <c r="L16" t="n">
        <v>1989</v>
      </c>
      <c r="M16" t="n">
        <v>1203</v>
      </c>
    </row>
    <row r="17">
      <c r="A17" t="inlineStr">
        <is>
          <t>Pailin</t>
        </is>
      </c>
      <c r="B17" t="n">
        <v>80.2</v>
      </c>
      <c r="C17" t="n">
        <v>8.199999999999999</v>
      </c>
      <c r="D17" t="n">
        <v>11.6</v>
      </c>
      <c r="E17" t="n">
        <v>80.40000000000001</v>
      </c>
      <c r="F17" t="n">
        <v>2.2</v>
      </c>
      <c r="G17" t="n">
        <v>17.4</v>
      </c>
      <c r="H17" t="n">
        <v>82.3</v>
      </c>
      <c r="I17" t="n">
        <v>2.1</v>
      </c>
      <c r="J17" t="n">
        <v>15.5</v>
      </c>
      <c r="K17" t="n">
        <v>882</v>
      </c>
      <c r="L17" t="n">
        <v>663</v>
      </c>
      <c r="M17" t="n">
        <v>355</v>
      </c>
    </row>
    <row r="18">
      <c r="A18" t="inlineStr">
        <is>
          <t>Phnom Penh</t>
        </is>
      </c>
      <c r="B18" t="n">
        <v>84.3</v>
      </c>
      <c r="C18" t="n">
        <v>5.5</v>
      </c>
      <c r="D18" t="n">
        <v>10.2</v>
      </c>
      <c r="E18" t="n">
        <v>85.8</v>
      </c>
      <c r="F18" t="n">
        <v>1.9</v>
      </c>
      <c r="G18" t="n">
        <v>12.3</v>
      </c>
      <c r="H18" t="n">
        <v>84.59999999999999</v>
      </c>
      <c r="I18" t="n">
        <v>1.8</v>
      </c>
      <c r="J18" t="n">
        <v>13.6</v>
      </c>
      <c r="K18" t="n">
        <v>14464</v>
      </c>
      <c r="L18" t="n">
        <v>10056</v>
      </c>
      <c r="M18" t="n">
        <v>6080</v>
      </c>
    </row>
    <row r="19">
      <c r="A19" t="inlineStr">
        <is>
          <t>Preah Sihanouk</t>
        </is>
      </c>
      <c r="B19" t="n">
        <v>82.90000000000001</v>
      </c>
      <c r="C19" t="n">
        <v>8.5</v>
      </c>
      <c r="D19" t="n">
        <v>8.6</v>
      </c>
      <c r="E19" t="n">
        <v>85.09999999999999</v>
      </c>
      <c r="F19" t="n">
        <v>1.8</v>
      </c>
      <c r="G19" t="n">
        <v>13.1</v>
      </c>
      <c r="H19" t="n">
        <v>86.2</v>
      </c>
      <c r="I19" t="n">
        <v>0.4</v>
      </c>
      <c r="J19" t="n">
        <v>13.4</v>
      </c>
      <c r="K19" t="n">
        <v>3011</v>
      </c>
      <c r="L19" t="n">
        <v>1682</v>
      </c>
      <c r="M19" t="n">
        <v>886</v>
      </c>
    </row>
    <row r="20">
      <c r="A20" t="inlineStr">
        <is>
          <t>Preah Vihear</t>
        </is>
      </c>
      <c r="B20" t="n">
        <v>80.7</v>
      </c>
      <c r="C20" t="n">
        <v>11</v>
      </c>
      <c r="D20" t="n">
        <v>8.300000000000001</v>
      </c>
      <c r="E20" t="n">
        <v>85.09999999999999</v>
      </c>
      <c r="F20" t="n">
        <v>0.5</v>
      </c>
      <c r="G20" t="n">
        <v>14.4</v>
      </c>
      <c r="H20" t="n">
        <v>76.90000000000001</v>
      </c>
      <c r="I20" t="n">
        <v>0.5</v>
      </c>
      <c r="J20" t="n">
        <v>22.6</v>
      </c>
      <c r="K20" t="n">
        <v>3674</v>
      </c>
      <c r="L20" t="n">
        <v>2274</v>
      </c>
      <c r="M20" t="n">
        <v>893</v>
      </c>
    </row>
    <row r="21">
      <c r="A21" t="inlineStr">
        <is>
          <t>Prey Veng</t>
        </is>
      </c>
      <c r="B21" t="n">
        <v>86</v>
      </c>
      <c r="C21" t="n">
        <v>7.8</v>
      </c>
      <c r="D21" t="n">
        <v>6.2</v>
      </c>
      <c r="E21" t="n">
        <v>81.09999999999999</v>
      </c>
      <c r="F21" t="n">
        <v>0.4</v>
      </c>
      <c r="G21" t="n">
        <v>18.5</v>
      </c>
      <c r="H21" t="n">
        <v>78.5</v>
      </c>
      <c r="I21" t="n">
        <v>0.9</v>
      </c>
      <c r="J21" t="n">
        <v>20.6</v>
      </c>
      <c r="K21" t="n">
        <v>17432</v>
      </c>
      <c r="L21" t="n">
        <v>8411</v>
      </c>
      <c r="M21" t="n">
        <v>4049</v>
      </c>
    </row>
    <row r="22">
      <c r="A22" t="inlineStr">
        <is>
          <t>Pursat</t>
        </is>
      </c>
      <c r="B22" t="n">
        <v>83.7</v>
      </c>
      <c r="C22" t="n">
        <v>9.199999999999999</v>
      </c>
      <c r="D22" t="n">
        <v>7.2</v>
      </c>
      <c r="E22" t="n">
        <v>85.2</v>
      </c>
      <c r="F22" t="n">
        <v>0.3</v>
      </c>
      <c r="G22" t="n">
        <v>14.5</v>
      </c>
      <c r="H22" t="n">
        <v>82.59999999999999</v>
      </c>
      <c r="I22" t="n">
        <v>1.1</v>
      </c>
      <c r="J22" t="n">
        <v>16.3</v>
      </c>
      <c r="K22" t="n">
        <v>6976</v>
      </c>
      <c r="L22" t="n">
        <v>4001</v>
      </c>
      <c r="M22" t="n">
        <v>1990</v>
      </c>
    </row>
    <row r="23">
      <c r="A23" t="inlineStr">
        <is>
          <t>Ratanak Kiri</t>
        </is>
      </c>
      <c r="B23" t="n">
        <v>82.5</v>
      </c>
      <c r="C23" t="n">
        <v>5.4</v>
      </c>
      <c r="D23" t="n">
        <v>12.2</v>
      </c>
      <c r="E23" t="n">
        <v>79.3</v>
      </c>
      <c r="F23" t="n">
        <v>0.9</v>
      </c>
      <c r="G23" t="n">
        <v>19.8</v>
      </c>
      <c r="H23" t="n">
        <v>83.7</v>
      </c>
      <c r="I23" t="n">
        <v>0.5</v>
      </c>
      <c r="J23" t="n">
        <v>15.8</v>
      </c>
      <c r="K23" t="n">
        <v>3240</v>
      </c>
      <c r="L23" t="n">
        <v>1364</v>
      </c>
      <c r="M23" t="n">
        <v>864</v>
      </c>
    </row>
    <row r="24">
      <c r="A24" t="inlineStr">
        <is>
          <t>Siemreap</t>
        </is>
      </c>
      <c r="B24" t="n">
        <v>81.40000000000001</v>
      </c>
      <c r="C24" t="n">
        <v>9.5</v>
      </c>
      <c r="D24" t="n">
        <v>9.1</v>
      </c>
      <c r="E24" t="n">
        <v>81.5</v>
      </c>
      <c r="F24" t="n">
        <v>2.3</v>
      </c>
      <c r="G24" t="n">
        <v>16.2</v>
      </c>
      <c r="H24" t="n">
        <v>82.2</v>
      </c>
      <c r="I24" t="n">
        <v>1.3</v>
      </c>
      <c r="J24" t="n">
        <v>16.5</v>
      </c>
      <c r="K24" t="n">
        <v>16030</v>
      </c>
      <c r="L24" t="n">
        <v>9484</v>
      </c>
      <c r="M24" t="n">
        <v>5108</v>
      </c>
    </row>
    <row r="25">
      <c r="A25" t="inlineStr">
        <is>
          <t>Stung Treng</t>
        </is>
      </c>
      <c r="B25" t="n">
        <v>75.3</v>
      </c>
      <c r="C25" t="n">
        <v>12.8</v>
      </c>
      <c r="D25" t="n">
        <v>11.9</v>
      </c>
      <c r="E25" t="n">
        <v>78.40000000000001</v>
      </c>
      <c r="F25" t="n">
        <v>0.7</v>
      </c>
      <c r="G25" t="n">
        <v>20.9</v>
      </c>
      <c r="H25" t="n">
        <v>89.3</v>
      </c>
      <c r="I25" t="n">
        <v>0.5</v>
      </c>
      <c r="J25" t="n">
        <v>10.3</v>
      </c>
      <c r="K25" t="n">
        <v>1450</v>
      </c>
      <c r="L25" t="n">
        <v>904</v>
      </c>
      <c r="M25" t="n">
        <v>641</v>
      </c>
    </row>
    <row r="26">
      <c r="A26" t="inlineStr">
        <is>
          <t>Svay Rieng</t>
        </is>
      </c>
      <c r="B26" t="n">
        <v>88</v>
      </c>
      <c r="C26" t="n">
        <v>5.7</v>
      </c>
      <c r="D26" t="n">
        <v>6.3</v>
      </c>
      <c r="E26" t="n">
        <v>77.2</v>
      </c>
      <c r="F26" t="n">
        <v>0.5</v>
      </c>
      <c r="G26" t="n">
        <v>22.2</v>
      </c>
      <c r="H26" t="n">
        <v>74.8</v>
      </c>
      <c r="I26" t="n">
        <v>0.4</v>
      </c>
      <c r="J26" t="n">
        <v>24.8</v>
      </c>
      <c r="K26" t="n">
        <v>8772</v>
      </c>
      <c r="L26" t="n">
        <v>4028</v>
      </c>
      <c r="M26" t="n">
        <v>1835</v>
      </c>
    </row>
    <row r="27">
      <c r="A27" t="inlineStr">
        <is>
          <t>Takeo</t>
        </is>
      </c>
      <c r="B27" t="n">
        <v>88.40000000000001</v>
      </c>
      <c r="C27" t="n">
        <v>7.7</v>
      </c>
      <c r="D27" t="n">
        <v>4</v>
      </c>
      <c r="E27" t="n">
        <v>86.7</v>
      </c>
      <c r="F27" t="n">
        <v>1.5</v>
      </c>
      <c r="G27" t="n">
        <v>11.8</v>
      </c>
      <c r="H27" t="n">
        <v>82.2</v>
      </c>
      <c r="I27" t="n">
        <v>0.9</v>
      </c>
      <c r="J27" t="n">
        <v>16.9</v>
      </c>
      <c r="K27" t="n">
        <v>15952</v>
      </c>
      <c r="L27" t="n">
        <v>10013</v>
      </c>
      <c r="M27" t="n">
        <v>5576</v>
      </c>
    </row>
    <row r="28">
      <c r="A28" t="inlineStr">
        <is>
          <t>Tbaung Khmum</t>
        </is>
      </c>
      <c r="B28" t="n">
        <v>80.90000000000001</v>
      </c>
      <c r="C28" t="n">
        <v>8.4</v>
      </c>
      <c r="D28" t="n">
        <v>10.8</v>
      </c>
      <c r="E28" t="n">
        <v>77.3</v>
      </c>
      <c r="F28" t="n">
        <v>1.4</v>
      </c>
      <c r="G28" t="n">
        <v>21.2</v>
      </c>
      <c r="H28" t="n">
        <v>77.90000000000001</v>
      </c>
      <c r="I28" t="n">
        <v>1.2</v>
      </c>
      <c r="J28" t="n">
        <v>20.9</v>
      </c>
      <c r="K28" t="n">
        <v>9422</v>
      </c>
      <c r="L28" t="n">
        <v>4303</v>
      </c>
      <c r="M28" t="n">
        <v>2207</v>
      </c>
    </row>
    <row r="29">
      <c r="A29" t="inlineStr">
        <is>
          <t>Whole Kingdom</t>
        </is>
      </c>
      <c r="B29" t="n">
        <v>84.90000000000001</v>
      </c>
      <c r="C29" t="n">
        <v>8</v>
      </c>
      <c r="D29" t="n">
        <v>7.2</v>
      </c>
      <c r="E29" t="n">
        <v>82.2</v>
      </c>
      <c r="F29" t="n">
        <v>1.2</v>
      </c>
      <c r="G29" t="n">
        <v>16.6</v>
      </c>
      <c r="H29" t="n">
        <v>80.40000000000001</v>
      </c>
      <c r="I29" t="n">
        <v>1.1</v>
      </c>
      <c r="J29" t="n">
        <v>18.5</v>
      </c>
      <c r="K29" t="n">
        <v>217719</v>
      </c>
      <c r="L29" t="n">
        <v>117815</v>
      </c>
      <c r="M29" t="n">
        <v>58904</v>
      </c>
    </row>
    <row r="30">
      <c r="A30" t="inlineStr">
        <is>
          <t>- Urban Area</t>
        </is>
      </c>
      <c r="B30" t="n">
        <v>83.5</v>
      </c>
      <c r="C30" t="n">
        <v>7.4</v>
      </c>
      <c r="D30" t="n">
        <v>9</v>
      </c>
      <c r="E30" t="n">
        <v>86.2</v>
      </c>
      <c r="F30" t="n">
        <v>1.8</v>
      </c>
      <c r="G30" t="n">
        <v>11.9</v>
      </c>
      <c r="H30" t="n">
        <v>82.7</v>
      </c>
      <c r="I30" t="n">
        <v>1.5</v>
      </c>
      <c r="J30" t="n">
        <v>15.8</v>
      </c>
      <c r="K30" t="n">
        <v>36392</v>
      </c>
      <c r="L30" t="n">
        <v>26854</v>
      </c>
      <c r="M30" t="n">
        <v>17035</v>
      </c>
    </row>
    <row r="31">
      <c r="A31" t="inlineStr">
        <is>
          <t>- Rural Area</t>
        </is>
      </c>
      <c r="B31" t="n">
        <v>84.5</v>
      </c>
      <c r="C31" t="n">
        <v>8</v>
      </c>
      <c r="D31" t="n">
        <v>7.4</v>
      </c>
      <c r="E31" t="n">
        <v>81.09999999999999</v>
      </c>
      <c r="F31" t="n">
        <v>1.1</v>
      </c>
      <c r="G31" t="n">
        <v>17.8</v>
      </c>
      <c r="H31" t="n">
        <v>79.5</v>
      </c>
      <c r="I31" t="n">
        <v>0.9</v>
      </c>
      <c r="J31" t="n">
        <v>19.6</v>
      </c>
      <c r="K31" t="n">
        <v>181327</v>
      </c>
      <c r="L31" t="n">
        <v>90961</v>
      </c>
      <c r="M31" t="n">
        <v>41869</v>
      </c>
    </row>
  </sheetData>
  <mergeCells count="6">
    <mergeCell ref="E2:G2"/>
    <mergeCell ref="K2:M2"/>
    <mergeCell ref="A2:A3"/>
    <mergeCell ref="H2:J2"/>
    <mergeCell ref="B2:D2"/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00B0F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5703125" customWidth="1" min="2" max="2"/>
    <col width="8.28515625" customWidth="1" min="4" max="4"/>
    <col width="9.5703125" customWidth="1" min="5" max="5"/>
    <col width="8.28515625" customWidth="1" min="7" max="7"/>
    <col width="9.5703125" customWidth="1" min="8" max="8"/>
    <col width="8.28515625" customWidth="1" min="10" max="10"/>
    <col width="9" customWidth="1" min="11" max="11"/>
    <col width="8.5703125" customWidth="1" min="13" max="13"/>
  </cols>
  <sheetData>
    <row r="1">
      <c r="A1" t="inlineStr">
        <is>
          <t>Table 20: Student Flow Rates and graduates by Level for Female 2020 - 2021</t>
        </is>
      </c>
    </row>
    <row r="2">
      <c r="A2" t="inlineStr">
        <is>
          <t>Province</t>
        </is>
      </c>
      <c r="B2" t="inlineStr">
        <is>
          <t>Primary Level (Grades 1-6)</t>
        </is>
      </c>
      <c r="E2" t="inlineStr">
        <is>
          <t>Lower Secondary Level (Grades 7-9)</t>
        </is>
      </c>
      <c r="H2" t="inlineStr">
        <is>
          <t>Upper Secondary Level (Grades 10-12)</t>
        </is>
      </c>
      <c r="K2" t="inlineStr">
        <is>
          <t>Successful Candidates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Grade 6</t>
        </is>
      </c>
      <c r="L3" t="inlineStr">
        <is>
          <t>Grade 9</t>
        </is>
      </c>
      <c r="M3" t="inlineStr">
        <is>
          <t>Grade 12</t>
        </is>
      </c>
    </row>
    <row r="4">
      <c r="A4" t="inlineStr">
        <is>
          <t>Banteay Meanchey</t>
        </is>
      </c>
      <c r="B4" t="n">
        <v>90.7</v>
      </c>
      <c r="C4" t="n">
        <v>3.7</v>
      </c>
      <c r="D4" t="n">
        <v>5.7</v>
      </c>
      <c r="E4" t="n">
        <v>88.40000000000001</v>
      </c>
      <c r="F4" t="n">
        <v>0.5</v>
      </c>
      <c r="G4" t="n">
        <v>11.1</v>
      </c>
      <c r="H4" t="n">
        <v>88.2</v>
      </c>
      <c r="I4" t="n">
        <v>0.7</v>
      </c>
      <c r="J4" t="n">
        <v>11.1</v>
      </c>
      <c r="K4" t="n">
        <v>6887</v>
      </c>
      <c r="L4" t="n">
        <v>3695</v>
      </c>
      <c r="M4" t="n">
        <v>1828</v>
      </c>
    </row>
    <row r="5">
      <c r="A5" t="inlineStr">
        <is>
          <t>Battambang</t>
        </is>
      </c>
      <c r="B5" t="n">
        <v>87.7</v>
      </c>
      <c r="C5" t="n">
        <v>5.3</v>
      </c>
      <c r="D5" t="n">
        <v>7.1</v>
      </c>
      <c r="E5" t="n">
        <v>83.3</v>
      </c>
      <c r="F5" t="n">
        <v>0.9</v>
      </c>
      <c r="G5" t="n">
        <v>15.8</v>
      </c>
      <c r="H5" t="n">
        <v>79.3</v>
      </c>
      <c r="I5" t="n">
        <v>1.3</v>
      </c>
      <c r="J5" t="n">
        <v>19.4</v>
      </c>
      <c r="K5" t="n">
        <v>9136</v>
      </c>
      <c r="L5" t="n">
        <v>4942</v>
      </c>
      <c r="M5" t="n">
        <v>2021</v>
      </c>
    </row>
    <row r="6">
      <c r="A6" t="inlineStr">
        <is>
          <t>Kampong Cham</t>
        </is>
      </c>
      <c r="B6" t="n">
        <v>86</v>
      </c>
      <c r="C6" t="n">
        <v>6.8</v>
      </c>
      <c r="D6" t="n">
        <v>7.3</v>
      </c>
      <c r="E6" t="n">
        <v>81.8</v>
      </c>
      <c r="F6" t="n">
        <v>0.9</v>
      </c>
      <c r="G6" t="n">
        <v>17.3</v>
      </c>
      <c r="H6" t="n">
        <v>79.59999999999999</v>
      </c>
      <c r="I6" t="n">
        <v>1.3</v>
      </c>
      <c r="J6" t="n">
        <v>19.1</v>
      </c>
      <c r="K6" t="n">
        <v>7119</v>
      </c>
      <c r="L6" t="n">
        <v>4070</v>
      </c>
      <c r="M6" t="n">
        <v>2335</v>
      </c>
    </row>
    <row r="7">
      <c r="A7" t="inlineStr">
        <is>
          <t>Kampong Chhnang</t>
        </is>
      </c>
      <c r="B7" t="n">
        <v>90.90000000000001</v>
      </c>
      <c r="C7" t="n">
        <v>5.5</v>
      </c>
      <c r="D7" t="n">
        <v>3.6</v>
      </c>
      <c r="E7" t="n">
        <v>81</v>
      </c>
      <c r="F7" t="n">
        <v>0.5</v>
      </c>
      <c r="G7" t="n">
        <v>18.5</v>
      </c>
      <c r="H7" t="n">
        <v>74.59999999999999</v>
      </c>
      <c r="I7" t="n">
        <v>1</v>
      </c>
      <c r="J7" t="n">
        <v>24.4</v>
      </c>
      <c r="K7" t="n">
        <v>5213</v>
      </c>
      <c r="L7" t="n">
        <v>2555</v>
      </c>
      <c r="M7" t="n">
        <v>1110</v>
      </c>
    </row>
    <row r="8">
      <c r="A8" t="inlineStr">
        <is>
          <t>Kampong Speu</t>
        </is>
      </c>
      <c r="B8" t="n">
        <v>86.3</v>
      </c>
      <c r="C8" t="n">
        <v>4.7</v>
      </c>
      <c r="D8" t="n">
        <v>9</v>
      </c>
      <c r="E8" t="n">
        <v>70.90000000000001</v>
      </c>
      <c r="F8" t="n">
        <v>0.4</v>
      </c>
      <c r="G8" t="n">
        <v>28.7</v>
      </c>
      <c r="H8" t="n">
        <v>69.3</v>
      </c>
      <c r="I8" t="n">
        <v>0.6</v>
      </c>
      <c r="J8" t="n">
        <v>30.1</v>
      </c>
      <c r="K8" t="n">
        <v>5753</v>
      </c>
      <c r="L8" t="n">
        <v>2106</v>
      </c>
      <c r="M8" t="n">
        <v>940</v>
      </c>
    </row>
    <row r="9">
      <c r="A9" t="inlineStr">
        <is>
          <t>Kampong Thom</t>
        </is>
      </c>
      <c r="B9" t="n">
        <v>86.40000000000001</v>
      </c>
      <c r="C9" t="n">
        <v>5.5</v>
      </c>
      <c r="D9" t="n">
        <v>8.1</v>
      </c>
      <c r="E9" t="n">
        <v>81.8</v>
      </c>
      <c r="F9" t="n">
        <v>0.5</v>
      </c>
      <c r="G9" t="n">
        <v>17.7</v>
      </c>
      <c r="H9" t="n">
        <v>80.8</v>
      </c>
      <c r="I9" t="n">
        <v>0.4</v>
      </c>
      <c r="J9" t="n">
        <v>18.8</v>
      </c>
      <c r="K9" t="n">
        <v>4790</v>
      </c>
      <c r="L9" t="n">
        <v>3480</v>
      </c>
      <c r="M9" t="n">
        <v>1606</v>
      </c>
    </row>
    <row r="10">
      <c r="A10" t="inlineStr">
        <is>
          <t>Kampot</t>
        </is>
      </c>
      <c r="B10" t="n">
        <v>90.3</v>
      </c>
      <c r="C10" t="n">
        <v>3.9</v>
      </c>
      <c r="D10" t="n">
        <v>5.8</v>
      </c>
      <c r="E10" t="n">
        <v>83.40000000000001</v>
      </c>
      <c r="F10" t="n">
        <v>1</v>
      </c>
      <c r="G10" t="n">
        <v>15.6</v>
      </c>
      <c r="H10" t="n">
        <v>80.8</v>
      </c>
      <c r="I10" t="n">
        <v>0.9</v>
      </c>
      <c r="J10" t="n">
        <v>18.3</v>
      </c>
      <c r="K10" t="n">
        <v>4841</v>
      </c>
      <c r="L10" t="n">
        <v>2864</v>
      </c>
      <c r="M10" t="n">
        <v>1594</v>
      </c>
    </row>
    <row r="11">
      <c r="A11" t="inlineStr">
        <is>
          <t>Kandal</t>
        </is>
      </c>
      <c r="B11" t="n">
        <v>87.7</v>
      </c>
      <c r="C11" t="n">
        <v>9</v>
      </c>
      <c r="D11" t="n">
        <v>3.4</v>
      </c>
      <c r="E11" t="n">
        <v>88.59999999999999</v>
      </c>
      <c r="F11" t="n">
        <v>0.7</v>
      </c>
      <c r="G11" t="n">
        <v>10.6</v>
      </c>
      <c r="H11" t="n">
        <v>83.09999999999999</v>
      </c>
      <c r="I11" t="n">
        <v>0.6</v>
      </c>
      <c r="J11" t="n">
        <v>16.2</v>
      </c>
      <c r="K11" t="n">
        <v>10900</v>
      </c>
      <c r="L11" t="n">
        <v>6506</v>
      </c>
      <c r="M11" t="n">
        <v>3362</v>
      </c>
    </row>
    <row r="12">
      <c r="A12" t="inlineStr">
        <is>
          <t>Kep</t>
        </is>
      </c>
      <c r="B12" t="n">
        <v>88.8</v>
      </c>
      <c r="C12" t="n">
        <v>3.6</v>
      </c>
      <c r="D12" t="n">
        <v>7.5</v>
      </c>
      <c r="E12" t="n">
        <v>88.8</v>
      </c>
      <c r="F12" t="n">
        <v>1.3</v>
      </c>
      <c r="G12" t="n">
        <v>9.9</v>
      </c>
      <c r="H12" t="n">
        <v>89.8</v>
      </c>
      <c r="I12" t="n">
        <v>0.2</v>
      </c>
      <c r="J12" t="n">
        <v>10</v>
      </c>
      <c r="K12" t="n">
        <v>338</v>
      </c>
      <c r="L12" t="n">
        <v>188</v>
      </c>
      <c r="M12" t="n">
        <v>141</v>
      </c>
    </row>
    <row r="13">
      <c r="A13" t="inlineStr">
        <is>
          <t>Koh Kong</t>
        </is>
      </c>
      <c r="B13" t="n">
        <v>84.3</v>
      </c>
      <c r="C13" t="n">
        <v>4</v>
      </c>
      <c r="D13" t="n">
        <v>11.7</v>
      </c>
      <c r="E13" t="n">
        <v>83.90000000000001</v>
      </c>
      <c r="F13" t="n">
        <v>1</v>
      </c>
      <c r="G13" t="n">
        <v>15.1</v>
      </c>
      <c r="H13" t="n">
        <v>83.09999999999999</v>
      </c>
      <c r="I13" t="n">
        <v>0.5</v>
      </c>
      <c r="J13" t="n">
        <v>16.4</v>
      </c>
      <c r="K13" t="n">
        <v>802</v>
      </c>
      <c r="L13" t="n">
        <v>528</v>
      </c>
      <c r="M13" t="n">
        <v>289</v>
      </c>
    </row>
    <row r="14">
      <c r="A14" t="inlineStr">
        <is>
          <t>Kratie</t>
        </is>
      </c>
      <c r="B14" t="n">
        <v>83.5</v>
      </c>
      <c r="C14" t="n">
        <v>7.5</v>
      </c>
      <c r="D14" t="n">
        <v>9</v>
      </c>
      <c r="E14" t="n">
        <v>79.59999999999999</v>
      </c>
      <c r="F14" t="n">
        <v>0.6</v>
      </c>
      <c r="G14" t="n">
        <v>19.8</v>
      </c>
      <c r="H14" t="n">
        <v>84.3</v>
      </c>
      <c r="I14" t="n">
        <v>0.4</v>
      </c>
      <c r="J14" t="n">
        <v>15.3</v>
      </c>
      <c r="K14" t="n">
        <v>2866</v>
      </c>
      <c r="L14" t="n">
        <v>1359</v>
      </c>
      <c r="M14" t="n">
        <v>764</v>
      </c>
    </row>
    <row r="15">
      <c r="A15" t="inlineStr">
        <is>
          <t>Mondul Kiri</t>
        </is>
      </c>
      <c r="B15" t="n">
        <v>86.7</v>
      </c>
      <c r="C15" t="n">
        <v>5.2</v>
      </c>
      <c r="D15" t="n">
        <v>8.1</v>
      </c>
      <c r="E15" t="n">
        <v>82.59999999999999</v>
      </c>
      <c r="F15" t="n">
        <v>1.1</v>
      </c>
      <c r="G15" t="n">
        <v>16.3</v>
      </c>
      <c r="H15" t="n">
        <v>89.2</v>
      </c>
      <c r="I15" t="n">
        <v>1.1</v>
      </c>
      <c r="J15" t="n">
        <v>9.800000000000001</v>
      </c>
      <c r="K15" t="n">
        <v>800</v>
      </c>
      <c r="L15" t="n">
        <v>356</v>
      </c>
      <c r="M15" t="n">
        <v>196</v>
      </c>
    </row>
    <row r="16">
      <c r="A16" t="inlineStr">
        <is>
          <t>Otdar Meanchey</t>
        </is>
      </c>
      <c r="B16" t="n">
        <v>82.2</v>
      </c>
      <c r="C16" t="n">
        <v>6.5</v>
      </c>
      <c r="D16" t="n">
        <v>11.3</v>
      </c>
      <c r="E16" t="n">
        <v>83</v>
      </c>
      <c r="F16" t="n">
        <v>1.2</v>
      </c>
      <c r="G16" t="n">
        <v>15.8</v>
      </c>
      <c r="H16" t="n">
        <v>86.7</v>
      </c>
      <c r="I16" t="n">
        <v>1.8</v>
      </c>
      <c r="J16" t="n">
        <v>11.5</v>
      </c>
      <c r="K16" t="n">
        <v>1608</v>
      </c>
      <c r="L16" t="n">
        <v>1036</v>
      </c>
      <c r="M16" t="n">
        <v>663</v>
      </c>
    </row>
    <row r="17">
      <c r="A17" t="inlineStr">
        <is>
          <t>Pailin</t>
        </is>
      </c>
      <c r="B17" t="n">
        <v>81.59999999999999</v>
      </c>
      <c r="C17" t="n">
        <v>6.7</v>
      </c>
      <c r="D17" t="n">
        <v>11.7</v>
      </c>
      <c r="E17" t="n">
        <v>83.2</v>
      </c>
      <c r="F17" t="n">
        <v>1.4</v>
      </c>
      <c r="G17" t="n">
        <v>15.4</v>
      </c>
      <c r="H17" t="n">
        <v>84.5</v>
      </c>
      <c r="I17" t="n">
        <v>1.6</v>
      </c>
      <c r="J17" t="n">
        <v>13.9</v>
      </c>
      <c r="K17" t="n">
        <v>463</v>
      </c>
      <c r="L17" t="n">
        <v>400</v>
      </c>
      <c r="M17" t="n">
        <v>204</v>
      </c>
    </row>
    <row r="18">
      <c r="A18" t="inlineStr">
        <is>
          <t>Phnom Penh</t>
        </is>
      </c>
      <c r="B18" t="n">
        <v>85.40000000000001</v>
      </c>
      <c r="C18" t="n">
        <v>4.4</v>
      </c>
      <c r="D18" t="n">
        <v>10.2</v>
      </c>
      <c r="E18" t="n">
        <v>85.8</v>
      </c>
      <c r="F18" t="n">
        <v>1.6</v>
      </c>
      <c r="G18" t="n">
        <v>12.6</v>
      </c>
      <c r="H18" t="n">
        <v>85.09999999999999</v>
      </c>
      <c r="I18" t="n">
        <v>1.5</v>
      </c>
      <c r="J18" t="n">
        <v>13.4</v>
      </c>
      <c r="K18" t="n">
        <v>7249</v>
      </c>
      <c r="L18" t="n">
        <v>5153</v>
      </c>
      <c r="M18" t="n">
        <v>3312</v>
      </c>
    </row>
    <row r="19">
      <c r="A19" t="inlineStr">
        <is>
          <t>Preah Sihanouk</t>
        </is>
      </c>
      <c r="B19" t="n">
        <v>84</v>
      </c>
      <c r="C19" t="n">
        <v>6.8</v>
      </c>
      <c r="D19" t="n">
        <v>9.300000000000001</v>
      </c>
      <c r="E19" t="n">
        <v>85.2</v>
      </c>
      <c r="F19" t="n">
        <v>1.2</v>
      </c>
      <c r="G19" t="n">
        <v>13.6</v>
      </c>
      <c r="H19" t="n">
        <v>87.2</v>
      </c>
      <c r="I19" t="n">
        <v>0.2</v>
      </c>
      <c r="J19" t="n">
        <v>12.6</v>
      </c>
      <c r="K19" t="n">
        <v>1598</v>
      </c>
      <c r="L19" t="n">
        <v>902</v>
      </c>
      <c r="M19" t="n">
        <v>495</v>
      </c>
    </row>
    <row r="20">
      <c r="A20" t="inlineStr">
        <is>
          <t>Preah Vihear</t>
        </is>
      </c>
      <c r="B20" t="n">
        <v>82.59999999999999</v>
      </c>
      <c r="C20" t="n">
        <v>8.9</v>
      </c>
      <c r="D20" t="n">
        <v>8.6</v>
      </c>
      <c r="E20" t="n">
        <v>85.40000000000001</v>
      </c>
      <c r="F20" t="n">
        <v>0.3</v>
      </c>
      <c r="G20" t="n">
        <v>14.4</v>
      </c>
      <c r="H20" t="n">
        <v>78.90000000000001</v>
      </c>
      <c r="I20" t="n">
        <v>0.5</v>
      </c>
      <c r="J20" t="n">
        <v>20.6</v>
      </c>
      <c r="K20" t="n">
        <v>1978</v>
      </c>
      <c r="L20" t="n">
        <v>1315</v>
      </c>
      <c r="M20" t="n">
        <v>509</v>
      </c>
    </row>
    <row r="21">
      <c r="A21" t="inlineStr">
        <is>
          <t>Prey Veng</t>
        </is>
      </c>
      <c r="B21" t="n">
        <v>87.3</v>
      </c>
      <c r="C21" t="n">
        <v>5.9</v>
      </c>
      <c r="D21" t="n">
        <v>6.8</v>
      </c>
      <c r="E21" t="n">
        <v>81.3</v>
      </c>
      <c r="F21" t="n">
        <v>0.3</v>
      </c>
      <c r="G21" t="n">
        <v>18.4</v>
      </c>
      <c r="H21" t="n">
        <v>80.5</v>
      </c>
      <c r="I21" t="n">
        <v>0.7</v>
      </c>
      <c r="J21" t="n">
        <v>18.8</v>
      </c>
      <c r="K21" t="n">
        <v>8724</v>
      </c>
      <c r="L21" t="n">
        <v>4636</v>
      </c>
      <c r="M21" t="n">
        <v>2482</v>
      </c>
    </row>
    <row r="22">
      <c r="A22" t="inlineStr">
        <is>
          <t>Pursat</t>
        </is>
      </c>
      <c r="B22" t="n">
        <v>86.8</v>
      </c>
      <c r="C22" t="n">
        <v>6.7</v>
      </c>
      <c r="D22" t="n">
        <v>6.5</v>
      </c>
      <c r="E22" t="n">
        <v>86</v>
      </c>
      <c r="F22" t="n">
        <v>0.2</v>
      </c>
      <c r="G22" t="n">
        <v>13.7</v>
      </c>
      <c r="H22" t="n">
        <v>82.3</v>
      </c>
      <c r="I22" t="n">
        <v>0.9</v>
      </c>
      <c r="J22" t="n">
        <v>16.9</v>
      </c>
      <c r="K22" t="n">
        <v>3716</v>
      </c>
      <c r="L22" t="n">
        <v>2242</v>
      </c>
      <c r="M22" t="n">
        <v>1180</v>
      </c>
    </row>
    <row r="23">
      <c r="A23" t="inlineStr">
        <is>
          <t>Ratanak Kiri</t>
        </is>
      </c>
      <c r="B23" t="n">
        <v>82.59999999999999</v>
      </c>
      <c r="C23" t="n">
        <v>4.4</v>
      </c>
      <c r="D23" t="n">
        <v>13</v>
      </c>
      <c r="E23" t="n">
        <v>81.40000000000001</v>
      </c>
      <c r="F23" t="n">
        <v>0.5</v>
      </c>
      <c r="G23" t="n">
        <v>18</v>
      </c>
      <c r="H23" t="n">
        <v>85.8</v>
      </c>
      <c r="I23" t="n">
        <v>0.5</v>
      </c>
      <c r="J23" t="n">
        <v>13.7</v>
      </c>
      <c r="K23" t="n">
        <v>1620</v>
      </c>
      <c r="L23" t="n">
        <v>672</v>
      </c>
      <c r="M23" t="n">
        <v>408</v>
      </c>
    </row>
    <row r="24">
      <c r="A24" t="inlineStr">
        <is>
          <t>Siemreap</t>
        </is>
      </c>
      <c r="B24" t="n">
        <v>84.40000000000001</v>
      </c>
      <c r="C24" t="n">
        <v>6.8</v>
      </c>
      <c r="D24" t="n">
        <v>8.800000000000001</v>
      </c>
      <c r="E24" t="n">
        <v>84.2</v>
      </c>
      <c r="F24" t="n">
        <v>1.4</v>
      </c>
      <c r="G24" t="n">
        <v>14.4</v>
      </c>
      <c r="H24" t="n">
        <v>81.40000000000001</v>
      </c>
      <c r="I24" t="n">
        <v>1.1</v>
      </c>
      <c r="J24" t="n">
        <v>17.6</v>
      </c>
      <c r="K24" t="n">
        <v>8679</v>
      </c>
      <c r="L24" t="n">
        <v>5580</v>
      </c>
      <c r="M24" t="n">
        <v>2739</v>
      </c>
    </row>
    <row r="25">
      <c r="A25" t="inlineStr">
        <is>
          <t>Stung Treng</t>
        </is>
      </c>
      <c r="B25" t="n">
        <v>77.09999999999999</v>
      </c>
      <c r="C25" t="n">
        <v>10.8</v>
      </c>
      <c r="D25" t="n">
        <v>12.2</v>
      </c>
      <c r="E25" t="n">
        <v>79.3</v>
      </c>
      <c r="F25" t="n">
        <v>0.4</v>
      </c>
      <c r="G25" t="n">
        <v>20.3</v>
      </c>
      <c r="H25" t="n">
        <v>94.09999999999999</v>
      </c>
      <c r="I25" t="n">
        <v>0.3</v>
      </c>
      <c r="J25" t="n">
        <v>5.6</v>
      </c>
      <c r="K25" t="n">
        <v>793</v>
      </c>
      <c r="L25" t="n">
        <v>497</v>
      </c>
      <c r="M25" t="n">
        <v>347</v>
      </c>
    </row>
    <row r="26">
      <c r="A26" t="inlineStr">
        <is>
          <t>Svay Rieng</t>
        </is>
      </c>
      <c r="B26" t="n">
        <v>89</v>
      </c>
      <c r="C26" t="n">
        <v>4.1</v>
      </c>
      <c r="D26" t="n">
        <v>6.9</v>
      </c>
      <c r="E26" t="n">
        <v>75.7</v>
      </c>
      <c r="F26" t="n">
        <v>0.3</v>
      </c>
      <c r="G26" t="n">
        <v>24</v>
      </c>
      <c r="H26" t="n">
        <v>74.3</v>
      </c>
      <c r="I26" t="n">
        <v>0.2</v>
      </c>
      <c r="J26" t="n">
        <v>25.4</v>
      </c>
      <c r="K26" t="n">
        <v>4404</v>
      </c>
      <c r="L26" t="n">
        <v>2115</v>
      </c>
      <c r="M26" t="n">
        <v>1010</v>
      </c>
    </row>
    <row r="27">
      <c r="A27" t="inlineStr">
        <is>
          <t>Takeo</t>
        </is>
      </c>
      <c r="B27" t="n">
        <v>90.09999999999999</v>
      </c>
      <c r="C27" t="n">
        <v>5.6</v>
      </c>
      <c r="D27" t="n">
        <v>4.3</v>
      </c>
      <c r="E27" t="n">
        <v>86.5</v>
      </c>
      <c r="F27" t="n">
        <v>1.2</v>
      </c>
      <c r="G27" t="n">
        <v>12.4</v>
      </c>
      <c r="H27" t="n">
        <v>82.90000000000001</v>
      </c>
      <c r="I27" t="n">
        <v>0.9</v>
      </c>
      <c r="J27" t="n">
        <v>16.2</v>
      </c>
      <c r="K27" t="n">
        <v>8130</v>
      </c>
      <c r="L27" t="n">
        <v>5152</v>
      </c>
      <c r="M27" t="n">
        <v>3098</v>
      </c>
    </row>
    <row r="28">
      <c r="A28" t="inlineStr">
        <is>
          <t>Tbaung Khmum</t>
        </is>
      </c>
      <c r="B28" t="n">
        <v>82.40000000000001</v>
      </c>
      <c r="C28" t="n">
        <v>6.5</v>
      </c>
      <c r="D28" t="n">
        <v>11.1</v>
      </c>
      <c r="E28" t="n">
        <v>78.2</v>
      </c>
      <c r="F28" t="n">
        <v>1</v>
      </c>
      <c r="G28" t="n">
        <v>20.8</v>
      </c>
      <c r="H28" t="n">
        <v>78.40000000000001</v>
      </c>
      <c r="I28" t="n">
        <v>0.9</v>
      </c>
      <c r="J28" t="n">
        <v>20.7</v>
      </c>
      <c r="K28" t="n">
        <v>4938</v>
      </c>
      <c r="L28" t="n">
        <v>2496</v>
      </c>
      <c r="M28" t="n">
        <v>1307</v>
      </c>
    </row>
    <row r="29">
      <c r="A29" t="inlineStr">
        <is>
          <t>Whole Kingdom</t>
        </is>
      </c>
      <c r="B29" t="n">
        <v>88.2</v>
      </c>
      <c r="C29" t="n">
        <v>6.1</v>
      </c>
      <c r="D29" t="n">
        <v>5.7</v>
      </c>
      <c r="E29" t="n">
        <v>82.90000000000001</v>
      </c>
      <c r="F29" t="n">
        <v>0.8</v>
      </c>
      <c r="G29" t="n">
        <v>16.3</v>
      </c>
      <c r="H29" t="n">
        <v>81.2</v>
      </c>
      <c r="I29" t="n">
        <v>0.9</v>
      </c>
      <c r="J29" t="n">
        <v>17.9</v>
      </c>
      <c r="K29" t="n">
        <v>113345</v>
      </c>
      <c r="L29" t="n">
        <v>64845</v>
      </c>
      <c r="M29" t="n">
        <v>33940</v>
      </c>
    </row>
    <row r="30">
      <c r="A30" t="inlineStr">
        <is>
          <t>- Urban Area</t>
        </is>
      </c>
      <c r="B30" t="n">
        <v>85.3</v>
      </c>
      <c r="C30" t="n">
        <v>5.9</v>
      </c>
      <c r="D30" t="n">
        <v>8.800000000000001</v>
      </c>
      <c r="E30" t="n">
        <v>86.90000000000001</v>
      </c>
      <c r="F30" t="n">
        <v>1.4</v>
      </c>
      <c r="G30" t="n">
        <v>11.8</v>
      </c>
      <c r="H30" t="n">
        <v>83.40000000000001</v>
      </c>
      <c r="I30" t="n">
        <v>1.2</v>
      </c>
      <c r="J30" t="n">
        <v>15.4</v>
      </c>
      <c r="K30" t="n">
        <v>18570</v>
      </c>
      <c r="L30" t="n">
        <v>14149</v>
      </c>
      <c r="M30" t="n">
        <v>9315</v>
      </c>
    </row>
    <row r="31">
      <c r="A31" t="inlineStr">
        <is>
          <t>- Rural Area</t>
        </is>
      </c>
      <c r="B31" t="n">
        <v>86.7</v>
      </c>
      <c r="C31" t="n">
        <v>6</v>
      </c>
      <c r="D31" t="n">
        <v>7.3</v>
      </c>
      <c r="E31" t="n">
        <v>81.8</v>
      </c>
      <c r="F31" t="n">
        <v>0.7</v>
      </c>
      <c r="G31" t="n">
        <v>17.5</v>
      </c>
      <c r="H31" t="n">
        <v>80.3</v>
      </c>
      <c r="I31" t="n">
        <v>0.8</v>
      </c>
      <c r="J31" t="n">
        <v>18.9</v>
      </c>
      <c r="K31" t="n">
        <v>94775</v>
      </c>
      <c r="L31" t="n">
        <v>50696</v>
      </c>
      <c r="M31" t="n">
        <v>24625</v>
      </c>
    </row>
  </sheetData>
  <mergeCells count="6">
    <mergeCell ref="E2:G2"/>
    <mergeCell ref="K2:M2"/>
    <mergeCell ref="A2:A3"/>
    <mergeCell ref="H2:J2"/>
    <mergeCell ref="B2:D2"/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00B0F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5703125" customWidth="1" min="2" max="2"/>
    <col width="8.28515625" customWidth="1" min="10" max="10"/>
    <col width="7.7109375" customWidth="1" min="11" max="11"/>
    <col width="8.5703125" customWidth="1" min="13" max="13"/>
  </cols>
  <sheetData>
    <row r="1">
      <c r="A1" t="inlineStr">
        <is>
          <t>Table 24: Student Flow Rates and Graduates by level for Male 2020 - 2021</t>
        </is>
      </c>
    </row>
    <row r="2">
      <c r="A2" t="inlineStr">
        <is>
          <t>Province</t>
        </is>
      </c>
      <c r="B2" t="inlineStr">
        <is>
          <t>Primary Level (Grades 1-6)</t>
        </is>
      </c>
      <c r="E2" t="inlineStr">
        <is>
          <t>Lower Secondary Level (Grades 7-9)</t>
        </is>
      </c>
      <c r="H2" t="inlineStr">
        <is>
          <t>Upper Secondary Level (Grades 10-12)</t>
        </is>
      </c>
      <c r="K2" t="inlineStr">
        <is>
          <t>Successful Candidates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Grade 6</t>
        </is>
      </c>
      <c r="L3" t="inlineStr">
        <is>
          <t>Grade 9</t>
        </is>
      </c>
      <c r="M3" t="inlineStr">
        <is>
          <t>Grade 12</t>
        </is>
      </c>
    </row>
    <row r="4">
      <c r="A4" t="inlineStr">
        <is>
          <t>Banteay Meanchey</t>
        </is>
      </c>
      <c r="B4" t="n">
        <v>88.40000000000001</v>
      </c>
      <c r="C4" t="n">
        <v>6.2</v>
      </c>
      <c r="D4" t="n">
        <v>5.4</v>
      </c>
      <c r="E4" t="n">
        <v>85.59999999999999</v>
      </c>
      <c r="F4" t="n">
        <v>1.2</v>
      </c>
      <c r="G4" t="n">
        <v>13.2</v>
      </c>
      <c r="H4" t="n">
        <v>81.90000000000001</v>
      </c>
      <c r="I4" t="n">
        <v>0.8</v>
      </c>
      <c r="J4" t="n">
        <v>17.3</v>
      </c>
      <c r="K4" t="n">
        <v>6538</v>
      </c>
      <c r="L4" t="n">
        <v>2788</v>
      </c>
      <c r="M4" t="n">
        <v>1018</v>
      </c>
    </row>
    <row r="5">
      <c r="A5" t="inlineStr">
        <is>
          <t>Battambang</t>
        </is>
      </c>
      <c r="B5" t="n">
        <v>82.59999999999999</v>
      </c>
      <c r="C5" t="n">
        <v>8.5</v>
      </c>
      <c r="D5" t="n">
        <v>8.9</v>
      </c>
      <c r="E5" t="n">
        <v>80.7</v>
      </c>
      <c r="F5" t="n">
        <v>1.5</v>
      </c>
      <c r="G5" t="n">
        <v>17.8</v>
      </c>
      <c r="H5" t="n">
        <v>79.8</v>
      </c>
      <c r="I5" t="n">
        <v>1.4</v>
      </c>
      <c r="J5" t="n">
        <v>18.8</v>
      </c>
      <c r="K5" t="n">
        <v>8571</v>
      </c>
      <c r="L5" t="n">
        <v>3912</v>
      </c>
      <c r="M5" t="n">
        <v>1649</v>
      </c>
    </row>
    <row r="6">
      <c r="A6" t="inlineStr">
        <is>
          <t>Kampong Cham</t>
        </is>
      </c>
      <c r="B6" t="n">
        <v>75.40000000000001</v>
      </c>
      <c r="C6" t="n">
        <v>12.9</v>
      </c>
      <c r="D6" t="n">
        <v>11.7</v>
      </c>
      <c r="E6" t="n">
        <v>78</v>
      </c>
      <c r="F6" t="n">
        <v>1.6</v>
      </c>
      <c r="G6" t="n">
        <v>20.4</v>
      </c>
      <c r="H6" t="n">
        <v>78</v>
      </c>
      <c r="I6" t="n">
        <v>1.3</v>
      </c>
      <c r="J6" t="n">
        <v>20.7</v>
      </c>
      <c r="K6" t="n">
        <v>5072</v>
      </c>
      <c r="L6" t="n">
        <v>3099</v>
      </c>
      <c r="M6" t="n">
        <v>1540</v>
      </c>
    </row>
    <row r="7">
      <c r="A7" t="inlineStr">
        <is>
          <t>Kampong Chhnang</t>
        </is>
      </c>
      <c r="B7" t="n">
        <v>84.40000000000001</v>
      </c>
      <c r="C7" t="n">
        <v>11.1</v>
      </c>
      <c r="D7" t="n">
        <v>4.5</v>
      </c>
      <c r="E7" t="n">
        <v>81</v>
      </c>
      <c r="F7" t="n">
        <v>0.9</v>
      </c>
      <c r="G7" t="n">
        <v>18</v>
      </c>
      <c r="H7" t="n">
        <v>73.2</v>
      </c>
      <c r="I7" t="n">
        <v>1.3</v>
      </c>
      <c r="J7" t="n">
        <v>25.6</v>
      </c>
      <c r="K7" t="n">
        <v>4596</v>
      </c>
      <c r="L7" t="n">
        <v>2011</v>
      </c>
      <c r="M7" t="n">
        <v>725</v>
      </c>
    </row>
    <row r="8">
      <c r="A8" t="inlineStr">
        <is>
          <t>Kampong Speu</t>
        </is>
      </c>
      <c r="B8" t="n">
        <v>85.90000000000001</v>
      </c>
      <c r="C8" t="n">
        <v>6.7</v>
      </c>
      <c r="D8" t="n">
        <v>7.4</v>
      </c>
      <c r="E8" t="n">
        <v>72.3</v>
      </c>
      <c r="F8" t="n">
        <v>1.2</v>
      </c>
      <c r="G8" t="n">
        <v>26.5</v>
      </c>
      <c r="H8" t="n">
        <v>67.7</v>
      </c>
      <c r="I8" t="n">
        <v>0.9</v>
      </c>
      <c r="J8" t="n">
        <v>31.5</v>
      </c>
      <c r="K8" t="n">
        <v>5634</v>
      </c>
      <c r="L8" t="n">
        <v>1721</v>
      </c>
      <c r="M8" t="n">
        <v>659</v>
      </c>
    </row>
    <row r="9">
      <c r="A9" t="inlineStr">
        <is>
          <t>Kampong Thom</t>
        </is>
      </c>
      <c r="B9" t="n">
        <v>79.8</v>
      </c>
      <c r="C9" t="n">
        <v>10.1</v>
      </c>
      <c r="D9" t="n">
        <v>10</v>
      </c>
      <c r="E9" t="n">
        <v>80.5</v>
      </c>
      <c r="F9" t="n">
        <v>1.2</v>
      </c>
      <c r="G9" t="n">
        <v>18.3</v>
      </c>
      <c r="H9" t="n">
        <v>79.09999999999999</v>
      </c>
      <c r="I9" t="n">
        <v>1.2</v>
      </c>
      <c r="J9" t="n">
        <v>19.7</v>
      </c>
      <c r="K9" t="n">
        <v>4154</v>
      </c>
      <c r="L9" t="n">
        <v>2510</v>
      </c>
      <c r="M9" t="n">
        <v>1119</v>
      </c>
    </row>
    <row r="10">
      <c r="A10" t="inlineStr">
        <is>
          <t>Kampot</t>
        </is>
      </c>
      <c r="B10" t="n">
        <v>86.5</v>
      </c>
      <c r="C10" t="n">
        <v>6.6</v>
      </c>
      <c r="D10" t="n">
        <v>6.9</v>
      </c>
      <c r="E10" t="n">
        <v>81.7</v>
      </c>
      <c r="F10" t="n">
        <v>2.2</v>
      </c>
      <c r="G10" t="n">
        <v>16.1</v>
      </c>
      <c r="H10" t="n">
        <v>78.09999999999999</v>
      </c>
      <c r="I10" t="n">
        <v>1.3</v>
      </c>
      <c r="J10" t="n">
        <v>20.6</v>
      </c>
      <c r="K10" t="n">
        <v>4341</v>
      </c>
      <c r="L10" t="n">
        <v>2485</v>
      </c>
      <c r="M10" t="n">
        <v>1258</v>
      </c>
    </row>
    <row r="11">
      <c r="A11" t="inlineStr">
        <is>
          <t>Kandal</t>
        </is>
      </c>
      <c r="B11" t="n">
        <v>82.40000000000001</v>
      </c>
      <c r="C11" t="n">
        <v>13.9</v>
      </c>
      <c r="D11" t="n">
        <v>3.7</v>
      </c>
      <c r="E11" t="n">
        <v>86.7</v>
      </c>
      <c r="F11" t="n">
        <v>1.5</v>
      </c>
      <c r="G11" t="n">
        <v>11.8</v>
      </c>
      <c r="H11" t="n">
        <v>78.90000000000001</v>
      </c>
      <c r="I11" t="n">
        <v>1.3</v>
      </c>
      <c r="J11" t="n">
        <v>19.8</v>
      </c>
      <c r="K11" t="n">
        <v>10815</v>
      </c>
      <c r="L11" t="n">
        <v>5362</v>
      </c>
      <c r="M11" t="n">
        <v>2035</v>
      </c>
    </row>
    <row r="12">
      <c r="A12" t="inlineStr">
        <is>
          <t>Kep</t>
        </is>
      </c>
      <c r="B12" t="n">
        <v>85.90000000000001</v>
      </c>
      <c r="C12" t="n">
        <v>7.3</v>
      </c>
      <c r="D12" t="n">
        <v>6.8</v>
      </c>
      <c r="E12" t="n">
        <v>84.90000000000001</v>
      </c>
      <c r="F12" t="n">
        <v>4.4</v>
      </c>
      <c r="G12" t="n">
        <v>10.7</v>
      </c>
      <c r="H12" t="n">
        <v>91</v>
      </c>
      <c r="I12" t="n">
        <v>0</v>
      </c>
      <c r="J12" t="n">
        <v>9</v>
      </c>
      <c r="K12" t="n">
        <v>267</v>
      </c>
      <c r="L12" t="n">
        <v>136</v>
      </c>
      <c r="M12" t="n">
        <v>118</v>
      </c>
    </row>
    <row r="13">
      <c r="A13" t="inlineStr">
        <is>
          <t>Koh Kong</t>
        </is>
      </c>
      <c r="B13" t="n">
        <v>84.09999999999999</v>
      </c>
      <c r="C13" t="n">
        <v>6</v>
      </c>
      <c r="D13" t="n">
        <v>9.800000000000001</v>
      </c>
      <c r="E13" t="n">
        <v>83</v>
      </c>
      <c r="F13" t="n">
        <v>2.5</v>
      </c>
      <c r="G13" t="n">
        <v>14.6</v>
      </c>
      <c r="H13" t="n">
        <v>78.3</v>
      </c>
      <c r="I13" t="n">
        <v>0.6</v>
      </c>
      <c r="J13" t="n">
        <v>21.1</v>
      </c>
      <c r="K13" t="n">
        <v>837</v>
      </c>
      <c r="L13" t="n">
        <v>490</v>
      </c>
      <c r="M13" t="n">
        <v>238</v>
      </c>
    </row>
    <row r="14">
      <c r="A14" t="inlineStr">
        <is>
          <t>Kratie</t>
        </is>
      </c>
      <c r="B14" t="n">
        <v>76.2</v>
      </c>
      <c r="C14" t="n">
        <v>12.4</v>
      </c>
      <c r="D14" t="n">
        <v>11.4</v>
      </c>
      <c r="E14" t="n">
        <v>77.40000000000001</v>
      </c>
      <c r="F14" t="n">
        <v>2.1</v>
      </c>
      <c r="G14" t="n">
        <v>20.5</v>
      </c>
      <c r="H14" t="n">
        <v>81.59999999999999</v>
      </c>
      <c r="I14" t="n">
        <v>0.4</v>
      </c>
      <c r="J14" t="n">
        <v>18</v>
      </c>
      <c r="K14" t="n">
        <v>2393</v>
      </c>
      <c r="L14" t="n">
        <v>1051</v>
      </c>
      <c r="M14" t="n">
        <v>509</v>
      </c>
    </row>
    <row r="15">
      <c r="A15" t="inlineStr">
        <is>
          <t>Mondul Kiri</t>
        </is>
      </c>
      <c r="B15" t="n">
        <v>83.2</v>
      </c>
      <c r="C15" t="n">
        <v>9.1</v>
      </c>
      <c r="D15" t="n">
        <v>7.7</v>
      </c>
      <c r="E15" t="n">
        <v>87.3</v>
      </c>
      <c r="F15" t="n">
        <v>3.7</v>
      </c>
      <c r="G15" t="n">
        <v>9</v>
      </c>
      <c r="H15" t="n">
        <v>88.5</v>
      </c>
      <c r="I15" t="n">
        <v>1.4</v>
      </c>
      <c r="J15" t="n">
        <v>10.1</v>
      </c>
      <c r="K15" t="n">
        <v>703</v>
      </c>
      <c r="L15" t="n">
        <v>429</v>
      </c>
      <c r="M15" t="n">
        <v>163</v>
      </c>
    </row>
    <row r="16">
      <c r="A16" t="inlineStr">
        <is>
          <t>Otdar Meanchey</t>
        </is>
      </c>
      <c r="B16" t="n">
        <v>79.59999999999999</v>
      </c>
      <c r="C16" t="n">
        <v>10.3</v>
      </c>
      <c r="D16" t="n">
        <v>10.1</v>
      </c>
      <c r="E16" t="n">
        <v>79.7</v>
      </c>
      <c r="F16" t="n">
        <v>2.5</v>
      </c>
      <c r="G16" t="n">
        <v>17.8</v>
      </c>
      <c r="H16" t="n">
        <v>83.5</v>
      </c>
      <c r="I16" t="n">
        <v>2.9</v>
      </c>
      <c r="J16" t="n">
        <v>13.7</v>
      </c>
      <c r="K16" t="n">
        <v>1440</v>
      </c>
      <c r="L16" t="n">
        <v>953</v>
      </c>
      <c r="M16" t="n">
        <v>540</v>
      </c>
    </row>
    <row r="17">
      <c r="A17" t="inlineStr">
        <is>
          <t>Pailin</t>
        </is>
      </c>
      <c r="B17" t="n">
        <v>78.90000000000001</v>
      </c>
      <c r="C17" t="n">
        <v>9.699999999999999</v>
      </c>
      <c r="D17" t="n">
        <v>11.4</v>
      </c>
      <c r="E17" t="n">
        <v>77.2</v>
      </c>
      <c r="F17" t="n">
        <v>3</v>
      </c>
      <c r="G17" t="n">
        <v>19.8</v>
      </c>
      <c r="H17" t="n">
        <v>79.7</v>
      </c>
      <c r="I17" t="n">
        <v>2.8</v>
      </c>
      <c r="J17" t="n">
        <v>17.5</v>
      </c>
      <c r="K17" t="n">
        <v>419</v>
      </c>
      <c r="L17" t="n">
        <v>263</v>
      </c>
      <c r="M17" t="n">
        <v>151</v>
      </c>
    </row>
    <row r="18">
      <c r="A18" t="inlineStr">
        <is>
          <t>Phnom Penh</t>
        </is>
      </c>
      <c r="B18" t="n">
        <v>83.40000000000001</v>
      </c>
      <c r="C18" t="n">
        <v>6.5</v>
      </c>
      <c r="D18" t="n">
        <v>10.1</v>
      </c>
      <c r="E18" t="n">
        <v>85.7</v>
      </c>
      <c r="F18" t="n">
        <v>2.3</v>
      </c>
      <c r="G18" t="n">
        <v>12</v>
      </c>
      <c r="H18" t="n">
        <v>84.09999999999999</v>
      </c>
      <c r="I18" t="n">
        <v>2.1</v>
      </c>
      <c r="J18" t="n">
        <v>13.8</v>
      </c>
      <c r="K18" t="n">
        <v>7215</v>
      </c>
      <c r="L18" t="n">
        <v>4903</v>
      </c>
      <c r="M18" t="n">
        <v>2768</v>
      </c>
    </row>
    <row r="19">
      <c r="A19" t="inlineStr">
        <is>
          <t>Preah Sihanouk</t>
        </is>
      </c>
      <c r="B19" t="n">
        <v>81.90000000000001</v>
      </c>
      <c r="C19" t="n">
        <v>10.2</v>
      </c>
      <c r="D19" t="n">
        <v>7.9</v>
      </c>
      <c r="E19" t="n">
        <v>84.90000000000001</v>
      </c>
      <c r="F19" t="n">
        <v>2.4</v>
      </c>
      <c r="G19" t="n">
        <v>12.6</v>
      </c>
      <c r="H19" t="n">
        <v>85.09999999999999</v>
      </c>
      <c r="I19" t="n">
        <v>0.7</v>
      </c>
      <c r="J19" t="n">
        <v>14.2</v>
      </c>
      <c r="K19" t="n">
        <v>1413</v>
      </c>
      <c r="L19" t="n">
        <v>780</v>
      </c>
      <c r="M19" t="n">
        <v>391</v>
      </c>
    </row>
    <row r="20">
      <c r="A20" t="inlineStr">
        <is>
          <t>Preah Vihear</t>
        </is>
      </c>
      <c r="B20" t="n">
        <v>78.7</v>
      </c>
      <c r="C20" t="n">
        <v>13.2</v>
      </c>
      <c r="D20" t="n">
        <v>8.1</v>
      </c>
      <c r="E20" t="n">
        <v>84.90000000000001</v>
      </c>
      <c r="F20" t="n">
        <v>0.7</v>
      </c>
      <c r="G20" t="n">
        <v>14.4</v>
      </c>
      <c r="H20" t="n">
        <v>74.59999999999999</v>
      </c>
      <c r="I20" t="n">
        <v>0.5</v>
      </c>
      <c r="J20" t="n">
        <v>25</v>
      </c>
      <c r="K20" t="n">
        <v>1696</v>
      </c>
      <c r="L20" t="n">
        <v>959</v>
      </c>
      <c r="M20" t="n">
        <v>384</v>
      </c>
    </row>
    <row r="21">
      <c r="A21" t="inlineStr">
        <is>
          <t>Prey Veng</t>
        </is>
      </c>
      <c r="B21" t="n">
        <v>84.8</v>
      </c>
      <c r="C21" t="n">
        <v>9.6</v>
      </c>
      <c r="D21" t="n">
        <v>5.7</v>
      </c>
      <c r="E21" t="n">
        <v>80.90000000000001</v>
      </c>
      <c r="F21" t="n">
        <v>0.5</v>
      </c>
      <c r="G21" t="n">
        <v>18.6</v>
      </c>
      <c r="H21" t="n">
        <v>76.09999999999999</v>
      </c>
      <c r="I21" t="n">
        <v>1.2</v>
      </c>
      <c r="J21" t="n">
        <v>22.7</v>
      </c>
      <c r="K21" t="n">
        <v>8708</v>
      </c>
      <c r="L21" t="n">
        <v>3775</v>
      </c>
      <c r="M21" t="n">
        <v>1567</v>
      </c>
    </row>
    <row r="22">
      <c r="A22" t="inlineStr">
        <is>
          <t>Pursat</t>
        </is>
      </c>
      <c r="B22" t="n">
        <v>80.09999999999999</v>
      </c>
      <c r="C22" t="n">
        <v>12</v>
      </c>
      <c r="D22" t="n">
        <v>7.9</v>
      </c>
      <c r="E22" t="n">
        <v>84.2</v>
      </c>
      <c r="F22" t="n">
        <v>0.4</v>
      </c>
      <c r="G22" t="n">
        <v>15.4</v>
      </c>
      <c r="H22" t="n">
        <v>83</v>
      </c>
      <c r="I22" t="n">
        <v>1.4</v>
      </c>
      <c r="J22" t="n">
        <v>15.7</v>
      </c>
      <c r="K22" t="n">
        <v>3260</v>
      </c>
      <c r="L22" t="n">
        <v>1759</v>
      </c>
      <c r="M22" t="n">
        <v>810</v>
      </c>
    </row>
    <row r="23">
      <c r="A23" t="inlineStr">
        <is>
          <t>Ratanak Kiri</t>
        </is>
      </c>
      <c r="B23" t="n">
        <v>82.3</v>
      </c>
      <c r="C23" t="n">
        <v>6.3</v>
      </c>
      <c r="D23" t="n">
        <v>11.4</v>
      </c>
      <c r="E23" t="n">
        <v>77.2</v>
      </c>
      <c r="F23" t="n">
        <v>1.3</v>
      </c>
      <c r="G23" t="n">
        <v>21.6</v>
      </c>
      <c r="H23" t="n">
        <v>81.59999999999999</v>
      </c>
      <c r="I23" t="n">
        <v>0.5</v>
      </c>
      <c r="J23" t="n">
        <v>17.8</v>
      </c>
      <c r="K23" t="n">
        <v>1620</v>
      </c>
      <c r="L23" t="n">
        <v>692</v>
      </c>
      <c r="M23" t="n">
        <v>456</v>
      </c>
    </row>
    <row r="24">
      <c r="A24" t="inlineStr">
        <is>
          <t>Siemreap</t>
        </is>
      </c>
      <c r="B24" t="n">
        <v>78.3</v>
      </c>
      <c r="C24" t="n">
        <v>12.3</v>
      </c>
      <c r="D24" t="n">
        <v>9.4</v>
      </c>
      <c r="E24" t="n">
        <v>78.2</v>
      </c>
      <c r="F24" t="n">
        <v>3.4</v>
      </c>
      <c r="G24" t="n">
        <v>18.4</v>
      </c>
      <c r="H24" t="n">
        <v>83.2</v>
      </c>
      <c r="I24" t="n">
        <v>1.6</v>
      </c>
      <c r="J24" t="n">
        <v>15.2</v>
      </c>
      <c r="K24" t="n">
        <v>7351</v>
      </c>
      <c r="L24" t="n">
        <v>3904</v>
      </c>
      <c r="M24" t="n">
        <v>2369</v>
      </c>
    </row>
    <row r="25">
      <c r="A25" t="inlineStr">
        <is>
          <t>Stung Treng</t>
        </is>
      </c>
      <c r="B25" t="n">
        <v>73.5</v>
      </c>
      <c r="C25" t="n">
        <v>14.8</v>
      </c>
      <c r="D25" t="n">
        <v>11.7</v>
      </c>
      <c r="E25" t="n">
        <v>77.5</v>
      </c>
      <c r="F25" t="n">
        <v>1</v>
      </c>
      <c r="G25" t="n">
        <v>21.5</v>
      </c>
      <c r="H25" t="n">
        <v>84</v>
      </c>
      <c r="I25" t="n">
        <v>0.7</v>
      </c>
      <c r="J25" t="n">
        <v>15.3</v>
      </c>
      <c r="K25" t="n">
        <v>657</v>
      </c>
      <c r="L25" t="n">
        <v>407</v>
      </c>
      <c r="M25" t="n">
        <v>294</v>
      </c>
    </row>
    <row r="26">
      <c r="A26" t="inlineStr">
        <is>
          <t>Svay Rieng</t>
        </is>
      </c>
      <c r="B26" t="n">
        <v>87.09999999999999</v>
      </c>
      <c r="C26" t="n">
        <v>7.2</v>
      </c>
      <c r="D26" t="n">
        <v>5.7</v>
      </c>
      <c r="E26" t="n">
        <v>78.90000000000001</v>
      </c>
      <c r="F26" t="n">
        <v>0.8</v>
      </c>
      <c r="G26" t="n">
        <v>20.3</v>
      </c>
      <c r="H26" t="n">
        <v>75.40000000000001</v>
      </c>
      <c r="I26" t="n">
        <v>0.5</v>
      </c>
      <c r="J26" t="n">
        <v>24.1</v>
      </c>
      <c r="K26" t="n">
        <v>4368</v>
      </c>
      <c r="L26" t="n">
        <v>1913</v>
      </c>
      <c r="M26" t="n">
        <v>825</v>
      </c>
    </row>
    <row r="27">
      <c r="A27" t="inlineStr">
        <is>
          <t>Takeo</t>
        </is>
      </c>
      <c r="B27" t="n">
        <v>86.7</v>
      </c>
      <c r="C27" t="n">
        <v>9.6</v>
      </c>
      <c r="D27" t="n">
        <v>3.6</v>
      </c>
      <c r="E27" t="n">
        <v>87</v>
      </c>
      <c r="F27" t="n">
        <v>1.8</v>
      </c>
      <c r="G27" t="n">
        <v>11.1</v>
      </c>
      <c r="H27" t="n">
        <v>81.40000000000001</v>
      </c>
      <c r="I27" t="n">
        <v>0.9</v>
      </c>
      <c r="J27" t="n">
        <v>17.7</v>
      </c>
      <c r="K27" t="n">
        <v>7822</v>
      </c>
      <c r="L27" t="n">
        <v>4861</v>
      </c>
      <c r="M27" t="n">
        <v>2478</v>
      </c>
    </row>
    <row r="28">
      <c r="A28" t="inlineStr">
        <is>
          <t>Tbaung Khmum</t>
        </is>
      </c>
      <c r="B28" t="n">
        <v>79.40000000000001</v>
      </c>
      <c r="C28" t="n">
        <v>10.2</v>
      </c>
      <c r="D28" t="n">
        <v>10.4</v>
      </c>
      <c r="E28" t="n">
        <v>76.3</v>
      </c>
      <c r="F28" t="n">
        <v>1.9</v>
      </c>
      <c r="G28" t="n">
        <v>21.7</v>
      </c>
      <c r="H28" t="n">
        <v>77.3</v>
      </c>
      <c r="I28" t="n">
        <v>1.5</v>
      </c>
      <c r="J28" t="n">
        <v>21.2</v>
      </c>
      <c r="K28" t="n">
        <v>4484</v>
      </c>
      <c r="L28" t="n">
        <v>1807</v>
      </c>
      <c r="M28" t="n">
        <v>900</v>
      </c>
    </row>
    <row r="29">
      <c r="A29" t="inlineStr">
        <is>
          <t>Whole Kingdom</t>
        </is>
      </c>
      <c r="B29" t="n">
        <v>81.59999999999999</v>
      </c>
      <c r="C29" t="n">
        <v>9.800000000000001</v>
      </c>
      <c r="D29" t="n">
        <v>8.6</v>
      </c>
      <c r="E29" t="n">
        <v>81.40000000000001</v>
      </c>
      <c r="F29" t="n">
        <v>1.7</v>
      </c>
      <c r="G29" t="n">
        <v>16.9</v>
      </c>
      <c r="H29" t="n">
        <v>79.5</v>
      </c>
      <c r="I29" t="n">
        <v>1.3</v>
      </c>
      <c r="J29" t="n">
        <v>19.2</v>
      </c>
      <c r="K29" t="n">
        <v>104374</v>
      </c>
      <c r="L29" t="n">
        <v>52970</v>
      </c>
      <c r="M29" t="n">
        <v>24964</v>
      </c>
    </row>
    <row r="30">
      <c r="A30" t="inlineStr">
        <is>
          <t>- Urban Area</t>
        </is>
      </c>
      <c r="B30" t="n">
        <v>81.90000000000001</v>
      </c>
      <c r="C30" t="n">
        <v>8.9</v>
      </c>
      <c r="D30" t="n">
        <v>9.199999999999999</v>
      </c>
      <c r="E30" t="n">
        <v>85.59999999999999</v>
      </c>
      <c r="F30" t="n">
        <v>2.3</v>
      </c>
      <c r="G30" t="n">
        <v>12.1</v>
      </c>
      <c r="H30" t="n">
        <v>81.90000000000001</v>
      </c>
      <c r="I30" t="n">
        <v>1.8</v>
      </c>
      <c r="J30" t="n">
        <v>16.3</v>
      </c>
      <c r="K30" t="n">
        <v>17822</v>
      </c>
      <c r="L30" t="n">
        <v>12705</v>
      </c>
      <c r="M30" t="n">
        <v>7720</v>
      </c>
    </row>
    <row r="31">
      <c r="A31" t="inlineStr">
        <is>
          <t>- Rural Area</t>
        </is>
      </c>
      <c r="B31" t="n">
        <v>82.3</v>
      </c>
      <c r="C31" t="n">
        <v>10</v>
      </c>
      <c r="D31" t="n">
        <v>7.6</v>
      </c>
      <c r="E31" t="n">
        <v>80.3</v>
      </c>
      <c r="F31" t="n">
        <v>1.5</v>
      </c>
      <c r="G31" t="n">
        <v>18.3</v>
      </c>
      <c r="H31" t="n">
        <v>78.40000000000001</v>
      </c>
      <c r="I31" t="n">
        <v>1.1</v>
      </c>
      <c r="J31" t="n">
        <v>20.5</v>
      </c>
      <c r="K31" t="n">
        <v>86552</v>
      </c>
      <c r="L31" t="n">
        <v>40265</v>
      </c>
      <c r="M31" t="n">
        <v>17244</v>
      </c>
    </row>
  </sheetData>
  <mergeCells count="6">
    <mergeCell ref="E2:G2"/>
    <mergeCell ref="K2:M2"/>
    <mergeCell ref="A2:A3"/>
    <mergeCell ref="H2:J2"/>
    <mergeCell ref="B2:D2"/>
    <mergeCell ref="A1:N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0B0F0"/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9.5703125" customWidth="1" min="2" max="2"/>
    <col width="8.28515625" customWidth="1" min="7" max="7"/>
    <col width="9.5703125" customWidth="1" min="8" max="8"/>
    <col width="8.28515625" customWidth="1" min="10" max="10"/>
    <col width="9.5703125" customWidth="1" min="11" max="11"/>
    <col width="8.28515625" customWidth="1" min="13" max="13"/>
    <col width="9.5703125" customWidth="1" min="14" max="14"/>
    <col width="8.28515625" customWidth="1" min="16" max="16"/>
    <col width="9.5703125" customWidth="1" min="17" max="17"/>
    <col width="8.28515625" customWidth="1" min="19" max="19"/>
    <col width="9.5703125" customWidth="1" min="20" max="20"/>
    <col width="8.28515625" customWidth="1" min="22" max="22"/>
    <col width="9.5703125" customWidth="1" min="23" max="23"/>
    <col width="8.28515625" customWidth="1" min="25" max="25"/>
    <col width="9.5703125" customWidth="1" min="26" max="26"/>
    <col width="8.28515625" customWidth="1" min="28" max="28"/>
    <col width="9.5703125" customWidth="1" min="29" max="29"/>
    <col width="8.28515625" customWidth="1" min="31" max="31"/>
    <col width="9.5703125" customWidth="1" min="32" max="32"/>
    <col width="8.28515625" customWidth="1" min="34" max="34"/>
    <col width="9.5703125" customWidth="1" min="35" max="35"/>
    <col width="8.28515625" customWidth="1" min="37" max="37"/>
  </cols>
  <sheetData>
    <row r="1">
      <c r="A1" t="inlineStr">
        <is>
          <t>Table 13: Student Flow Rates for Both Sex  2020 - 2021</t>
        </is>
      </c>
    </row>
    <row r="2">
      <c r="A2" t="inlineStr">
        <is>
          <t>Province</t>
        </is>
      </c>
      <c r="B2" t="inlineStr">
        <is>
          <t>Grade 1</t>
        </is>
      </c>
      <c r="E2" t="inlineStr">
        <is>
          <t>Grade 2</t>
        </is>
      </c>
      <c r="H2" t="inlineStr">
        <is>
          <t>Grade 3</t>
        </is>
      </c>
      <c r="K2" t="inlineStr">
        <is>
          <t>Grade 4</t>
        </is>
      </c>
      <c r="N2" t="inlineStr">
        <is>
          <t>Grade 5</t>
        </is>
      </c>
      <c r="Q2" t="inlineStr">
        <is>
          <t>Grade 6</t>
        </is>
      </c>
      <c r="T2" t="inlineStr">
        <is>
          <t>Grade 7</t>
        </is>
      </c>
      <c r="W2" t="inlineStr">
        <is>
          <t>Grade 8</t>
        </is>
      </c>
      <c r="Z2" t="inlineStr">
        <is>
          <t>Grade 9</t>
        </is>
      </c>
      <c r="AC2" t="inlineStr">
        <is>
          <t>Grade 10</t>
        </is>
      </c>
      <c r="AF2" t="inlineStr">
        <is>
          <t>Grade 11</t>
        </is>
      </c>
      <c r="AI2" t="inlineStr">
        <is>
          <t>Grade 12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Promotion</t>
        </is>
      </c>
      <c r="L3" t="inlineStr">
        <is>
          <t>Repetition</t>
        </is>
      </c>
      <c r="M3" t="inlineStr">
        <is>
          <t>Dropout</t>
        </is>
      </c>
      <c r="N3" t="inlineStr">
        <is>
          <t>Promotion</t>
        </is>
      </c>
      <c r="O3" t="inlineStr">
        <is>
          <t>Repetition</t>
        </is>
      </c>
      <c r="P3" t="inlineStr">
        <is>
          <t>Dropout</t>
        </is>
      </c>
      <c r="Q3" t="inlineStr">
        <is>
          <t>Promotion</t>
        </is>
      </c>
      <c r="R3" t="inlineStr">
        <is>
          <t>Repetition</t>
        </is>
      </c>
      <c r="S3" t="inlineStr">
        <is>
          <t>Dropout</t>
        </is>
      </c>
      <c r="T3" t="inlineStr">
        <is>
          <t>Promotion</t>
        </is>
      </c>
      <c r="U3" t="inlineStr">
        <is>
          <t>Repetition</t>
        </is>
      </c>
      <c r="V3" t="inlineStr">
        <is>
          <t>Dropout</t>
        </is>
      </c>
      <c r="W3" t="inlineStr">
        <is>
          <t>Promotion</t>
        </is>
      </c>
      <c r="X3" t="inlineStr">
        <is>
          <t>Repetition</t>
        </is>
      </c>
      <c r="Y3" t="inlineStr">
        <is>
          <t>Dropout</t>
        </is>
      </c>
      <c r="Z3" t="inlineStr">
        <is>
          <t>Promotion</t>
        </is>
      </c>
      <c r="AA3" t="inlineStr">
        <is>
          <t>Repetition</t>
        </is>
      </c>
      <c r="AB3" t="inlineStr">
        <is>
          <t>Dropout</t>
        </is>
      </c>
      <c r="AC3" t="inlineStr">
        <is>
          <t>Promotion</t>
        </is>
      </c>
      <c r="AD3" t="inlineStr">
        <is>
          <t>Repetition</t>
        </is>
      </c>
      <c r="AE3" t="inlineStr">
        <is>
          <t>Dropout</t>
        </is>
      </c>
      <c r="AF3" t="inlineStr">
        <is>
          <t>Promotion</t>
        </is>
      </c>
      <c r="AG3" t="inlineStr">
        <is>
          <t>Repetition</t>
        </is>
      </c>
      <c r="AH3" t="inlineStr">
        <is>
          <t>Dropout</t>
        </is>
      </c>
      <c r="AI3" t="inlineStr">
        <is>
          <t>Promotion</t>
        </is>
      </c>
      <c r="AJ3" t="inlineStr">
        <is>
          <t>Repetition</t>
        </is>
      </c>
      <c r="AK3" t="inlineStr">
        <is>
          <t>Dropout</t>
        </is>
      </c>
    </row>
    <row r="4">
      <c r="A4" t="inlineStr">
        <is>
          <t>Banteay Meanchey</t>
        </is>
      </c>
      <c r="B4" t="n">
        <v>86.09999999999999</v>
      </c>
      <c r="C4" t="n">
        <v>8.699999999999999</v>
      </c>
      <c r="D4" t="n">
        <v>5.2</v>
      </c>
      <c r="E4" t="n">
        <v>88.3</v>
      </c>
      <c r="F4" t="n">
        <v>6.4</v>
      </c>
      <c r="G4" t="n">
        <v>5.3</v>
      </c>
      <c r="H4" t="n">
        <v>91</v>
      </c>
      <c r="I4" t="n">
        <v>4.6</v>
      </c>
      <c r="J4" t="n">
        <v>4.5</v>
      </c>
      <c r="K4" t="n">
        <v>89.7</v>
      </c>
      <c r="L4" t="n">
        <v>3.8</v>
      </c>
      <c r="M4" t="n">
        <v>6.5</v>
      </c>
      <c r="N4" t="n">
        <v>91.3</v>
      </c>
      <c r="O4" t="n">
        <v>2.6</v>
      </c>
      <c r="P4" t="n">
        <v>6.1</v>
      </c>
      <c r="Q4" t="n">
        <v>91.90000000000001</v>
      </c>
      <c r="R4" t="n">
        <v>2.2</v>
      </c>
      <c r="S4" t="n">
        <v>5.9</v>
      </c>
      <c r="T4" t="n">
        <v>88.8</v>
      </c>
      <c r="U4" t="n">
        <v>1</v>
      </c>
      <c r="V4" t="n">
        <v>10.2</v>
      </c>
      <c r="W4" t="n">
        <v>86.2</v>
      </c>
      <c r="X4" t="n">
        <v>0.5</v>
      </c>
      <c r="Y4" t="n">
        <v>13.3</v>
      </c>
      <c r="Z4" t="n">
        <v>85.7</v>
      </c>
      <c r="AA4" t="n">
        <v>1.1</v>
      </c>
      <c r="AB4" t="n">
        <v>13.3</v>
      </c>
      <c r="AC4" t="n">
        <v>87.5</v>
      </c>
      <c r="AD4" t="n">
        <v>0.3</v>
      </c>
      <c r="AE4" t="n">
        <v>12.2</v>
      </c>
      <c r="AF4" t="n">
        <v>93.09999999999999</v>
      </c>
      <c r="AG4" t="n">
        <v>0.2</v>
      </c>
      <c r="AH4" t="n">
        <v>6.7</v>
      </c>
      <c r="AI4" t="n">
        <v>73.2</v>
      </c>
      <c r="AJ4" t="n">
        <v>2.1</v>
      </c>
      <c r="AK4" t="n">
        <v>24.7</v>
      </c>
    </row>
    <row r="5">
      <c r="A5" t="inlineStr">
        <is>
          <t>Battambang</t>
        </is>
      </c>
      <c r="B5" t="n">
        <v>86.40000000000001</v>
      </c>
      <c r="C5" t="n">
        <v>10.5</v>
      </c>
      <c r="D5" t="n">
        <v>3.1</v>
      </c>
      <c r="E5" t="n">
        <v>84.2</v>
      </c>
      <c r="F5" t="n">
        <v>9.5</v>
      </c>
      <c r="G5" t="n">
        <v>6.3</v>
      </c>
      <c r="H5" t="n">
        <v>86.90000000000001</v>
      </c>
      <c r="I5" t="n">
        <v>6.8</v>
      </c>
      <c r="J5" t="n">
        <v>6.3</v>
      </c>
      <c r="K5" t="n">
        <v>89.09999999999999</v>
      </c>
      <c r="L5" t="n">
        <v>4.7</v>
      </c>
      <c r="M5" t="n">
        <v>6.1</v>
      </c>
      <c r="N5" t="n">
        <v>88</v>
      </c>
      <c r="O5" t="n">
        <v>3.7</v>
      </c>
      <c r="P5" t="n">
        <v>8.4</v>
      </c>
      <c r="Q5" t="n">
        <v>74.5</v>
      </c>
      <c r="R5" t="n">
        <v>2.7</v>
      </c>
      <c r="S5" t="n">
        <v>22.8</v>
      </c>
      <c r="T5" t="n">
        <v>85.5</v>
      </c>
      <c r="U5" t="n">
        <v>0.9</v>
      </c>
      <c r="V5" t="n">
        <v>13.7</v>
      </c>
      <c r="W5" t="n">
        <v>85.7</v>
      </c>
      <c r="X5" t="n">
        <v>0.9</v>
      </c>
      <c r="Y5" t="n">
        <v>13.4</v>
      </c>
      <c r="Z5" t="n">
        <v>72.09999999999999</v>
      </c>
      <c r="AA5" t="n">
        <v>2.1</v>
      </c>
      <c r="AB5" t="n">
        <v>25.8</v>
      </c>
      <c r="AC5" t="n">
        <v>83.90000000000001</v>
      </c>
      <c r="AD5" t="n">
        <v>0.6</v>
      </c>
      <c r="AE5" t="n">
        <v>15.5</v>
      </c>
      <c r="AF5" t="n">
        <v>92</v>
      </c>
      <c r="AG5" t="n">
        <v>0.5</v>
      </c>
      <c r="AH5" t="n">
        <v>7.6</v>
      </c>
      <c r="AI5" t="n">
        <v>57.8</v>
      </c>
      <c r="AJ5" t="n">
        <v>3.5</v>
      </c>
      <c r="AK5" t="n">
        <v>38.7</v>
      </c>
    </row>
    <row r="6">
      <c r="A6" t="inlineStr">
        <is>
          <t>Kampong Cham</t>
        </is>
      </c>
      <c r="B6" t="n">
        <v>80</v>
      </c>
      <c r="C6" t="n">
        <v>15.9</v>
      </c>
      <c r="D6" t="n">
        <v>4.2</v>
      </c>
      <c r="E6" t="n">
        <v>82.59999999999999</v>
      </c>
      <c r="F6" t="n">
        <v>12.1</v>
      </c>
      <c r="G6" t="n">
        <v>5.3</v>
      </c>
      <c r="H6" t="n">
        <v>85.5</v>
      </c>
      <c r="I6" t="n">
        <v>9.800000000000001</v>
      </c>
      <c r="J6" t="n">
        <v>4.7</v>
      </c>
      <c r="K6" t="n">
        <v>86.40000000000001</v>
      </c>
      <c r="L6" t="n">
        <v>7.7</v>
      </c>
      <c r="M6" t="n">
        <v>5.9</v>
      </c>
      <c r="N6" t="n">
        <v>88.3</v>
      </c>
      <c r="O6" t="n">
        <v>5.9</v>
      </c>
      <c r="P6" t="n">
        <v>5.8</v>
      </c>
      <c r="Q6" t="n">
        <v>60.6</v>
      </c>
      <c r="R6" t="n">
        <v>4.3</v>
      </c>
      <c r="S6" t="n">
        <v>35.2</v>
      </c>
      <c r="T6" t="n">
        <v>87.90000000000001</v>
      </c>
      <c r="U6" t="n">
        <v>0.9</v>
      </c>
      <c r="V6" t="n">
        <v>11.2</v>
      </c>
      <c r="W6" t="n">
        <v>86</v>
      </c>
      <c r="X6" t="n">
        <v>0.9</v>
      </c>
      <c r="Y6" t="n">
        <v>13.1</v>
      </c>
      <c r="Z6" t="n">
        <v>61.7</v>
      </c>
      <c r="AA6" t="n">
        <v>2.2</v>
      </c>
      <c r="AB6" t="n">
        <v>36.1</v>
      </c>
      <c r="AC6" t="n">
        <v>86.09999999999999</v>
      </c>
      <c r="AD6" t="n">
        <v>0.5</v>
      </c>
      <c r="AE6" t="n">
        <v>13.4</v>
      </c>
      <c r="AF6" t="n">
        <v>90.2</v>
      </c>
      <c r="AG6" t="n">
        <v>0.8</v>
      </c>
      <c r="AH6" t="n">
        <v>9</v>
      </c>
      <c r="AI6" t="n">
        <v>55.7</v>
      </c>
      <c r="AJ6" t="n">
        <v>3</v>
      </c>
      <c r="AK6" t="n">
        <v>41.3</v>
      </c>
    </row>
    <row r="7">
      <c r="A7" t="inlineStr">
        <is>
          <t>Kampong Chhnang</t>
        </is>
      </c>
      <c r="B7" t="n">
        <v>85</v>
      </c>
      <c r="C7" t="n">
        <v>13.6</v>
      </c>
      <c r="D7" t="n">
        <v>1.5</v>
      </c>
      <c r="E7" t="n">
        <v>86.8</v>
      </c>
      <c r="F7" t="n">
        <v>10.3</v>
      </c>
      <c r="G7" t="n">
        <v>2.9</v>
      </c>
      <c r="H7" t="n">
        <v>88.90000000000001</v>
      </c>
      <c r="I7" t="n">
        <v>8.699999999999999</v>
      </c>
      <c r="J7" t="n">
        <v>2.4</v>
      </c>
      <c r="K7" t="n">
        <v>89.5</v>
      </c>
      <c r="L7" t="n">
        <v>6.7</v>
      </c>
      <c r="M7" t="n">
        <v>3.8</v>
      </c>
      <c r="N7" t="n">
        <v>90</v>
      </c>
      <c r="O7" t="n">
        <v>5.6</v>
      </c>
      <c r="P7" t="n">
        <v>4.4</v>
      </c>
      <c r="Q7" t="n">
        <v>86.59999999999999</v>
      </c>
      <c r="R7" t="n">
        <v>3.4</v>
      </c>
      <c r="S7" t="n">
        <v>10.1</v>
      </c>
      <c r="T7" t="n">
        <v>87.09999999999999</v>
      </c>
      <c r="U7" t="n">
        <v>0.6</v>
      </c>
      <c r="V7" t="n">
        <v>12.4</v>
      </c>
      <c r="W7" t="n">
        <v>84.2</v>
      </c>
      <c r="X7" t="n">
        <v>0.7</v>
      </c>
      <c r="Y7" t="n">
        <v>15.1</v>
      </c>
      <c r="Z7" t="n">
        <v>68.2</v>
      </c>
      <c r="AA7" t="n">
        <v>0.9</v>
      </c>
      <c r="AB7" t="n">
        <v>30.9</v>
      </c>
      <c r="AC7" t="n">
        <v>83.2</v>
      </c>
      <c r="AD7" t="n">
        <v>0.1</v>
      </c>
      <c r="AE7" t="n">
        <v>16.6</v>
      </c>
      <c r="AF7" t="n">
        <v>85.09999999999999</v>
      </c>
      <c r="AG7" t="n">
        <v>0.1</v>
      </c>
      <c r="AH7" t="n">
        <v>14.8</v>
      </c>
      <c r="AI7" t="n">
        <v>49.1</v>
      </c>
      <c r="AJ7" t="n">
        <v>3.6</v>
      </c>
      <c r="AK7" t="n">
        <v>47.3</v>
      </c>
    </row>
    <row r="8">
      <c r="A8" t="inlineStr">
        <is>
          <t>Kampong Speu</t>
        </is>
      </c>
      <c r="B8" t="n">
        <v>87.09999999999999</v>
      </c>
      <c r="C8" t="n">
        <v>10.1</v>
      </c>
      <c r="D8" t="n">
        <v>2.9</v>
      </c>
      <c r="E8" t="n">
        <v>90.5</v>
      </c>
      <c r="F8" t="n">
        <v>6.3</v>
      </c>
      <c r="G8" t="n">
        <v>3.2</v>
      </c>
      <c r="H8" t="n">
        <v>90</v>
      </c>
      <c r="I8" t="n">
        <v>6.1</v>
      </c>
      <c r="J8" t="n">
        <v>3.9</v>
      </c>
      <c r="K8" t="n">
        <v>90.8</v>
      </c>
      <c r="L8" t="n">
        <v>4.9</v>
      </c>
      <c r="M8" t="n">
        <v>4.3</v>
      </c>
      <c r="N8" t="n">
        <v>90.7</v>
      </c>
      <c r="O8" t="n">
        <v>3.4</v>
      </c>
      <c r="P8" t="n">
        <v>5.9</v>
      </c>
      <c r="Q8" t="n">
        <v>66.40000000000001</v>
      </c>
      <c r="R8" t="n">
        <v>2.7</v>
      </c>
      <c r="S8" t="n">
        <v>30.9</v>
      </c>
      <c r="T8" t="n">
        <v>81</v>
      </c>
      <c r="U8" t="n">
        <v>0.5</v>
      </c>
      <c r="V8" t="n">
        <v>18.5</v>
      </c>
      <c r="W8" t="n">
        <v>79.59999999999999</v>
      </c>
      <c r="X8" t="n">
        <v>0.5</v>
      </c>
      <c r="Y8" t="n">
        <v>19.9</v>
      </c>
      <c r="Z8" t="n">
        <v>45.2</v>
      </c>
      <c r="AA8" t="n">
        <v>1.6</v>
      </c>
      <c r="AB8" t="n">
        <v>53.2</v>
      </c>
      <c r="AC8" t="n">
        <v>77.59999999999999</v>
      </c>
      <c r="AD8" t="n">
        <v>0.6</v>
      </c>
      <c r="AE8" t="n">
        <v>21.8</v>
      </c>
      <c r="AF8" t="n">
        <v>86.5</v>
      </c>
      <c r="AG8" t="n">
        <v>0.6</v>
      </c>
      <c r="AH8" t="n">
        <v>13</v>
      </c>
      <c r="AI8" t="n">
        <v>36</v>
      </c>
      <c r="AJ8" t="n">
        <v>1.1</v>
      </c>
      <c r="AK8" t="n">
        <v>62.9</v>
      </c>
    </row>
    <row r="9">
      <c r="A9" t="inlineStr">
        <is>
          <t>Kampong Thom</t>
        </is>
      </c>
      <c r="B9" t="n">
        <v>82.3</v>
      </c>
      <c r="C9" t="n">
        <v>14.1</v>
      </c>
      <c r="D9" t="n">
        <v>3.7</v>
      </c>
      <c r="E9" t="n">
        <v>86.2</v>
      </c>
      <c r="F9" t="n">
        <v>8.699999999999999</v>
      </c>
      <c r="G9" t="n">
        <v>5.1</v>
      </c>
      <c r="H9" t="n">
        <v>87</v>
      </c>
      <c r="I9" t="n">
        <v>7.7</v>
      </c>
      <c r="J9" t="n">
        <v>5.3</v>
      </c>
      <c r="K9" t="n">
        <v>87.09999999999999</v>
      </c>
      <c r="L9" t="n">
        <v>5.5</v>
      </c>
      <c r="M9" t="n">
        <v>7.4</v>
      </c>
      <c r="N9" t="n">
        <v>87.8</v>
      </c>
      <c r="O9" t="n">
        <v>3.8</v>
      </c>
      <c r="P9" t="n">
        <v>8.4</v>
      </c>
      <c r="Q9" t="n">
        <v>66.40000000000001</v>
      </c>
      <c r="R9" t="n">
        <v>3.2</v>
      </c>
      <c r="S9" t="n">
        <v>30.4</v>
      </c>
      <c r="T9" t="n">
        <v>84.5</v>
      </c>
      <c r="U9" t="n">
        <v>0.7</v>
      </c>
      <c r="V9" t="n">
        <v>14.8</v>
      </c>
      <c r="W9" t="n">
        <v>83.8</v>
      </c>
      <c r="X9" t="n">
        <v>0.5</v>
      </c>
      <c r="Y9" t="n">
        <v>15.7</v>
      </c>
      <c r="Z9" t="n">
        <v>73.2</v>
      </c>
      <c r="AA9" t="n">
        <v>1.3</v>
      </c>
      <c r="AB9" t="n">
        <v>25.5</v>
      </c>
      <c r="AC9" t="n">
        <v>85.7</v>
      </c>
      <c r="AD9" t="n">
        <v>0.4</v>
      </c>
      <c r="AE9" t="n">
        <v>13.9</v>
      </c>
      <c r="AF9" t="n">
        <v>91.5</v>
      </c>
      <c r="AG9" t="n">
        <v>0.2</v>
      </c>
      <c r="AH9" t="n">
        <v>8.300000000000001</v>
      </c>
      <c r="AI9" t="n">
        <v>58.9</v>
      </c>
      <c r="AJ9" t="n">
        <v>1.9</v>
      </c>
      <c r="AK9" t="n">
        <v>39.2</v>
      </c>
    </row>
    <row r="10">
      <c r="A10" t="inlineStr">
        <is>
          <t>Kampot</t>
        </is>
      </c>
      <c r="B10" t="n">
        <v>85</v>
      </c>
      <c r="C10" t="n">
        <v>10.5</v>
      </c>
      <c r="D10" t="n">
        <v>4.5</v>
      </c>
      <c r="E10" t="n">
        <v>89.59999999999999</v>
      </c>
      <c r="F10" t="n">
        <v>6.5</v>
      </c>
      <c r="G10" t="n">
        <v>3.9</v>
      </c>
      <c r="H10" t="n">
        <v>90.90000000000001</v>
      </c>
      <c r="I10" t="n">
        <v>4.7</v>
      </c>
      <c r="J10" t="n">
        <v>4.4</v>
      </c>
      <c r="K10" t="n">
        <v>90.90000000000001</v>
      </c>
      <c r="L10" t="n">
        <v>3.5</v>
      </c>
      <c r="M10" t="n">
        <v>5.6</v>
      </c>
      <c r="N10" t="n">
        <v>92.40000000000001</v>
      </c>
      <c r="O10" t="n">
        <v>2.4</v>
      </c>
      <c r="P10" t="n">
        <v>5.2</v>
      </c>
      <c r="Q10" t="n">
        <v>81.5</v>
      </c>
      <c r="R10" t="n">
        <v>2.3</v>
      </c>
      <c r="S10" t="n">
        <v>16.2</v>
      </c>
      <c r="T10" t="n">
        <v>87.3</v>
      </c>
      <c r="U10" t="n">
        <v>1.4</v>
      </c>
      <c r="V10" t="n">
        <v>11.3</v>
      </c>
      <c r="W10" t="n">
        <v>84.8</v>
      </c>
      <c r="X10" t="n">
        <v>0.8</v>
      </c>
      <c r="Y10" t="n">
        <v>14.4</v>
      </c>
      <c r="Z10" t="n">
        <v>73.2</v>
      </c>
      <c r="AA10" t="n">
        <v>2.7</v>
      </c>
      <c r="AB10" t="n">
        <v>24</v>
      </c>
      <c r="AC10" t="n">
        <v>85</v>
      </c>
      <c r="AD10" t="n">
        <v>0.7</v>
      </c>
      <c r="AE10" t="n">
        <v>14.3</v>
      </c>
      <c r="AF10" t="n">
        <v>90</v>
      </c>
      <c r="AG10" t="n">
        <v>0.7</v>
      </c>
      <c r="AH10" t="n">
        <v>9.4</v>
      </c>
      <c r="AI10" t="n">
        <v>60.9</v>
      </c>
      <c r="AJ10" t="n">
        <v>2.2</v>
      </c>
      <c r="AK10" t="n">
        <v>36.9</v>
      </c>
    </row>
    <row r="11">
      <c r="A11" t="inlineStr">
        <is>
          <t>Kandal</t>
        </is>
      </c>
      <c r="B11" t="n">
        <v>79.3</v>
      </c>
      <c r="C11" t="n">
        <v>18</v>
      </c>
      <c r="D11" t="n">
        <v>2.7</v>
      </c>
      <c r="E11" t="n">
        <v>83.59999999999999</v>
      </c>
      <c r="F11" t="n">
        <v>13.4</v>
      </c>
      <c r="G11" t="n">
        <v>3</v>
      </c>
      <c r="H11" t="n">
        <v>84.8</v>
      </c>
      <c r="I11" t="n">
        <v>11.8</v>
      </c>
      <c r="J11" t="n">
        <v>3.4</v>
      </c>
      <c r="K11" t="n">
        <v>86.2</v>
      </c>
      <c r="L11" t="n">
        <v>10</v>
      </c>
      <c r="M11" t="n">
        <v>3.7</v>
      </c>
      <c r="N11" t="n">
        <v>87.09999999999999</v>
      </c>
      <c r="O11" t="n">
        <v>8</v>
      </c>
      <c r="P11" t="n">
        <v>5</v>
      </c>
      <c r="Q11" t="n">
        <v>90.5</v>
      </c>
      <c r="R11" t="n">
        <v>5.6</v>
      </c>
      <c r="S11" t="n">
        <v>3.9</v>
      </c>
      <c r="T11" t="n">
        <v>89.3</v>
      </c>
      <c r="U11" t="n">
        <v>0.9</v>
      </c>
      <c r="V11" t="n">
        <v>9.800000000000001</v>
      </c>
      <c r="W11" t="n">
        <v>88.8</v>
      </c>
      <c r="X11" t="n">
        <v>1.1</v>
      </c>
      <c r="Y11" t="n">
        <v>10.1</v>
      </c>
      <c r="Z11" t="n">
        <v>84</v>
      </c>
      <c r="AA11" t="n">
        <v>1.3</v>
      </c>
      <c r="AB11" t="n">
        <v>14.7</v>
      </c>
      <c r="AC11" t="n">
        <v>87.59999999999999</v>
      </c>
      <c r="AD11" t="n">
        <v>0.7</v>
      </c>
      <c r="AE11" t="n">
        <v>11.7</v>
      </c>
      <c r="AF11" t="n">
        <v>89.3</v>
      </c>
      <c r="AG11" t="n">
        <v>0.3</v>
      </c>
      <c r="AH11" t="n">
        <v>10.4</v>
      </c>
      <c r="AI11" t="n">
        <v>63.4</v>
      </c>
      <c r="AJ11" t="n">
        <v>1.9</v>
      </c>
      <c r="AK11" t="n">
        <v>34.6</v>
      </c>
    </row>
    <row r="12">
      <c r="A12" t="inlineStr">
        <is>
          <t>Kep</t>
        </is>
      </c>
      <c r="B12" t="n">
        <v>83.59999999999999</v>
      </c>
      <c r="C12" t="n">
        <v>11.6</v>
      </c>
      <c r="D12" t="n">
        <v>4.7</v>
      </c>
      <c r="E12" t="n">
        <v>89.90000000000001</v>
      </c>
      <c r="F12" t="n">
        <v>7.7</v>
      </c>
      <c r="G12" t="n">
        <v>2.4</v>
      </c>
      <c r="H12" t="n">
        <v>89.90000000000001</v>
      </c>
      <c r="I12" t="n">
        <v>4.2</v>
      </c>
      <c r="J12" t="n">
        <v>6</v>
      </c>
      <c r="K12" t="n">
        <v>88.59999999999999</v>
      </c>
      <c r="L12" t="n">
        <v>2.4</v>
      </c>
      <c r="M12" t="n">
        <v>9</v>
      </c>
      <c r="N12" t="n">
        <v>88.7</v>
      </c>
      <c r="O12" t="n">
        <v>2.6</v>
      </c>
      <c r="P12" t="n">
        <v>8.699999999999999</v>
      </c>
      <c r="Q12" t="n">
        <v>83.59999999999999</v>
      </c>
      <c r="R12" t="n">
        <v>1.2</v>
      </c>
      <c r="S12" t="n">
        <v>15.2</v>
      </c>
      <c r="T12" t="n">
        <v>89</v>
      </c>
      <c r="U12" t="n">
        <v>0.6</v>
      </c>
      <c r="V12" t="n">
        <v>10.3</v>
      </c>
      <c r="W12" t="n">
        <v>90</v>
      </c>
      <c r="X12" t="n">
        <v>0.6</v>
      </c>
      <c r="Y12" t="n">
        <v>9.4</v>
      </c>
      <c r="Z12" t="n">
        <v>79.59999999999999</v>
      </c>
      <c r="AA12" t="n">
        <v>9.1</v>
      </c>
      <c r="AB12" t="n">
        <v>11.3</v>
      </c>
      <c r="AC12" t="n">
        <v>91.8</v>
      </c>
      <c r="AD12" t="n">
        <v>0</v>
      </c>
      <c r="AE12" t="n">
        <v>8.199999999999999</v>
      </c>
      <c r="AF12" t="n">
        <v>94.09999999999999</v>
      </c>
      <c r="AG12" t="n">
        <v>0</v>
      </c>
      <c r="AH12" t="n">
        <v>5.9</v>
      </c>
      <c r="AI12" t="n">
        <v>84.59999999999999</v>
      </c>
      <c r="AJ12" t="n">
        <v>0.3</v>
      </c>
      <c r="AK12" t="n">
        <v>15</v>
      </c>
    </row>
    <row r="13">
      <c r="A13" t="inlineStr">
        <is>
          <t>Koh Kong</t>
        </is>
      </c>
      <c r="B13" t="n">
        <v>85.09999999999999</v>
      </c>
      <c r="C13" t="n">
        <v>9.9</v>
      </c>
      <c r="D13" t="n">
        <v>5</v>
      </c>
      <c r="E13" t="n">
        <v>83.90000000000001</v>
      </c>
      <c r="F13" t="n">
        <v>7.3</v>
      </c>
      <c r="G13" t="n">
        <v>8.800000000000001</v>
      </c>
      <c r="H13" t="n">
        <v>89.8</v>
      </c>
      <c r="I13" t="n">
        <v>4.3</v>
      </c>
      <c r="J13" t="n">
        <v>5.9</v>
      </c>
      <c r="K13" t="n">
        <v>87.09999999999999</v>
      </c>
      <c r="L13" t="n">
        <v>2.2</v>
      </c>
      <c r="M13" t="n">
        <v>10.7</v>
      </c>
      <c r="N13" t="n">
        <v>90.8</v>
      </c>
      <c r="O13" t="n">
        <v>2.7</v>
      </c>
      <c r="P13" t="n">
        <v>6.5</v>
      </c>
      <c r="Q13" t="n">
        <v>66.8</v>
      </c>
      <c r="R13" t="n">
        <v>1.4</v>
      </c>
      <c r="S13" t="n">
        <v>31.8</v>
      </c>
      <c r="T13" t="n">
        <v>88.40000000000001</v>
      </c>
      <c r="U13" t="n">
        <v>1</v>
      </c>
      <c r="V13" t="n">
        <v>10.6</v>
      </c>
      <c r="W13" t="n">
        <v>88.8</v>
      </c>
      <c r="X13" t="n">
        <v>1.3</v>
      </c>
      <c r="Y13" t="n">
        <v>9.9</v>
      </c>
      <c r="Z13" t="n">
        <v>69.5</v>
      </c>
      <c r="AA13" t="n">
        <v>3.1</v>
      </c>
      <c r="AB13" t="n">
        <v>27.3</v>
      </c>
      <c r="AC13" t="n">
        <v>86.7</v>
      </c>
      <c r="AD13" t="n">
        <v>0.3</v>
      </c>
      <c r="AE13" t="n">
        <v>12.9</v>
      </c>
      <c r="AF13" t="n">
        <v>90.3</v>
      </c>
      <c r="AG13" t="n">
        <v>0.1</v>
      </c>
      <c r="AH13" t="n">
        <v>9.6</v>
      </c>
      <c r="AI13" t="n">
        <v>62</v>
      </c>
      <c r="AJ13" t="n">
        <v>1.3</v>
      </c>
      <c r="AK13" t="n">
        <v>36.7</v>
      </c>
    </row>
    <row r="14">
      <c r="A14" t="inlineStr">
        <is>
          <t>Kratie</t>
        </is>
      </c>
      <c r="B14" t="n">
        <v>78.59999999999999</v>
      </c>
      <c r="C14" t="n">
        <v>17.1</v>
      </c>
      <c r="D14" t="n">
        <v>4.4</v>
      </c>
      <c r="E14" t="n">
        <v>81.09999999999999</v>
      </c>
      <c r="F14" t="n">
        <v>11.9</v>
      </c>
      <c r="G14" t="n">
        <v>7</v>
      </c>
      <c r="H14" t="n">
        <v>83</v>
      </c>
      <c r="I14" t="n">
        <v>8.800000000000001</v>
      </c>
      <c r="J14" t="n">
        <v>8.300000000000001</v>
      </c>
      <c r="K14" t="n">
        <v>84.59999999999999</v>
      </c>
      <c r="L14" t="n">
        <v>7.4</v>
      </c>
      <c r="M14" t="n">
        <v>7.9</v>
      </c>
      <c r="N14" t="n">
        <v>84.09999999999999</v>
      </c>
      <c r="O14" t="n">
        <v>5</v>
      </c>
      <c r="P14" t="n">
        <v>10.8</v>
      </c>
      <c r="Q14" t="n">
        <v>66</v>
      </c>
      <c r="R14" t="n">
        <v>3.8</v>
      </c>
      <c r="S14" t="n">
        <v>30.1</v>
      </c>
      <c r="T14" t="n">
        <v>81</v>
      </c>
      <c r="U14" t="n">
        <v>0.9</v>
      </c>
      <c r="V14" t="n">
        <v>18.1</v>
      </c>
      <c r="W14" t="n">
        <v>82</v>
      </c>
      <c r="X14" t="n">
        <v>0.5</v>
      </c>
      <c r="Y14" t="n">
        <v>17.4</v>
      </c>
      <c r="Z14" t="n">
        <v>70</v>
      </c>
      <c r="AA14" t="n">
        <v>3</v>
      </c>
      <c r="AB14" t="n">
        <v>27</v>
      </c>
      <c r="AC14" t="n">
        <v>85.90000000000001</v>
      </c>
      <c r="AD14" t="n">
        <v>0</v>
      </c>
      <c r="AE14" t="n">
        <v>14.1</v>
      </c>
      <c r="AF14" t="n">
        <v>92.2</v>
      </c>
      <c r="AG14" t="n">
        <v>0</v>
      </c>
      <c r="AH14" t="n">
        <v>7.8</v>
      </c>
      <c r="AI14" t="n">
        <v>69</v>
      </c>
      <c r="AJ14" t="n">
        <v>1.2</v>
      </c>
      <c r="AK14" t="n">
        <v>29.7</v>
      </c>
    </row>
    <row r="15">
      <c r="A15" t="inlineStr">
        <is>
          <t>Mondul Kiri</t>
        </is>
      </c>
      <c r="B15" t="n">
        <v>82.2</v>
      </c>
      <c r="C15" t="n">
        <v>11.3</v>
      </c>
      <c r="D15" t="n">
        <v>6.5</v>
      </c>
      <c r="E15" t="n">
        <v>84.7</v>
      </c>
      <c r="F15" t="n">
        <v>9.199999999999999</v>
      </c>
      <c r="G15" t="n">
        <v>6.2</v>
      </c>
      <c r="H15" t="n">
        <v>86.3</v>
      </c>
      <c r="I15" t="n">
        <v>7.9</v>
      </c>
      <c r="J15" t="n">
        <v>5.8</v>
      </c>
      <c r="K15" t="n">
        <v>90.59999999999999</v>
      </c>
      <c r="L15" t="n">
        <v>3.7</v>
      </c>
      <c r="M15" t="n">
        <v>5.7</v>
      </c>
      <c r="N15" t="n">
        <v>84.90000000000001</v>
      </c>
      <c r="O15" t="n">
        <v>3.9</v>
      </c>
      <c r="P15" t="n">
        <v>11.2</v>
      </c>
      <c r="Q15" t="n">
        <v>81.8</v>
      </c>
      <c r="R15" t="n">
        <v>2.8</v>
      </c>
      <c r="S15" t="n">
        <v>15.4</v>
      </c>
      <c r="T15" t="n">
        <v>84.5</v>
      </c>
      <c r="U15" t="n">
        <v>2</v>
      </c>
      <c r="V15" t="n">
        <v>13.5</v>
      </c>
      <c r="W15" t="n">
        <v>85.59999999999999</v>
      </c>
      <c r="X15" t="n">
        <v>1.7</v>
      </c>
      <c r="Y15" t="n">
        <v>12.7</v>
      </c>
      <c r="Z15" t="n">
        <v>84.2</v>
      </c>
      <c r="AA15" t="n">
        <v>3.5</v>
      </c>
      <c r="AB15" t="n">
        <v>12.2</v>
      </c>
      <c r="AC15" t="n">
        <v>91.09999999999999</v>
      </c>
      <c r="AD15" t="n">
        <v>0.7</v>
      </c>
      <c r="AE15" t="n">
        <v>8.199999999999999</v>
      </c>
      <c r="AF15" t="n">
        <v>91.2</v>
      </c>
      <c r="AG15" t="n">
        <v>0.2</v>
      </c>
      <c r="AH15" t="n">
        <v>8.6</v>
      </c>
      <c r="AI15" t="n">
        <v>82.2</v>
      </c>
      <c r="AJ15" t="n">
        <v>3.4</v>
      </c>
      <c r="AK15" t="n">
        <v>14.4</v>
      </c>
    </row>
    <row r="16">
      <c r="A16" t="inlineStr">
        <is>
          <t>Otdar Meanchey</t>
        </is>
      </c>
      <c r="B16" t="n">
        <v>78.2</v>
      </c>
      <c r="C16" t="n">
        <v>15.4</v>
      </c>
      <c r="D16" t="n">
        <v>6.4</v>
      </c>
      <c r="E16" t="n">
        <v>83.40000000000001</v>
      </c>
      <c r="F16" t="n">
        <v>10.4</v>
      </c>
      <c r="G16" t="n">
        <v>6.3</v>
      </c>
      <c r="H16" t="n">
        <v>85</v>
      </c>
      <c r="I16" t="n">
        <v>8.199999999999999</v>
      </c>
      <c r="J16" t="n">
        <v>6.7</v>
      </c>
      <c r="K16" t="n">
        <v>86.3</v>
      </c>
      <c r="L16" t="n">
        <v>6.4</v>
      </c>
      <c r="M16" t="n">
        <v>7.3</v>
      </c>
      <c r="N16" t="n">
        <v>87.7</v>
      </c>
      <c r="O16" t="n">
        <v>3.7</v>
      </c>
      <c r="P16" t="n">
        <v>8.6</v>
      </c>
      <c r="Q16" t="n">
        <v>61.8</v>
      </c>
      <c r="R16" t="n">
        <v>2.4</v>
      </c>
      <c r="S16" t="n">
        <v>35.8</v>
      </c>
      <c r="T16" t="n">
        <v>84.2</v>
      </c>
      <c r="U16" t="n">
        <v>2</v>
      </c>
      <c r="V16" t="n">
        <v>13.8</v>
      </c>
      <c r="W16" t="n">
        <v>84.2</v>
      </c>
      <c r="X16" t="n">
        <v>1.5</v>
      </c>
      <c r="Y16" t="n">
        <v>14.3</v>
      </c>
      <c r="Z16" t="n">
        <v>73.59999999999999</v>
      </c>
      <c r="AA16" t="n">
        <v>2</v>
      </c>
      <c r="AB16" t="n">
        <v>24.5</v>
      </c>
      <c r="AC16" t="n">
        <v>81.59999999999999</v>
      </c>
      <c r="AD16" t="n">
        <v>1.9</v>
      </c>
      <c r="AE16" t="n">
        <v>16.5</v>
      </c>
      <c r="AF16" t="n">
        <v>87.40000000000001</v>
      </c>
      <c r="AG16" t="n">
        <v>1.2</v>
      </c>
      <c r="AH16" t="n">
        <v>11.5</v>
      </c>
      <c r="AI16" t="n">
        <v>88.2</v>
      </c>
      <c r="AJ16" t="n">
        <v>4.3</v>
      </c>
      <c r="AK16" t="n">
        <v>7.6</v>
      </c>
    </row>
    <row r="17">
      <c r="A17" t="inlineStr">
        <is>
          <t>Pailin</t>
        </is>
      </c>
      <c r="B17" t="n">
        <v>75.40000000000001</v>
      </c>
      <c r="C17" t="n">
        <v>16.5</v>
      </c>
      <c r="D17" t="n">
        <v>8.1</v>
      </c>
      <c r="E17" t="n">
        <v>84.59999999999999</v>
      </c>
      <c r="F17" t="n">
        <v>8.6</v>
      </c>
      <c r="G17" t="n">
        <v>6.9</v>
      </c>
      <c r="H17" t="n">
        <v>85.3</v>
      </c>
      <c r="I17" t="n">
        <v>7.8</v>
      </c>
      <c r="J17" t="n">
        <v>6.8</v>
      </c>
      <c r="K17" t="n">
        <v>83.3</v>
      </c>
      <c r="L17" t="n">
        <v>5.7</v>
      </c>
      <c r="M17" t="n">
        <v>11</v>
      </c>
      <c r="N17" t="n">
        <v>85.40000000000001</v>
      </c>
      <c r="O17" t="n">
        <v>5.5</v>
      </c>
      <c r="P17" t="n">
        <v>9.1</v>
      </c>
      <c r="Q17" t="n">
        <v>65.59999999999999</v>
      </c>
      <c r="R17" t="n">
        <v>1.3</v>
      </c>
      <c r="S17" t="n">
        <v>33.1</v>
      </c>
      <c r="T17" t="n">
        <v>83.40000000000001</v>
      </c>
      <c r="U17" t="n">
        <v>1.4</v>
      </c>
      <c r="V17" t="n">
        <v>15.2</v>
      </c>
      <c r="W17" t="n">
        <v>83.7</v>
      </c>
      <c r="X17" t="n">
        <v>0.8</v>
      </c>
      <c r="Y17" t="n">
        <v>15.5</v>
      </c>
      <c r="Z17" t="n">
        <v>71.59999999999999</v>
      </c>
      <c r="AA17" t="n">
        <v>5.1</v>
      </c>
      <c r="AB17" t="n">
        <v>23.3</v>
      </c>
      <c r="AC17" t="n">
        <v>84.8</v>
      </c>
      <c r="AD17" t="n">
        <v>2</v>
      </c>
      <c r="AE17" t="n">
        <v>13.2</v>
      </c>
      <c r="AF17" t="n">
        <v>88.2</v>
      </c>
      <c r="AG17" t="n">
        <v>0.9</v>
      </c>
      <c r="AH17" t="n">
        <v>10.9</v>
      </c>
      <c r="AI17" t="n">
        <v>71.7</v>
      </c>
      <c r="AJ17" t="n">
        <v>3.8</v>
      </c>
      <c r="AK17" t="n">
        <v>24.4</v>
      </c>
    </row>
    <row r="18">
      <c r="A18" t="inlineStr">
        <is>
          <t>Phnom Penh</t>
        </is>
      </c>
      <c r="B18" t="n">
        <v>80.59999999999999</v>
      </c>
      <c r="C18" t="n">
        <v>10.5</v>
      </c>
      <c r="D18" t="n">
        <v>8.9</v>
      </c>
      <c r="E18" t="n">
        <v>88.09999999999999</v>
      </c>
      <c r="F18" t="n">
        <v>7.1</v>
      </c>
      <c r="G18" t="n">
        <v>4.7</v>
      </c>
      <c r="H18" t="n">
        <v>89.59999999999999</v>
      </c>
      <c r="I18" t="n">
        <v>5.3</v>
      </c>
      <c r="J18" t="n">
        <v>5.1</v>
      </c>
      <c r="K18" t="n">
        <v>90.5</v>
      </c>
      <c r="L18" t="n">
        <v>4.2</v>
      </c>
      <c r="M18" t="n">
        <v>5.3</v>
      </c>
      <c r="N18" t="n">
        <v>92.2</v>
      </c>
      <c r="O18" t="n">
        <v>2.8</v>
      </c>
      <c r="P18" t="n">
        <v>5.1</v>
      </c>
      <c r="Q18" t="n">
        <v>65.40000000000001</v>
      </c>
      <c r="R18" t="n">
        <v>1.8</v>
      </c>
      <c r="S18" t="n">
        <v>32.8</v>
      </c>
      <c r="T18" t="n">
        <v>93.3</v>
      </c>
      <c r="U18" t="n">
        <v>1.2</v>
      </c>
      <c r="V18" t="n">
        <v>5.5</v>
      </c>
      <c r="W18" t="n">
        <v>95.5</v>
      </c>
      <c r="X18" t="n">
        <v>1.7</v>
      </c>
      <c r="Y18" t="n">
        <v>2.8</v>
      </c>
      <c r="Z18" t="n">
        <v>64.09999999999999</v>
      </c>
      <c r="AA18" t="n">
        <v>3.1</v>
      </c>
      <c r="AB18" t="n">
        <v>32.7</v>
      </c>
      <c r="AC18" t="n">
        <v>95.8</v>
      </c>
      <c r="AD18" t="n">
        <v>0.2</v>
      </c>
      <c r="AE18" t="n">
        <v>4</v>
      </c>
      <c r="AF18" t="inlineStr">
        <is>
          <t>n.a.</t>
        </is>
      </c>
      <c r="AG18" t="n">
        <v>0.1</v>
      </c>
      <c r="AH18" t="inlineStr">
        <is>
          <t>n.a.</t>
        </is>
      </c>
      <c r="AI18" t="n">
        <v>50.8</v>
      </c>
      <c r="AJ18" t="n">
        <v>5.6</v>
      </c>
      <c r="AK18" t="n">
        <v>43.6</v>
      </c>
    </row>
    <row r="19">
      <c r="A19" t="inlineStr">
        <is>
          <t>Preah Sihanouk</t>
        </is>
      </c>
      <c r="B19" t="n">
        <v>77.5</v>
      </c>
      <c r="C19" t="n">
        <v>15.7</v>
      </c>
      <c r="D19" t="n">
        <v>6.8</v>
      </c>
      <c r="E19" t="n">
        <v>83</v>
      </c>
      <c r="F19" t="n">
        <v>11.1</v>
      </c>
      <c r="G19" t="n">
        <v>5.9</v>
      </c>
      <c r="H19" t="n">
        <v>85.09999999999999</v>
      </c>
      <c r="I19" t="n">
        <v>7.4</v>
      </c>
      <c r="J19" t="n">
        <v>7.5</v>
      </c>
      <c r="K19" t="n">
        <v>88.59999999999999</v>
      </c>
      <c r="L19" t="n">
        <v>5.9</v>
      </c>
      <c r="M19" t="n">
        <v>5.5</v>
      </c>
      <c r="N19" t="n">
        <v>88.59999999999999</v>
      </c>
      <c r="O19" t="n">
        <v>3.5</v>
      </c>
      <c r="P19" t="n">
        <v>7.9</v>
      </c>
      <c r="Q19" t="n">
        <v>76.2</v>
      </c>
      <c r="R19" t="n">
        <v>3.4</v>
      </c>
      <c r="S19" t="n">
        <v>20.4</v>
      </c>
      <c r="T19" t="n">
        <v>87.40000000000001</v>
      </c>
      <c r="U19" t="n">
        <v>1.6</v>
      </c>
      <c r="V19" t="n">
        <v>11</v>
      </c>
      <c r="W19" t="n">
        <v>89.09999999999999</v>
      </c>
      <c r="X19" t="n">
        <v>0.6</v>
      </c>
      <c r="Y19" t="n">
        <v>10.3</v>
      </c>
      <c r="Z19" t="n">
        <v>76.2</v>
      </c>
      <c r="AA19" t="n">
        <v>3.7</v>
      </c>
      <c r="AB19" t="n">
        <v>20.2</v>
      </c>
      <c r="AC19" t="n">
        <v>88.8</v>
      </c>
      <c r="AD19" t="n">
        <v>0.3</v>
      </c>
      <c r="AE19" t="n">
        <v>10.9</v>
      </c>
      <c r="AF19" t="n">
        <v>89.40000000000001</v>
      </c>
      <c r="AG19" t="n">
        <v>0.1</v>
      </c>
      <c r="AH19" t="n">
        <v>10.6</v>
      </c>
      <c r="AI19" t="n">
        <v>77.7</v>
      </c>
      <c r="AJ19" t="n">
        <v>1.1</v>
      </c>
      <c r="AK19" t="n">
        <v>21.2</v>
      </c>
    </row>
    <row r="20">
      <c r="A20" t="inlineStr">
        <is>
          <t>Preah Vihear</t>
        </is>
      </c>
      <c r="B20" t="n">
        <v>72.40000000000001</v>
      </c>
      <c r="C20" t="n">
        <v>21</v>
      </c>
      <c r="D20" t="n">
        <v>6.6</v>
      </c>
      <c r="E20" t="n">
        <v>82.09999999999999</v>
      </c>
      <c r="F20" t="n">
        <v>12.9</v>
      </c>
      <c r="G20" t="n">
        <v>5</v>
      </c>
      <c r="H20" t="n">
        <v>82.90000000000001</v>
      </c>
      <c r="I20" t="n">
        <v>10.3</v>
      </c>
      <c r="J20" t="n">
        <v>6.8</v>
      </c>
      <c r="K20" t="n">
        <v>83.8</v>
      </c>
      <c r="L20" t="n">
        <v>7.5</v>
      </c>
      <c r="M20" t="n">
        <v>8.699999999999999</v>
      </c>
      <c r="N20" t="n">
        <v>87</v>
      </c>
      <c r="O20" t="n">
        <v>4.7</v>
      </c>
      <c r="P20" t="n">
        <v>8.300000000000001</v>
      </c>
      <c r="Q20" t="n">
        <v>79</v>
      </c>
      <c r="R20" t="n">
        <v>2.4</v>
      </c>
      <c r="S20" t="n">
        <v>18.6</v>
      </c>
      <c r="T20" t="n">
        <v>85.5</v>
      </c>
      <c r="U20" t="n">
        <v>0.6</v>
      </c>
      <c r="V20" t="n">
        <v>13.9</v>
      </c>
      <c r="W20" t="n">
        <v>87.59999999999999</v>
      </c>
      <c r="X20" t="n">
        <v>0.2</v>
      </c>
      <c r="Y20" t="n">
        <v>12.1</v>
      </c>
      <c r="Z20" t="n">
        <v>81.5</v>
      </c>
      <c r="AA20" t="n">
        <v>0.6</v>
      </c>
      <c r="AB20" t="n">
        <v>17.9</v>
      </c>
      <c r="AC20" t="n">
        <v>80</v>
      </c>
      <c r="AD20" t="n">
        <v>0.6</v>
      </c>
      <c r="AE20" t="n">
        <v>19.4</v>
      </c>
      <c r="AF20" t="n">
        <v>87.59999999999999</v>
      </c>
      <c r="AG20" t="n">
        <v>0.1</v>
      </c>
      <c r="AH20" t="n">
        <v>12.3</v>
      </c>
      <c r="AI20" t="n">
        <v>59.5</v>
      </c>
      <c r="AJ20" t="n">
        <v>0.9</v>
      </c>
      <c r="AK20" t="n">
        <v>39.5</v>
      </c>
    </row>
    <row r="21">
      <c r="A21" t="inlineStr">
        <is>
          <t>Prey Veng</t>
        </is>
      </c>
      <c r="B21" t="n">
        <v>84.2</v>
      </c>
      <c r="C21" t="n">
        <v>13</v>
      </c>
      <c r="D21" t="n">
        <v>2.8</v>
      </c>
      <c r="E21" t="n">
        <v>88.3</v>
      </c>
      <c r="F21" t="n">
        <v>9.300000000000001</v>
      </c>
      <c r="G21" t="n">
        <v>2.4</v>
      </c>
      <c r="H21" t="n">
        <v>88.7</v>
      </c>
      <c r="I21" t="n">
        <v>8.300000000000001</v>
      </c>
      <c r="J21" t="n">
        <v>3</v>
      </c>
      <c r="K21" t="n">
        <v>90</v>
      </c>
      <c r="L21" t="n">
        <v>6.3</v>
      </c>
      <c r="M21" t="n">
        <v>3.6</v>
      </c>
      <c r="N21" t="n">
        <v>90.7</v>
      </c>
      <c r="O21" t="n">
        <v>5.2</v>
      </c>
      <c r="P21" t="n">
        <v>4.2</v>
      </c>
      <c r="Q21" t="n">
        <v>73.5</v>
      </c>
      <c r="R21" t="n">
        <v>4</v>
      </c>
      <c r="S21" t="n">
        <v>22.4</v>
      </c>
      <c r="T21" t="n">
        <v>88.7</v>
      </c>
      <c r="U21" t="n">
        <v>0.2</v>
      </c>
      <c r="V21" t="n">
        <v>11.1</v>
      </c>
      <c r="W21" t="n">
        <v>86.2</v>
      </c>
      <c r="X21" t="n">
        <v>0.1</v>
      </c>
      <c r="Y21" t="n">
        <v>13.7</v>
      </c>
      <c r="Z21" t="n">
        <v>63.9</v>
      </c>
      <c r="AA21" t="n">
        <v>1.1</v>
      </c>
      <c r="AB21" t="n">
        <v>35</v>
      </c>
      <c r="AC21" t="n">
        <v>84.2</v>
      </c>
      <c r="AD21" t="n">
        <v>0.2</v>
      </c>
      <c r="AE21" t="n">
        <v>15.6</v>
      </c>
      <c r="AF21" t="n">
        <v>90.2</v>
      </c>
      <c r="AG21" t="n">
        <v>0.2</v>
      </c>
      <c r="AH21" t="n">
        <v>9.6</v>
      </c>
      <c r="AI21" t="n">
        <v>57.1</v>
      </c>
      <c r="AJ21" t="n">
        <v>2.8</v>
      </c>
      <c r="AK21" t="n">
        <v>40.1</v>
      </c>
    </row>
    <row r="22">
      <c r="A22" t="inlineStr">
        <is>
          <t>Pursat</t>
        </is>
      </c>
      <c r="B22" t="n">
        <v>81.2</v>
      </c>
      <c r="C22" t="n">
        <v>15.2</v>
      </c>
      <c r="D22" t="n">
        <v>3.6</v>
      </c>
      <c r="E22" t="n">
        <v>82.8</v>
      </c>
      <c r="F22" t="n">
        <v>11.1</v>
      </c>
      <c r="G22" t="n">
        <v>6.1</v>
      </c>
      <c r="H22" t="n">
        <v>86.3</v>
      </c>
      <c r="I22" t="n">
        <v>9.5</v>
      </c>
      <c r="J22" t="n">
        <v>4.2</v>
      </c>
      <c r="K22" t="n">
        <v>87.40000000000001</v>
      </c>
      <c r="L22" t="n">
        <v>6.1</v>
      </c>
      <c r="M22" t="n">
        <v>6.4</v>
      </c>
      <c r="N22" t="n">
        <v>88.7</v>
      </c>
      <c r="O22" t="n">
        <v>4.7</v>
      </c>
      <c r="P22" t="n">
        <v>6.5</v>
      </c>
      <c r="Q22" t="n">
        <v>75.90000000000001</v>
      </c>
      <c r="R22" t="n">
        <v>3.5</v>
      </c>
      <c r="S22" t="n">
        <v>20.6</v>
      </c>
      <c r="T22" t="n">
        <v>87.59999999999999</v>
      </c>
      <c r="U22" t="n">
        <v>0.2</v>
      </c>
      <c r="V22" t="n">
        <v>12.2</v>
      </c>
      <c r="W22" t="n">
        <v>86.5</v>
      </c>
      <c r="X22" t="n">
        <v>0.2</v>
      </c>
      <c r="Y22" t="n">
        <v>13.4</v>
      </c>
      <c r="Z22" t="n">
        <v>79.8</v>
      </c>
      <c r="AA22" t="n">
        <v>0.8</v>
      </c>
      <c r="AB22" t="n">
        <v>19.5</v>
      </c>
      <c r="AC22" t="n">
        <v>87.5</v>
      </c>
      <c r="AD22" t="n">
        <v>0</v>
      </c>
      <c r="AE22" t="n">
        <v>12.5</v>
      </c>
      <c r="AF22" t="n">
        <v>91.8</v>
      </c>
      <c r="AG22" t="n">
        <v>0</v>
      </c>
      <c r="AH22" t="n">
        <v>8.199999999999999</v>
      </c>
      <c r="AI22" t="n">
        <v>66.09999999999999</v>
      </c>
      <c r="AJ22" t="n">
        <v>3.7</v>
      </c>
      <c r="AK22" t="n">
        <v>30.2</v>
      </c>
    </row>
    <row r="23">
      <c r="A23" t="inlineStr">
        <is>
          <t>Ratanak Kiri</t>
        </is>
      </c>
      <c r="B23" t="n">
        <v>81.40000000000001</v>
      </c>
      <c r="C23" t="n">
        <v>8.699999999999999</v>
      </c>
      <c r="D23" t="n">
        <v>9.800000000000001</v>
      </c>
      <c r="E23" t="n">
        <v>85.7</v>
      </c>
      <c r="F23" t="n">
        <v>6.6</v>
      </c>
      <c r="G23" t="n">
        <v>7.7</v>
      </c>
      <c r="H23" t="n">
        <v>86.3</v>
      </c>
      <c r="I23" t="n">
        <v>5.3</v>
      </c>
      <c r="J23" t="n">
        <v>8.4</v>
      </c>
      <c r="K23" t="n">
        <v>85.3</v>
      </c>
      <c r="L23" t="n">
        <v>4.1</v>
      </c>
      <c r="M23" t="n">
        <v>10.6</v>
      </c>
      <c r="N23" t="n">
        <v>84.59999999999999</v>
      </c>
      <c r="O23" t="n">
        <v>2.9</v>
      </c>
      <c r="P23" t="n">
        <v>12.5</v>
      </c>
      <c r="Q23" t="n">
        <v>66.8</v>
      </c>
      <c r="R23" t="n">
        <v>2.4</v>
      </c>
      <c r="S23" t="n">
        <v>30.8</v>
      </c>
      <c r="T23" t="n">
        <v>84.5</v>
      </c>
      <c r="U23" t="n">
        <v>0.1</v>
      </c>
      <c r="V23" t="n">
        <v>15.4</v>
      </c>
      <c r="W23" t="n">
        <v>90</v>
      </c>
      <c r="X23" t="n">
        <v>0</v>
      </c>
      <c r="Y23" t="n">
        <v>10</v>
      </c>
      <c r="Z23" t="n">
        <v>58.9</v>
      </c>
      <c r="AA23" t="n">
        <v>3.1</v>
      </c>
      <c r="AB23" t="n">
        <v>38</v>
      </c>
      <c r="AC23" t="n">
        <v>82.3</v>
      </c>
      <c r="AD23" t="n">
        <v>0.3</v>
      </c>
      <c r="AE23" t="n">
        <v>17.4</v>
      </c>
      <c r="AF23" t="n">
        <v>88.8</v>
      </c>
      <c r="AG23" t="n">
        <v>0</v>
      </c>
      <c r="AH23" t="n">
        <v>11.2</v>
      </c>
      <c r="AI23" t="n">
        <v>79.3</v>
      </c>
      <c r="AJ23" t="n">
        <v>1.6</v>
      </c>
      <c r="AK23" t="n">
        <v>19.1</v>
      </c>
    </row>
    <row r="24">
      <c r="A24" t="inlineStr">
        <is>
          <t>Siemreap</t>
        </is>
      </c>
      <c r="B24" t="n">
        <v>77.40000000000001</v>
      </c>
      <c r="C24" t="n">
        <v>17.4</v>
      </c>
      <c r="D24" t="n">
        <v>5.2</v>
      </c>
      <c r="E24" t="n">
        <v>82.90000000000001</v>
      </c>
      <c r="F24" t="n">
        <v>11.5</v>
      </c>
      <c r="G24" t="n">
        <v>5.6</v>
      </c>
      <c r="H24" t="n">
        <v>85.90000000000001</v>
      </c>
      <c r="I24" t="n">
        <v>9.1</v>
      </c>
      <c r="J24" t="n">
        <v>4.9</v>
      </c>
      <c r="K24" t="n">
        <v>87.09999999999999</v>
      </c>
      <c r="L24" t="n">
        <v>6.6</v>
      </c>
      <c r="M24" t="n">
        <v>6.3</v>
      </c>
      <c r="N24" t="n">
        <v>87.3</v>
      </c>
      <c r="O24" t="n">
        <v>5.5</v>
      </c>
      <c r="P24" t="n">
        <v>7.2</v>
      </c>
      <c r="Q24" t="n">
        <v>67.3</v>
      </c>
      <c r="R24" t="n">
        <v>3.7</v>
      </c>
      <c r="S24" t="n">
        <v>29</v>
      </c>
      <c r="T24" t="n">
        <v>85.8</v>
      </c>
      <c r="U24" t="n">
        <v>2.6</v>
      </c>
      <c r="V24" t="n">
        <v>11.6</v>
      </c>
      <c r="W24" t="n">
        <v>86.8</v>
      </c>
      <c r="X24" t="n">
        <v>2</v>
      </c>
      <c r="Y24" t="n">
        <v>11.2</v>
      </c>
      <c r="Z24" t="n">
        <v>68.59999999999999</v>
      </c>
      <c r="AA24" t="n">
        <v>2.3</v>
      </c>
      <c r="AB24" t="n">
        <v>29.1</v>
      </c>
      <c r="AC24" t="n">
        <v>87.59999999999999</v>
      </c>
      <c r="AD24" t="n">
        <v>1.1</v>
      </c>
      <c r="AE24" t="n">
        <v>11.3</v>
      </c>
      <c r="AF24" t="n">
        <v>91.8</v>
      </c>
      <c r="AG24" t="n">
        <v>0.9</v>
      </c>
      <c r="AH24" t="n">
        <v>7.3</v>
      </c>
      <c r="AI24" t="n">
        <v>62.7</v>
      </c>
      <c r="AJ24" t="n">
        <v>2</v>
      </c>
      <c r="AK24" t="n">
        <v>35.2</v>
      </c>
    </row>
    <row r="25">
      <c r="A25" t="inlineStr">
        <is>
          <t>Stung Treng</t>
        </is>
      </c>
      <c r="B25" t="n">
        <v>71.5</v>
      </c>
      <c r="C25" t="n">
        <v>22.9</v>
      </c>
      <c r="D25" t="n">
        <v>5.6</v>
      </c>
      <c r="E25" t="n">
        <v>78.8</v>
      </c>
      <c r="F25" t="n">
        <v>14.7</v>
      </c>
      <c r="G25" t="n">
        <v>6.4</v>
      </c>
      <c r="H25" t="n">
        <v>81.3</v>
      </c>
      <c r="I25" t="n">
        <v>11.1</v>
      </c>
      <c r="J25" t="n">
        <v>7.6</v>
      </c>
      <c r="K25" t="n">
        <v>82.59999999999999</v>
      </c>
      <c r="L25" t="n">
        <v>8.6</v>
      </c>
      <c r="M25" t="n">
        <v>8.800000000000001</v>
      </c>
      <c r="N25" t="n">
        <v>85.09999999999999</v>
      </c>
      <c r="O25" t="n">
        <v>6</v>
      </c>
      <c r="P25" t="n">
        <v>8.9</v>
      </c>
      <c r="Q25" t="n">
        <v>46.5</v>
      </c>
      <c r="R25" t="n">
        <v>4.6</v>
      </c>
      <c r="S25" t="n">
        <v>49</v>
      </c>
      <c r="T25" t="n">
        <v>79.40000000000001</v>
      </c>
      <c r="U25" t="n">
        <v>0.7</v>
      </c>
      <c r="V25" t="n">
        <v>19.8</v>
      </c>
      <c r="W25" t="n">
        <v>86.59999999999999</v>
      </c>
      <c r="X25" t="n">
        <v>0.5</v>
      </c>
      <c r="Y25" t="n">
        <v>12.9</v>
      </c>
      <c r="Z25" t="n">
        <v>65.8</v>
      </c>
      <c r="AA25" t="n">
        <v>0.9</v>
      </c>
      <c r="AB25" t="n">
        <v>33.3</v>
      </c>
      <c r="AC25" t="n">
        <v>88.09999999999999</v>
      </c>
      <c r="AD25" t="n">
        <v>0.1</v>
      </c>
      <c r="AE25" t="n">
        <v>11.8</v>
      </c>
      <c r="AF25" t="n">
        <v>94.7</v>
      </c>
      <c r="AG25" t="n">
        <v>0.1</v>
      </c>
      <c r="AH25" t="n">
        <v>5.2</v>
      </c>
      <c r="AI25" t="n">
        <v>84.90000000000001</v>
      </c>
      <c r="AJ25" t="n">
        <v>1.5</v>
      </c>
      <c r="AK25" t="n">
        <v>13.6</v>
      </c>
    </row>
    <row r="26">
      <c r="A26" t="inlineStr">
        <is>
          <t>Svay Rieng</t>
        </is>
      </c>
      <c r="B26" t="n">
        <v>86.59999999999999</v>
      </c>
      <c r="C26" t="n">
        <v>10.9</v>
      </c>
      <c r="D26" t="n">
        <v>2.5</v>
      </c>
      <c r="E26" t="n">
        <v>90.3</v>
      </c>
      <c r="F26" t="n">
        <v>6.6</v>
      </c>
      <c r="G26" t="n">
        <v>3.2</v>
      </c>
      <c r="H26" t="n">
        <v>92</v>
      </c>
      <c r="I26" t="n">
        <v>5.2</v>
      </c>
      <c r="J26" t="n">
        <v>2.8</v>
      </c>
      <c r="K26" t="n">
        <v>92.09999999999999</v>
      </c>
      <c r="L26" t="n">
        <v>4.6</v>
      </c>
      <c r="M26" t="n">
        <v>3.2</v>
      </c>
      <c r="N26" t="n">
        <v>92.5</v>
      </c>
      <c r="O26" t="n">
        <v>3.2</v>
      </c>
      <c r="P26" t="n">
        <v>4.3</v>
      </c>
      <c r="Q26" t="n">
        <v>74.40000000000001</v>
      </c>
      <c r="R26" t="n">
        <v>2.4</v>
      </c>
      <c r="S26" t="n">
        <v>23.1</v>
      </c>
      <c r="T26" t="n">
        <v>85.8</v>
      </c>
      <c r="U26" t="n">
        <v>0.5</v>
      </c>
      <c r="V26" t="n">
        <v>13.7</v>
      </c>
      <c r="W26" t="n">
        <v>81</v>
      </c>
      <c r="X26" t="n">
        <v>0.3</v>
      </c>
      <c r="Y26" t="n">
        <v>18.7</v>
      </c>
      <c r="Z26" t="n">
        <v>59.6</v>
      </c>
      <c r="AA26" t="n">
        <v>1</v>
      </c>
      <c r="AB26" t="n">
        <v>39.4</v>
      </c>
      <c r="AC26" t="n">
        <v>81.8</v>
      </c>
      <c r="AD26" t="n">
        <v>0</v>
      </c>
      <c r="AE26" t="n">
        <v>18.2</v>
      </c>
      <c r="AF26" t="n">
        <v>87.3</v>
      </c>
      <c r="AG26" t="n">
        <v>0</v>
      </c>
      <c r="AH26" t="n">
        <v>12.6</v>
      </c>
      <c r="AI26" t="n">
        <v>50.6</v>
      </c>
      <c r="AJ26" t="n">
        <v>1.2</v>
      </c>
      <c r="AK26" t="n">
        <v>48.2</v>
      </c>
    </row>
    <row r="27">
      <c r="A27" t="inlineStr">
        <is>
          <t>Takeo</t>
        </is>
      </c>
      <c r="B27" t="n">
        <v>85.59999999999999</v>
      </c>
      <c r="C27" t="n">
        <v>12.3</v>
      </c>
      <c r="D27" t="n">
        <v>2.1</v>
      </c>
      <c r="E27" t="n">
        <v>88.09999999999999</v>
      </c>
      <c r="F27" t="n">
        <v>9.300000000000001</v>
      </c>
      <c r="G27" t="n">
        <v>2.6</v>
      </c>
      <c r="H27" t="n">
        <v>89.40000000000001</v>
      </c>
      <c r="I27" t="n">
        <v>7.9</v>
      </c>
      <c r="J27" t="n">
        <v>2.7</v>
      </c>
      <c r="K27" t="n">
        <v>90.8</v>
      </c>
      <c r="L27" t="n">
        <v>6.2</v>
      </c>
      <c r="M27" t="n">
        <v>3</v>
      </c>
      <c r="N27" t="n">
        <v>91.5</v>
      </c>
      <c r="O27" t="n">
        <v>5.1</v>
      </c>
      <c r="P27" t="n">
        <v>3.4</v>
      </c>
      <c r="Q27" t="n">
        <v>85.40000000000001</v>
      </c>
      <c r="R27" t="n">
        <v>4.2</v>
      </c>
      <c r="S27" t="n">
        <v>10.3</v>
      </c>
      <c r="T27" t="n">
        <v>91.90000000000001</v>
      </c>
      <c r="U27" t="n">
        <v>1.3</v>
      </c>
      <c r="V27" t="n">
        <v>6.9</v>
      </c>
      <c r="W27" t="n">
        <v>88.8</v>
      </c>
      <c r="X27" t="n">
        <v>1.9</v>
      </c>
      <c r="Y27" t="n">
        <v>9.300000000000001</v>
      </c>
      <c r="Z27" t="n">
        <v>77.8</v>
      </c>
      <c r="AA27" t="n">
        <v>1.3</v>
      </c>
      <c r="AB27" t="n">
        <v>20.9</v>
      </c>
      <c r="AC27" t="n">
        <v>89.3</v>
      </c>
      <c r="AD27" t="n">
        <v>0.3</v>
      </c>
      <c r="AE27" t="n">
        <v>10.4</v>
      </c>
      <c r="AF27" t="n">
        <v>89.3</v>
      </c>
      <c r="AG27" t="n">
        <v>0.3</v>
      </c>
      <c r="AH27" t="n">
        <v>10.4</v>
      </c>
      <c r="AI27" t="n">
        <v>65.3</v>
      </c>
      <c r="AJ27" t="n">
        <v>2.2</v>
      </c>
      <c r="AK27" t="n">
        <v>32.5</v>
      </c>
    </row>
    <row r="28">
      <c r="A28" t="inlineStr">
        <is>
          <t>Tbaung Khmum</t>
        </is>
      </c>
      <c r="B28" t="n">
        <v>80.5</v>
      </c>
      <c r="C28" t="n">
        <v>14.6</v>
      </c>
      <c r="D28" t="n">
        <v>4.9</v>
      </c>
      <c r="E28" t="n">
        <v>83.2</v>
      </c>
      <c r="F28" t="n">
        <v>10.3</v>
      </c>
      <c r="G28" t="n">
        <v>6.5</v>
      </c>
      <c r="H28" t="n">
        <v>85.90000000000001</v>
      </c>
      <c r="I28" t="n">
        <v>8.300000000000001</v>
      </c>
      <c r="J28" t="n">
        <v>5.8</v>
      </c>
      <c r="K28" t="n">
        <v>86.40000000000001</v>
      </c>
      <c r="L28" t="n">
        <v>6.2</v>
      </c>
      <c r="M28" t="n">
        <v>7.4</v>
      </c>
      <c r="N28" t="n">
        <v>87.09999999999999</v>
      </c>
      <c r="O28" t="n">
        <v>5.2</v>
      </c>
      <c r="P28" t="n">
        <v>7.7</v>
      </c>
      <c r="Q28" t="n">
        <v>59.2</v>
      </c>
      <c r="R28" t="n">
        <v>3.3</v>
      </c>
      <c r="S28" t="n">
        <v>37.5</v>
      </c>
      <c r="T28" t="n">
        <v>85.5</v>
      </c>
      <c r="U28" t="n">
        <v>1</v>
      </c>
      <c r="V28" t="n">
        <v>13.5</v>
      </c>
      <c r="W28" t="n">
        <v>84.09999999999999</v>
      </c>
      <c r="X28" t="n">
        <v>0.6</v>
      </c>
      <c r="Y28" t="n">
        <v>15.3</v>
      </c>
      <c r="Z28" t="n">
        <v>55.6</v>
      </c>
      <c r="AA28" t="n">
        <v>3.2</v>
      </c>
      <c r="AB28" t="n">
        <v>41.2</v>
      </c>
      <c r="AC28" t="n">
        <v>84.3</v>
      </c>
      <c r="AD28" t="n">
        <v>0.5</v>
      </c>
      <c r="AE28" t="n">
        <v>15.3</v>
      </c>
      <c r="AF28" t="n">
        <v>91.59999999999999</v>
      </c>
      <c r="AG28" t="n">
        <v>0.4</v>
      </c>
      <c r="AH28" t="n">
        <v>8</v>
      </c>
      <c r="AI28" t="n">
        <v>53.2</v>
      </c>
      <c r="AJ28" t="n">
        <v>3</v>
      </c>
      <c r="AK28" t="n">
        <v>43.8</v>
      </c>
    </row>
    <row r="29">
      <c r="A29" t="inlineStr">
        <is>
          <t>Whole Kingdom</t>
        </is>
      </c>
      <c r="B29" t="n">
        <v>82.09999999999999</v>
      </c>
      <c r="C29" t="n">
        <v>13.6</v>
      </c>
      <c r="D29" t="n">
        <v>4.3</v>
      </c>
      <c r="E29" t="n">
        <v>85.5</v>
      </c>
      <c r="F29" t="n">
        <v>9.699999999999999</v>
      </c>
      <c r="G29" t="n">
        <v>4.8</v>
      </c>
      <c r="H29" t="n">
        <v>87.40000000000001</v>
      </c>
      <c r="I29" t="n">
        <v>7.8</v>
      </c>
      <c r="J29" t="n">
        <v>4.8</v>
      </c>
      <c r="K29" t="n">
        <v>88.3</v>
      </c>
      <c r="L29" t="n">
        <v>6</v>
      </c>
      <c r="M29" t="n">
        <v>5.7</v>
      </c>
      <c r="N29" t="n">
        <v>89</v>
      </c>
      <c r="O29" t="n">
        <v>4.6</v>
      </c>
      <c r="P29" t="n">
        <v>6.4</v>
      </c>
      <c r="Q29" t="n">
        <v>73.40000000000001</v>
      </c>
      <c r="R29" t="n">
        <v>3.3</v>
      </c>
      <c r="S29" t="n">
        <v>23.3</v>
      </c>
      <c r="T29" t="n">
        <v>87.2</v>
      </c>
      <c r="U29" t="n">
        <v>1</v>
      </c>
      <c r="V29" t="n">
        <v>11.8</v>
      </c>
      <c r="W29" t="n">
        <v>86.5</v>
      </c>
      <c r="X29" t="n">
        <v>0.9</v>
      </c>
      <c r="Y29" t="n">
        <v>12.6</v>
      </c>
      <c r="Z29" t="n">
        <v>69.40000000000001</v>
      </c>
      <c r="AA29" t="n">
        <v>1.9</v>
      </c>
      <c r="AB29" t="n">
        <v>28.7</v>
      </c>
      <c r="AC29" t="n">
        <v>86.5</v>
      </c>
      <c r="AD29" t="n">
        <v>0.5</v>
      </c>
      <c r="AE29" t="n">
        <v>13.1</v>
      </c>
      <c r="AF29" t="n">
        <v>91.59999999999999</v>
      </c>
      <c r="AG29" t="n">
        <v>0.4</v>
      </c>
      <c r="AH29" t="n">
        <v>8</v>
      </c>
      <c r="AI29" t="n">
        <v>59.2</v>
      </c>
      <c r="AJ29" t="n">
        <v>2.7</v>
      </c>
      <c r="AK29" t="n">
        <v>38.1</v>
      </c>
    </row>
    <row r="30">
      <c r="A30" t="inlineStr">
        <is>
          <t>- Urban Area</t>
        </is>
      </c>
      <c r="B30" t="n">
        <v>78.8</v>
      </c>
      <c r="C30" t="n">
        <v>14.6</v>
      </c>
      <c r="D30" t="n">
        <v>6.6</v>
      </c>
      <c r="E30" t="n">
        <v>85.3</v>
      </c>
      <c r="F30" t="n">
        <v>9.4</v>
      </c>
      <c r="G30" t="n">
        <v>5.3</v>
      </c>
      <c r="H30" t="n">
        <v>88.3</v>
      </c>
      <c r="I30" t="n">
        <v>6.9</v>
      </c>
      <c r="J30" t="n">
        <v>4.8</v>
      </c>
      <c r="K30" t="n">
        <v>89.3</v>
      </c>
      <c r="L30" t="n">
        <v>5.1</v>
      </c>
      <c r="M30" t="n">
        <v>5.6</v>
      </c>
      <c r="N30" t="n">
        <v>90.8</v>
      </c>
      <c r="O30" t="n">
        <v>3.4</v>
      </c>
      <c r="P30" t="n">
        <v>5.7</v>
      </c>
      <c r="Q30" t="n">
        <v>69.2</v>
      </c>
      <c r="R30" t="n">
        <v>2.2</v>
      </c>
      <c r="S30" t="n">
        <v>28.6</v>
      </c>
      <c r="T30" t="n">
        <v>91.09999999999999</v>
      </c>
      <c r="U30" t="n">
        <v>1.5</v>
      </c>
      <c r="V30" t="n">
        <v>7.4</v>
      </c>
      <c r="W30" t="n">
        <v>93</v>
      </c>
      <c r="X30" t="n">
        <v>1.4</v>
      </c>
      <c r="Y30" t="n">
        <v>5.6</v>
      </c>
      <c r="Z30" t="n">
        <v>71.59999999999999</v>
      </c>
      <c r="AA30" t="n">
        <v>2.8</v>
      </c>
      <c r="AB30" t="n">
        <v>25.6</v>
      </c>
      <c r="AC30" t="n">
        <v>91.90000000000001</v>
      </c>
      <c r="AD30" t="n">
        <v>0.6</v>
      </c>
      <c r="AE30" t="n">
        <v>7.6</v>
      </c>
      <c r="AF30" t="n">
        <v>98.2</v>
      </c>
      <c r="AG30" t="n">
        <v>0.3</v>
      </c>
      <c r="AH30" t="n">
        <v>1.5</v>
      </c>
      <c r="AI30" t="n">
        <v>54.7</v>
      </c>
      <c r="AJ30" t="n">
        <v>3.8</v>
      </c>
      <c r="AK30" t="n">
        <v>41.5</v>
      </c>
    </row>
    <row r="31">
      <c r="A31" t="inlineStr">
        <is>
          <t>- Rural Area</t>
        </is>
      </c>
      <c r="B31" t="n">
        <v>82.8</v>
      </c>
      <c r="C31" t="n">
        <v>13.4</v>
      </c>
      <c r="D31" t="n">
        <v>3.8</v>
      </c>
      <c r="E31" t="n">
        <v>85.5</v>
      </c>
      <c r="F31" t="n">
        <v>9.800000000000001</v>
      </c>
      <c r="G31" t="n">
        <v>4.7</v>
      </c>
      <c r="H31" t="n">
        <v>87.2</v>
      </c>
      <c r="I31" t="n">
        <v>8</v>
      </c>
      <c r="J31" t="n">
        <v>4.8</v>
      </c>
      <c r="K31" t="n">
        <v>88.09999999999999</v>
      </c>
      <c r="L31" t="n">
        <v>6.2</v>
      </c>
      <c r="M31" t="n">
        <v>5.7</v>
      </c>
      <c r="N31" t="n">
        <v>88.7</v>
      </c>
      <c r="O31" t="n">
        <v>4.8</v>
      </c>
      <c r="P31" t="n">
        <v>6.5</v>
      </c>
      <c r="Q31" t="n">
        <v>74.3</v>
      </c>
      <c r="R31" t="n">
        <v>3.6</v>
      </c>
      <c r="S31" t="n">
        <v>22.1</v>
      </c>
      <c r="T31" t="n">
        <v>86.2</v>
      </c>
      <c r="U31" t="n">
        <v>0.9</v>
      </c>
      <c r="V31" t="n">
        <v>12.9</v>
      </c>
      <c r="W31" t="n">
        <v>84.8</v>
      </c>
      <c r="X31" t="n">
        <v>0.8</v>
      </c>
      <c r="Y31" t="n">
        <v>14.4</v>
      </c>
      <c r="Z31" t="n">
        <v>68.7</v>
      </c>
      <c r="AA31" t="n">
        <v>1.7</v>
      </c>
      <c r="AB31" t="n">
        <v>29.6</v>
      </c>
      <c r="AC31" t="n">
        <v>84.40000000000001</v>
      </c>
      <c r="AD31" t="n">
        <v>0.4</v>
      </c>
      <c r="AE31" t="n">
        <v>15.2</v>
      </c>
      <c r="AF31" t="n">
        <v>88.8</v>
      </c>
      <c r="AG31" t="n">
        <v>0.4</v>
      </c>
      <c r="AH31" t="n">
        <v>10.8</v>
      </c>
      <c r="AI31" t="n">
        <v>61.3</v>
      </c>
      <c r="AJ31" t="n">
        <v>2.3</v>
      </c>
      <c r="AK31" t="n">
        <v>36.5</v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0B0F0"/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cols>
    <col width="14.5703125" customWidth="1" min="1" max="1"/>
    <col width="10" customWidth="1" min="2" max="2"/>
    <col width="9.7109375" customWidth="1" min="3" max="3"/>
    <col width="9.5703125" customWidth="1" min="4" max="4"/>
    <col width="10" customWidth="1" min="5" max="5"/>
    <col width="9.7109375" customWidth="1" min="6" max="6"/>
    <col width="9.5703125" customWidth="1" min="7" max="7"/>
    <col width="10" customWidth="1" min="8" max="8"/>
    <col width="9.7109375" customWidth="1" min="9" max="9"/>
    <col width="9.5703125" customWidth="1" min="10" max="10"/>
    <col width="10" customWidth="1" min="11" max="11"/>
    <col width="9.7109375" customWidth="1" min="12" max="12"/>
    <col width="8.28515625" customWidth="1" min="13" max="13"/>
    <col width="10" customWidth="1" min="14" max="14"/>
    <col width="9.7109375" customWidth="1" min="15" max="15"/>
    <col width="8.28515625" customWidth="1" min="16" max="16"/>
    <col width="10" customWidth="1" min="17" max="17"/>
    <col width="9.7109375" customWidth="1" min="18" max="18"/>
    <col width="8.28515625" customWidth="1" min="19" max="19"/>
    <col width="10" customWidth="1" min="20" max="20"/>
    <col width="9.7109375" customWidth="1" min="21" max="21"/>
    <col width="8.28515625" customWidth="1" min="22" max="22"/>
    <col width="10" customWidth="1" min="23" max="23"/>
    <col width="9.7109375" customWidth="1" min="24" max="24"/>
    <col width="8.28515625" customWidth="1" min="25" max="25"/>
    <col width="10" customWidth="1" min="26" max="26"/>
    <col width="9.7109375" customWidth="1" min="27" max="27"/>
    <col width="9.5703125" customWidth="1" min="28" max="28"/>
    <col width="10" customWidth="1" min="29" max="29"/>
    <col width="9.7109375" customWidth="1" min="30" max="30"/>
    <col width="9.5703125" customWidth="1" min="31" max="31"/>
    <col width="10" customWidth="1" min="32" max="32"/>
    <col width="9.7109375" customWidth="1" min="33" max="33"/>
    <col width="8.28515625" customWidth="1" min="34" max="34"/>
    <col width="10" customWidth="1" min="35" max="35"/>
    <col width="9.7109375" customWidth="1" min="36" max="36"/>
    <col width="8.28515625" customWidth="1" min="37" max="37"/>
  </cols>
  <sheetData>
    <row r="1">
      <c r="A1" t="inlineStr">
        <is>
          <t>Table 17: Student Flow Rates for Female 2020 - 2021</t>
        </is>
      </c>
    </row>
    <row r="2">
      <c r="A2" t="inlineStr">
        <is>
          <t>Province</t>
        </is>
      </c>
      <c r="B2" t="inlineStr">
        <is>
          <t>Grade 1</t>
        </is>
      </c>
      <c r="E2" t="inlineStr">
        <is>
          <t>Grade 2</t>
        </is>
      </c>
      <c r="H2" t="inlineStr">
        <is>
          <t>Grade 3</t>
        </is>
      </c>
      <c r="K2" t="inlineStr">
        <is>
          <t>Grade 4</t>
        </is>
      </c>
      <c r="N2" t="inlineStr">
        <is>
          <t>Grade 5</t>
        </is>
      </c>
      <c r="Q2" t="inlineStr">
        <is>
          <t>Grade 6</t>
        </is>
      </c>
      <c r="T2" t="inlineStr">
        <is>
          <t>Grade 7</t>
        </is>
      </c>
      <c r="W2" t="inlineStr">
        <is>
          <t>Grade 8</t>
        </is>
      </c>
      <c r="Z2" t="inlineStr">
        <is>
          <t>Grade 9</t>
        </is>
      </c>
      <c r="AC2" t="inlineStr">
        <is>
          <t>Grade 10</t>
        </is>
      </c>
      <c r="AF2" t="inlineStr">
        <is>
          <t>Grade 11</t>
        </is>
      </c>
      <c r="AI2" t="inlineStr">
        <is>
          <t>Grade 12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Promotion</t>
        </is>
      </c>
      <c r="L3" t="inlineStr">
        <is>
          <t>Repetition</t>
        </is>
      </c>
      <c r="M3" t="inlineStr">
        <is>
          <t>Dropout</t>
        </is>
      </c>
      <c r="N3" t="inlineStr">
        <is>
          <t>Promotion</t>
        </is>
      </c>
      <c r="O3" t="inlineStr">
        <is>
          <t>Repetition</t>
        </is>
      </c>
      <c r="P3" t="inlineStr">
        <is>
          <t>Dropout</t>
        </is>
      </c>
      <c r="Q3" t="inlineStr">
        <is>
          <t>Promotion</t>
        </is>
      </c>
      <c r="R3" t="inlineStr">
        <is>
          <t>Repetition</t>
        </is>
      </c>
      <c r="S3" t="inlineStr">
        <is>
          <t>Dropout</t>
        </is>
      </c>
      <c r="T3" t="inlineStr">
        <is>
          <t>Promotion</t>
        </is>
      </c>
      <c r="U3" t="inlineStr">
        <is>
          <t>Repetition</t>
        </is>
      </c>
      <c r="V3" t="inlineStr">
        <is>
          <t>Dropout</t>
        </is>
      </c>
      <c r="W3" t="inlineStr">
        <is>
          <t>Promotion</t>
        </is>
      </c>
      <c r="X3" t="inlineStr">
        <is>
          <t>Repetition</t>
        </is>
      </c>
      <c r="Y3" t="inlineStr">
        <is>
          <t>Dropout</t>
        </is>
      </c>
      <c r="Z3" t="inlineStr">
        <is>
          <t>Promotion</t>
        </is>
      </c>
      <c r="AA3" t="inlineStr">
        <is>
          <t>Repetition</t>
        </is>
      </c>
      <c r="AB3" t="inlineStr">
        <is>
          <t>Dropout</t>
        </is>
      </c>
      <c r="AC3" t="inlineStr">
        <is>
          <t>Promotion</t>
        </is>
      </c>
      <c r="AD3" t="inlineStr">
        <is>
          <t>Repetition</t>
        </is>
      </c>
      <c r="AE3" t="inlineStr">
        <is>
          <t>Dropout</t>
        </is>
      </c>
      <c r="AF3" t="inlineStr">
        <is>
          <t>Promotion</t>
        </is>
      </c>
      <c r="AG3" t="inlineStr">
        <is>
          <t>Repetition</t>
        </is>
      </c>
      <c r="AH3" t="inlineStr">
        <is>
          <t>Dropout</t>
        </is>
      </c>
      <c r="AI3" t="inlineStr">
        <is>
          <t>Promotion</t>
        </is>
      </c>
      <c r="AJ3" t="inlineStr">
        <is>
          <t>Repetition</t>
        </is>
      </c>
      <c r="AK3" t="inlineStr">
        <is>
          <t>Dropout</t>
        </is>
      </c>
    </row>
    <row r="4">
      <c r="A4" t="inlineStr">
        <is>
          <t>Banteay Meanchey</t>
        </is>
      </c>
      <c r="B4" t="n">
        <v>87.09999999999999</v>
      </c>
      <c r="C4" t="n">
        <v>7</v>
      </c>
      <c r="D4" t="n">
        <v>5.9</v>
      </c>
      <c r="E4" t="n">
        <v>89.59999999999999</v>
      </c>
      <c r="F4" t="n">
        <v>5</v>
      </c>
      <c r="G4" t="n">
        <v>5.4</v>
      </c>
      <c r="H4" t="n">
        <v>91.59999999999999</v>
      </c>
      <c r="I4" t="n">
        <v>3.2</v>
      </c>
      <c r="J4" t="n">
        <v>5.2</v>
      </c>
      <c r="K4" t="n">
        <v>90.3</v>
      </c>
      <c r="L4" t="n">
        <v>2.6</v>
      </c>
      <c r="M4" t="n">
        <v>7.1</v>
      </c>
      <c r="N4" t="n">
        <v>92.5</v>
      </c>
      <c r="O4" t="n">
        <v>1.8</v>
      </c>
      <c r="P4" t="n">
        <v>5.7</v>
      </c>
      <c r="Q4" t="n">
        <v>93.8</v>
      </c>
      <c r="R4" t="n">
        <v>1.5</v>
      </c>
      <c r="S4" t="n">
        <v>4.7</v>
      </c>
      <c r="T4" t="n">
        <v>90.09999999999999</v>
      </c>
      <c r="U4" t="n">
        <v>0.6</v>
      </c>
      <c r="V4" t="n">
        <v>9.300000000000001</v>
      </c>
      <c r="W4" t="n">
        <v>87.2</v>
      </c>
      <c r="X4" t="n">
        <v>0.3</v>
      </c>
      <c r="Y4" t="n">
        <v>12.5</v>
      </c>
      <c r="Z4" t="n">
        <v>87.5</v>
      </c>
      <c r="AA4" t="n">
        <v>0.7</v>
      </c>
      <c r="AB4" t="n">
        <v>11.9</v>
      </c>
      <c r="AC4" t="n">
        <v>88.59999999999999</v>
      </c>
      <c r="AD4" t="n">
        <v>0.4</v>
      </c>
      <c r="AE4" t="n">
        <v>11.1</v>
      </c>
      <c r="AF4" t="n">
        <v>93.7</v>
      </c>
      <c r="AG4" t="n">
        <v>0.1</v>
      </c>
      <c r="AH4" t="n">
        <v>6.3</v>
      </c>
      <c r="AI4" t="n">
        <v>81.09999999999999</v>
      </c>
      <c r="AJ4" t="n">
        <v>2</v>
      </c>
      <c r="AK4" t="n">
        <v>16.9</v>
      </c>
    </row>
    <row r="5">
      <c r="A5" t="inlineStr">
        <is>
          <t>Battambang</t>
        </is>
      </c>
      <c r="B5" t="n">
        <v>87.09999999999999</v>
      </c>
      <c r="C5" t="n">
        <v>8.9</v>
      </c>
      <c r="D5" t="n">
        <v>4</v>
      </c>
      <c r="E5" t="n">
        <v>88.59999999999999</v>
      </c>
      <c r="F5" t="n">
        <v>7.1</v>
      </c>
      <c r="G5" t="n">
        <v>4.3</v>
      </c>
      <c r="H5" t="n">
        <v>89.90000000000001</v>
      </c>
      <c r="I5" t="n">
        <v>5.3</v>
      </c>
      <c r="J5" t="n">
        <v>4.9</v>
      </c>
      <c r="K5" t="n">
        <v>92</v>
      </c>
      <c r="L5" t="n">
        <v>3.3</v>
      </c>
      <c r="M5" t="n">
        <v>4.7</v>
      </c>
      <c r="N5" t="n">
        <v>90.09999999999999</v>
      </c>
      <c r="O5" t="n">
        <v>2.5</v>
      </c>
      <c r="P5" t="n">
        <v>7.5</v>
      </c>
      <c r="Q5" t="n">
        <v>77</v>
      </c>
      <c r="R5" t="n">
        <v>2</v>
      </c>
      <c r="S5" t="n">
        <v>21</v>
      </c>
      <c r="T5" t="n">
        <v>87.40000000000001</v>
      </c>
      <c r="U5" t="n">
        <v>0.6</v>
      </c>
      <c r="V5" t="n">
        <v>12</v>
      </c>
      <c r="W5" t="n">
        <v>86</v>
      </c>
      <c r="X5" t="n">
        <v>0.8</v>
      </c>
      <c r="Y5" t="n">
        <v>13.2</v>
      </c>
      <c r="Z5" t="n">
        <v>73.7</v>
      </c>
      <c r="AA5" t="n">
        <v>1.5</v>
      </c>
      <c r="AB5" t="n">
        <v>24.8</v>
      </c>
      <c r="AC5" t="n">
        <v>83.8</v>
      </c>
      <c r="AD5" t="n">
        <v>0.6</v>
      </c>
      <c r="AE5" t="n">
        <v>15.6</v>
      </c>
      <c r="AF5" t="n">
        <v>92.3</v>
      </c>
      <c r="AG5" t="n">
        <v>0.4</v>
      </c>
      <c r="AH5" t="n">
        <v>7.3</v>
      </c>
      <c r="AI5" t="n">
        <v>56.8</v>
      </c>
      <c r="AJ5" t="n">
        <v>3.3</v>
      </c>
      <c r="AK5" t="n">
        <v>39.9</v>
      </c>
    </row>
    <row r="6">
      <c r="A6" t="inlineStr">
        <is>
          <t>Kampong Cham</t>
        </is>
      </c>
      <c r="B6" t="n">
        <v>83.2</v>
      </c>
      <c r="C6" t="n">
        <v>12.3</v>
      </c>
      <c r="D6" t="n">
        <v>4.6</v>
      </c>
      <c r="E6" t="n">
        <v>84.8</v>
      </c>
      <c r="F6" t="n">
        <v>9.699999999999999</v>
      </c>
      <c r="G6" t="n">
        <v>5.4</v>
      </c>
      <c r="H6" t="n">
        <v>91.2</v>
      </c>
      <c r="I6" t="n">
        <v>6.3</v>
      </c>
      <c r="J6" t="n">
        <v>2.5</v>
      </c>
      <c r="K6" t="n">
        <v>93.09999999999999</v>
      </c>
      <c r="L6" t="n">
        <v>4.3</v>
      </c>
      <c r="M6" t="n">
        <v>2.6</v>
      </c>
      <c r="N6" t="n">
        <v>89.59999999999999</v>
      </c>
      <c r="O6" t="n">
        <v>4.2</v>
      </c>
      <c r="P6" t="n">
        <v>6.2</v>
      </c>
      <c r="Q6" t="n">
        <v>70</v>
      </c>
      <c r="R6" t="n">
        <v>2.8</v>
      </c>
      <c r="S6" t="n">
        <v>27.1</v>
      </c>
      <c r="T6" t="n">
        <v>89.90000000000001</v>
      </c>
      <c r="U6" t="n">
        <v>0.8</v>
      </c>
      <c r="V6" t="n">
        <v>9.300000000000001</v>
      </c>
      <c r="W6" t="n">
        <v>87.09999999999999</v>
      </c>
      <c r="X6" t="n">
        <v>0.6</v>
      </c>
      <c r="Y6" t="n">
        <v>12.3</v>
      </c>
      <c r="Z6" t="n">
        <v>64.09999999999999</v>
      </c>
      <c r="AA6" t="n">
        <v>1.5</v>
      </c>
      <c r="AB6" t="n">
        <v>34.3</v>
      </c>
      <c r="AC6" t="n">
        <v>86.09999999999999</v>
      </c>
      <c r="AD6" t="n">
        <v>0.4</v>
      </c>
      <c r="AE6" t="n">
        <v>13.5</v>
      </c>
      <c r="AF6" t="n">
        <v>89.8</v>
      </c>
      <c r="AG6" t="n">
        <v>0.7</v>
      </c>
      <c r="AH6" t="n">
        <v>9.6</v>
      </c>
      <c r="AI6" t="n">
        <v>58.8</v>
      </c>
      <c r="AJ6" t="n">
        <v>3.2</v>
      </c>
      <c r="AK6" t="n">
        <v>38</v>
      </c>
    </row>
    <row r="7">
      <c r="A7" t="inlineStr">
        <is>
          <t>Kampong Chhnang</t>
        </is>
      </c>
      <c r="B7" t="n">
        <v>87.5</v>
      </c>
      <c r="C7" t="n">
        <v>10.9</v>
      </c>
      <c r="D7" t="n">
        <v>1.6</v>
      </c>
      <c r="E7" t="n">
        <v>89.8</v>
      </c>
      <c r="F7" t="n">
        <v>7.3</v>
      </c>
      <c r="G7" t="n">
        <v>2.8</v>
      </c>
      <c r="H7" t="n">
        <v>92.7</v>
      </c>
      <c r="I7" t="n">
        <v>5.2</v>
      </c>
      <c r="J7" t="n">
        <v>2.2</v>
      </c>
      <c r="K7" t="n">
        <v>93.90000000000001</v>
      </c>
      <c r="L7" t="n">
        <v>3.7</v>
      </c>
      <c r="M7" t="n">
        <v>2.4</v>
      </c>
      <c r="N7" t="n">
        <v>92.7</v>
      </c>
      <c r="O7" t="n">
        <v>3.5</v>
      </c>
      <c r="P7" t="n">
        <v>3.8</v>
      </c>
      <c r="Q7" t="n">
        <v>89.09999999999999</v>
      </c>
      <c r="R7" t="n">
        <v>1.7</v>
      </c>
      <c r="S7" t="n">
        <v>9.199999999999999</v>
      </c>
      <c r="T7" t="n">
        <v>88</v>
      </c>
      <c r="U7" t="n">
        <v>0.5</v>
      </c>
      <c r="V7" t="n">
        <v>11.6</v>
      </c>
      <c r="W7" t="n">
        <v>83.8</v>
      </c>
      <c r="X7" t="n">
        <v>0.4</v>
      </c>
      <c r="Y7" t="n">
        <v>15.7</v>
      </c>
      <c r="Z7" t="n">
        <v>67.7</v>
      </c>
      <c r="AA7" t="n">
        <v>0.7</v>
      </c>
      <c r="AB7" t="n">
        <v>31.5</v>
      </c>
      <c r="AC7" t="n">
        <v>82.5</v>
      </c>
      <c r="AD7" t="n">
        <v>0.1</v>
      </c>
      <c r="AE7" t="n">
        <v>17.4</v>
      </c>
      <c r="AF7" t="n">
        <v>85</v>
      </c>
      <c r="AG7" t="n">
        <v>0</v>
      </c>
      <c r="AH7" t="n">
        <v>15</v>
      </c>
      <c r="AI7" t="n">
        <v>52.5</v>
      </c>
      <c r="AJ7" t="n">
        <v>3.3</v>
      </c>
      <c r="AK7" t="n">
        <v>44.2</v>
      </c>
    </row>
    <row r="8">
      <c r="A8" t="inlineStr">
        <is>
          <t>Kampong Speu</t>
        </is>
      </c>
      <c r="B8" t="n">
        <v>88</v>
      </c>
      <c r="C8" t="n">
        <v>8.5</v>
      </c>
      <c r="D8" t="n">
        <v>3.5</v>
      </c>
      <c r="E8" t="n">
        <v>90.59999999999999</v>
      </c>
      <c r="F8" t="n">
        <v>5.3</v>
      </c>
      <c r="G8" t="n">
        <v>4.1</v>
      </c>
      <c r="H8" t="n">
        <v>90</v>
      </c>
      <c r="I8" t="n">
        <v>5.1</v>
      </c>
      <c r="J8" t="n">
        <v>4.9</v>
      </c>
      <c r="K8" t="n">
        <v>91.40000000000001</v>
      </c>
      <c r="L8" t="n">
        <v>3.9</v>
      </c>
      <c r="M8" t="n">
        <v>4.7</v>
      </c>
      <c r="N8" t="n">
        <v>91.09999999999999</v>
      </c>
      <c r="O8" t="n">
        <v>2.7</v>
      </c>
      <c r="P8" t="n">
        <v>6.3</v>
      </c>
      <c r="Q8" t="n">
        <v>66.40000000000001</v>
      </c>
      <c r="R8" t="n">
        <v>1.9</v>
      </c>
      <c r="S8" t="n">
        <v>31.7</v>
      </c>
      <c r="T8" t="n">
        <v>79.40000000000001</v>
      </c>
      <c r="U8" t="n">
        <v>0.2</v>
      </c>
      <c r="V8" t="n">
        <v>20.4</v>
      </c>
      <c r="W8" t="n">
        <v>78</v>
      </c>
      <c r="X8" t="n">
        <v>0.3</v>
      </c>
      <c r="Y8" t="n">
        <v>21.7</v>
      </c>
      <c r="Z8" t="n">
        <v>47.2</v>
      </c>
      <c r="AA8" t="n">
        <v>0.8</v>
      </c>
      <c r="AB8" t="n">
        <v>52</v>
      </c>
      <c r="AC8" t="n">
        <v>75.90000000000001</v>
      </c>
      <c r="AD8" t="n">
        <v>0.2</v>
      </c>
      <c r="AE8" t="n">
        <v>23.8</v>
      </c>
      <c r="AF8" t="n">
        <v>86.09999999999999</v>
      </c>
      <c r="AG8" t="n">
        <v>0.7</v>
      </c>
      <c r="AH8" t="n">
        <v>13.2</v>
      </c>
      <c r="AI8" t="n">
        <v>40.6</v>
      </c>
      <c r="AJ8" t="n">
        <v>0.9</v>
      </c>
      <c r="AK8" t="n">
        <v>58.5</v>
      </c>
    </row>
    <row r="9">
      <c r="A9" t="inlineStr">
        <is>
          <t>Kampong Thom</t>
        </is>
      </c>
      <c r="B9" t="n">
        <v>82.7</v>
      </c>
      <c r="C9" t="n">
        <v>12.2</v>
      </c>
      <c r="D9" t="n">
        <v>5.1</v>
      </c>
      <c r="E9" t="n">
        <v>87.90000000000001</v>
      </c>
      <c r="F9" t="n">
        <v>6.6</v>
      </c>
      <c r="G9" t="n">
        <v>5.5</v>
      </c>
      <c r="H9" t="n">
        <v>91.8</v>
      </c>
      <c r="I9" t="n">
        <v>4.8</v>
      </c>
      <c r="J9" t="n">
        <v>3.4</v>
      </c>
      <c r="K9" t="n">
        <v>92.8</v>
      </c>
      <c r="L9" t="n">
        <v>3.2</v>
      </c>
      <c r="M9" t="n">
        <v>4.1</v>
      </c>
      <c r="N9" t="n">
        <v>90.5</v>
      </c>
      <c r="O9" t="n">
        <v>2.5</v>
      </c>
      <c r="P9" t="n">
        <v>7</v>
      </c>
      <c r="Q9" t="n">
        <v>68.59999999999999</v>
      </c>
      <c r="R9" t="n">
        <v>2</v>
      </c>
      <c r="S9" t="n">
        <v>29.4</v>
      </c>
      <c r="T9" t="n">
        <v>85.5</v>
      </c>
      <c r="U9" t="n">
        <v>0.5</v>
      </c>
      <c r="V9" t="n">
        <v>14</v>
      </c>
      <c r="W9" t="n">
        <v>83.3</v>
      </c>
      <c r="X9" t="n">
        <v>0.2</v>
      </c>
      <c r="Y9" t="n">
        <v>16.5</v>
      </c>
      <c r="Z9" t="n">
        <v>75</v>
      </c>
      <c r="AA9" t="n">
        <v>0.7</v>
      </c>
      <c r="AB9" t="n">
        <v>24.3</v>
      </c>
      <c r="AC9" t="n">
        <v>86.09999999999999</v>
      </c>
      <c r="AD9" t="n">
        <v>0.1</v>
      </c>
      <c r="AE9" t="n">
        <v>13.8</v>
      </c>
      <c r="AF9" t="n">
        <v>91.3</v>
      </c>
      <c r="AG9" t="n">
        <v>0.1</v>
      </c>
      <c r="AH9" t="n">
        <v>8.6</v>
      </c>
      <c r="AI9" t="n">
        <v>61.2</v>
      </c>
      <c r="AJ9" t="n">
        <v>1.2</v>
      </c>
      <c r="AK9" t="n">
        <v>37.6</v>
      </c>
    </row>
    <row r="10">
      <c r="A10" t="inlineStr">
        <is>
          <t>Kampot</t>
        </is>
      </c>
      <c r="B10" t="n">
        <v>86.5</v>
      </c>
      <c r="C10" t="n">
        <v>8.699999999999999</v>
      </c>
      <c r="D10" t="n">
        <v>4.8</v>
      </c>
      <c r="E10" t="n">
        <v>91.3</v>
      </c>
      <c r="F10" t="n">
        <v>4.5</v>
      </c>
      <c r="G10" t="n">
        <v>4.2</v>
      </c>
      <c r="H10" t="n">
        <v>92</v>
      </c>
      <c r="I10" t="n">
        <v>3</v>
      </c>
      <c r="J10" t="n">
        <v>5</v>
      </c>
      <c r="K10" t="n">
        <v>92</v>
      </c>
      <c r="L10" t="n">
        <v>2.6</v>
      </c>
      <c r="M10" t="n">
        <v>5.3</v>
      </c>
      <c r="N10" t="n">
        <v>93.5</v>
      </c>
      <c r="O10" t="n">
        <v>1.5</v>
      </c>
      <c r="P10" t="n">
        <v>5</v>
      </c>
      <c r="Q10" t="n">
        <v>87.40000000000001</v>
      </c>
      <c r="R10" t="n">
        <v>1.4</v>
      </c>
      <c r="S10" t="n">
        <v>11.1</v>
      </c>
      <c r="T10" t="n">
        <v>88.3</v>
      </c>
      <c r="U10" t="n">
        <v>1</v>
      </c>
      <c r="V10" t="n">
        <v>10.7</v>
      </c>
      <c r="W10" t="n">
        <v>85.5</v>
      </c>
      <c r="X10" t="n">
        <v>0.7</v>
      </c>
      <c r="Y10" t="n">
        <v>13.8</v>
      </c>
      <c r="Z10" t="n">
        <v>74</v>
      </c>
      <c r="AA10" t="n">
        <v>1.3</v>
      </c>
      <c r="AB10" t="n">
        <v>24.7</v>
      </c>
      <c r="AC10" t="n">
        <v>84.59999999999999</v>
      </c>
      <c r="AD10" t="n">
        <v>0.5</v>
      </c>
      <c r="AE10" t="n">
        <v>14.9</v>
      </c>
      <c r="AF10" t="n">
        <v>90.2</v>
      </c>
      <c r="AG10" t="n">
        <v>0.7</v>
      </c>
      <c r="AH10" t="n">
        <v>9.199999999999999</v>
      </c>
      <c r="AI10" t="n">
        <v>65.3</v>
      </c>
      <c r="AJ10" t="n">
        <v>1.8</v>
      </c>
      <c r="AK10" t="n">
        <v>32.9</v>
      </c>
    </row>
    <row r="11">
      <c r="A11" t="inlineStr">
        <is>
          <t>Kandal</t>
        </is>
      </c>
      <c r="B11" t="n">
        <v>82.09999999999999</v>
      </c>
      <c r="C11" t="n">
        <v>14.9</v>
      </c>
      <c r="D11" t="n">
        <v>2.9</v>
      </c>
      <c r="E11" t="n">
        <v>86.09999999999999</v>
      </c>
      <c r="F11" t="n">
        <v>10.6</v>
      </c>
      <c r="G11" t="n">
        <v>3.3</v>
      </c>
      <c r="H11" t="n">
        <v>87.90000000000001</v>
      </c>
      <c r="I11" t="n">
        <v>9.199999999999999</v>
      </c>
      <c r="J11" t="n">
        <v>2.9</v>
      </c>
      <c r="K11" t="n">
        <v>88.8</v>
      </c>
      <c r="L11" t="n">
        <v>7.5</v>
      </c>
      <c r="M11" t="n">
        <v>3.7</v>
      </c>
      <c r="N11" t="n">
        <v>89.7</v>
      </c>
      <c r="O11" t="n">
        <v>5.6</v>
      </c>
      <c r="P11" t="n">
        <v>4.7</v>
      </c>
      <c r="Q11" t="n">
        <v>93</v>
      </c>
      <c r="R11" t="n">
        <v>4.2</v>
      </c>
      <c r="S11" t="n">
        <v>2.8</v>
      </c>
      <c r="T11" t="n">
        <v>90.09999999999999</v>
      </c>
      <c r="U11" t="n">
        <v>0.7</v>
      </c>
      <c r="V11" t="n">
        <v>9.199999999999999</v>
      </c>
      <c r="W11" t="n">
        <v>88.59999999999999</v>
      </c>
      <c r="X11" t="n">
        <v>0.8</v>
      </c>
      <c r="Y11" t="n">
        <v>10.5</v>
      </c>
      <c r="Z11" t="n">
        <v>86.5</v>
      </c>
      <c r="AA11" t="n">
        <v>0.6</v>
      </c>
      <c r="AB11" t="n">
        <v>12.9</v>
      </c>
      <c r="AC11" t="n">
        <v>88.2</v>
      </c>
      <c r="AD11" t="n">
        <v>0.4</v>
      </c>
      <c r="AE11" t="n">
        <v>11.3</v>
      </c>
      <c r="AF11" t="n">
        <v>89.40000000000001</v>
      </c>
      <c r="AG11" t="n">
        <v>0.1</v>
      </c>
      <c r="AH11" t="n">
        <v>10.5</v>
      </c>
      <c r="AI11" t="n">
        <v>69.3</v>
      </c>
      <c r="AJ11" t="n">
        <v>1.5</v>
      </c>
      <c r="AK11" t="n">
        <v>29.2</v>
      </c>
    </row>
    <row r="12">
      <c r="A12" t="inlineStr">
        <is>
          <t>Kep</t>
        </is>
      </c>
      <c r="B12" t="n">
        <v>85.09999999999999</v>
      </c>
      <c r="C12" t="n">
        <v>8.9</v>
      </c>
      <c r="D12" t="n">
        <v>6</v>
      </c>
      <c r="E12" t="n">
        <v>92.5</v>
      </c>
      <c r="F12" t="n">
        <v>4.7</v>
      </c>
      <c r="G12" t="n">
        <v>2.9</v>
      </c>
      <c r="H12" t="n">
        <v>89.7</v>
      </c>
      <c r="I12" t="n">
        <v>2.6</v>
      </c>
      <c r="J12" t="n">
        <v>7.7</v>
      </c>
      <c r="K12" t="n">
        <v>91.2</v>
      </c>
      <c r="L12" t="n">
        <v>1</v>
      </c>
      <c r="M12" t="n">
        <v>7.8</v>
      </c>
      <c r="N12" t="n">
        <v>88.09999999999999</v>
      </c>
      <c r="O12" t="n">
        <v>1.8</v>
      </c>
      <c r="P12" t="n">
        <v>10.1</v>
      </c>
      <c r="Q12" t="n">
        <v>86.90000000000001</v>
      </c>
      <c r="R12" t="n">
        <v>0.5</v>
      </c>
      <c r="S12" t="n">
        <v>12.6</v>
      </c>
      <c r="T12" t="n">
        <v>88.09999999999999</v>
      </c>
      <c r="U12" t="n">
        <v>0.3</v>
      </c>
      <c r="V12" t="n">
        <v>11.6</v>
      </c>
      <c r="W12" t="n">
        <v>91.90000000000001</v>
      </c>
      <c r="X12" t="n">
        <v>0</v>
      </c>
      <c r="Y12" t="n">
        <v>8.1</v>
      </c>
      <c r="Z12" t="n">
        <v>85.8</v>
      </c>
      <c r="AA12" t="n">
        <v>4.6</v>
      </c>
      <c r="AB12" t="n">
        <v>9.6</v>
      </c>
      <c r="AC12" t="n">
        <v>91.5</v>
      </c>
      <c r="AD12" t="n">
        <v>0</v>
      </c>
      <c r="AE12" t="n">
        <v>8.5</v>
      </c>
      <c r="AF12" t="n">
        <v>91</v>
      </c>
      <c r="AG12" t="n">
        <v>0</v>
      </c>
      <c r="AH12" t="n">
        <v>9</v>
      </c>
      <c r="AI12" t="n">
        <v>86.5</v>
      </c>
      <c r="AJ12" t="n">
        <v>0.6</v>
      </c>
      <c r="AK12" t="n">
        <v>12.9</v>
      </c>
    </row>
    <row r="13">
      <c r="A13" t="inlineStr">
        <is>
          <t>Koh Kong</t>
        </is>
      </c>
      <c r="B13" t="n">
        <v>84.3</v>
      </c>
      <c r="C13" t="n">
        <v>8.800000000000001</v>
      </c>
      <c r="D13" t="n">
        <v>7</v>
      </c>
      <c r="E13" t="n">
        <v>85.3</v>
      </c>
      <c r="F13" t="n">
        <v>5.8</v>
      </c>
      <c r="G13" t="n">
        <v>8.9</v>
      </c>
      <c r="H13" t="n">
        <v>89.09999999999999</v>
      </c>
      <c r="I13" t="n">
        <v>3.2</v>
      </c>
      <c r="J13" t="n">
        <v>7.7</v>
      </c>
      <c r="K13" t="n">
        <v>88.2</v>
      </c>
      <c r="L13" t="n">
        <v>1.6</v>
      </c>
      <c r="M13" t="n">
        <v>10.2</v>
      </c>
      <c r="N13" t="n">
        <v>90.59999999999999</v>
      </c>
      <c r="O13" t="n">
        <v>2</v>
      </c>
      <c r="P13" t="n">
        <v>7.4</v>
      </c>
      <c r="Q13" t="n">
        <v>66.7</v>
      </c>
      <c r="R13" t="n">
        <v>0.7</v>
      </c>
      <c r="S13" t="n">
        <v>32.6</v>
      </c>
      <c r="T13" t="n">
        <v>88.8</v>
      </c>
      <c r="U13" t="n">
        <v>0.8</v>
      </c>
      <c r="V13" t="n">
        <v>10.4</v>
      </c>
      <c r="W13" t="n">
        <v>88.5</v>
      </c>
      <c r="X13" t="n">
        <v>0.7</v>
      </c>
      <c r="Y13" t="n">
        <v>10.8</v>
      </c>
      <c r="Z13" t="n">
        <v>70.59999999999999</v>
      </c>
      <c r="AA13" t="n">
        <v>1.6</v>
      </c>
      <c r="AB13" t="n">
        <v>27.8</v>
      </c>
      <c r="AC13" t="n">
        <v>88.5</v>
      </c>
      <c r="AD13" t="n">
        <v>0.2</v>
      </c>
      <c r="AE13" t="n">
        <v>11.3</v>
      </c>
      <c r="AF13" t="n">
        <v>94.7</v>
      </c>
      <c r="AG13" t="n">
        <v>0</v>
      </c>
      <c r="AH13" t="n">
        <v>5.3</v>
      </c>
      <c r="AI13" t="n">
        <v>64.09999999999999</v>
      </c>
      <c r="AJ13" t="n">
        <v>1.3</v>
      </c>
      <c r="AK13" t="n">
        <v>34.6</v>
      </c>
    </row>
    <row r="14">
      <c r="A14" t="inlineStr">
        <is>
          <t>Kratie</t>
        </is>
      </c>
      <c r="B14" t="n">
        <v>80.8</v>
      </c>
      <c r="C14" t="n">
        <v>14.6</v>
      </c>
      <c r="D14" t="n">
        <v>4.6</v>
      </c>
      <c r="E14" t="n">
        <v>84.90000000000001</v>
      </c>
      <c r="F14" t="n">
        <v>9.1</v>
      </c>
      <c r="G14" t="n">
        <v>6</v>
      </c>
      <c r="H14" t="n">
        <v>87.5</v>
      </c>
      <c r="I14" t="n">
        <v>6.2</v>
      </c>
      <c r="J14" t="n">
        <v>6.3</v>
      </c>
      <c r="K14" t="n">
        <v>89.90000000000001</v>
      </c>
      <c r="L14" t="n">
        <v>4.9</v>
      </c>
      <c r="M14" t="n">
        <v>5.2</v>
      </c>
      <c r="N14" t="n">
        <v>86.40000000000001</v>
      </c>
      <c r="O14" t="n">
        <v>3.7</v>
      </c>
      <c r="P14" t="n">
        <v>9.9</v>
      </c>
      <c r="Q14" t="n">
        <v>68</v>
      </c>
      <c r="R14" t="n">
        <v>3.2</v>
      </c>
      <c r="S14" t="n">
        <v>28.8</v>
      </c>
      <c r="T14" t="n">
        <v>81.90000000000001</v>
      </c>
      <c r="U14" t="n">
        <v>0.5</v>
      </c>
      <c r="V14" t="n">
        <v>17.5</v>
      </c>
      <c r="W14" t="n">
        <v>82.7</v>
      </c>
      <c r="X14" t="n">
        <v>0.2</v>
      </c>
      <c r="Y14" t="n">
        <v>17.2</v>
      </c>
      <c r="Z14" t="n">
        <v>71.90000000000001</v>
      </c>
      <c r="AA14" t="n">
        <v>1.4</v>
      </c>
      <c r="AB14" t="n">
        <v>26.8</v>
      </c>
      <c r="AC14" t="n">
        <v>85.59999999999999</v>
      </c>
      <c r="AD14" t="n">
        <v>0.1</v>
      </c>
      <c r="AE14" t="n">
        <v>14.3</v>
      </c>
      <c r="AF14" t="n">
        <v>92.7</v>
      </c>
      <c r="AG14" t="n">
        <v>0.1</v>
      </c>
      <c r="AH14" t="n">
        <v>7.2</v>
      </c>
      <c r="AI14" t="n">
        <v>73.5</v>
      </c>
      <c r="AJ14" t="n">
        <v>1.1</v>
      </c>
      <c r="AK14" t="n">
        <v>25.5</v>
      </c>
    </row>
    <row r="15">
      <c r="A15" t="inlineStr">
        <is>
          <t>Mondul Kiri</t>
        </is>
      </c>
      <c r="B15" t="n">
        <v>83.2</v>
      </c>
      <c r="C15" t="n">
        <v>9.6</v>
      </c>
      <c r="D15" t="n">
        <v>7.2</v>
      </c>
      <c r="E15" t="n">
        <v>86.40000000000001</v>
      </c>
      <c r="F15" t="n">
        <v>5.7</v>
      </c>
      <c r="G15" t="n">
        <v>7.8</v>
      </c>
      <c r="H15" t="n">
        <v>86.5</v>
      </c>
      <c r="I15" t="n">
        <v>6.5</v>
      </c>
      <c r="J15" t="n">
        <v>7</v>
      </c>
      <c r="K15" t="n">
        <v>91.3</v>
      </c>
      <c r="L15" t="n">
        <v>2.9</v>
      </c>
      <c r="M15" t="n">
        <v>5.8</v>
      </c>
      <c r="N15" t="n">
        <v>87.7</v>
      </c>
      <c r="O15" t="n">
        <v>2.3</v>
      </c>
      <c r="P15" t="n">
        <v>10</v>
      </c>
      <c r="Q15" t="n">
        <v>86.09999999999999</v>
      </c>
      <c r="R15" t="n">
        <v>1.2</v>
      </c>
      <c r="S15" t="n">
        <v>12.7</v>
      </c>
      <c r="T15" t="n">
        <v>86.40000000000001</v>
      </c>
      <c r="U15" t="n">
        <v>0.4</v>
      </c>
      <c r="V15" t="n">
        <v>13.2</v>
      </c>
      <c r="W15" t="n">
        <v>86.5</v>
      </c>
      <c r="X15" t="n">
        <v>0.3</v>
      </c>
      <c r="Y15" t="n">
        <v>13.1</v>
      </c>
      <c r="Z15" t="n">
        <v>72.09999999999999</v>
      </c>
      <c r="AA15" t="n">
        <v>3</v>
      </c>
      <c r="AB15" t="n">
        <v>24.9</v>
      </c>
      <c r="AC15" t="n">
        <v>88.59999999999999</v>
      </c>
      <c r="AD15" t="n">
        <v>0.7</v>
      </c>
      <c r="AE15" t="n">
        <v>10.7</v>
      </c>
      <c r="AF15" t="n">
        <v>93.09999999999999</v>
      </c>
      <c r="AG15" t="n">
        <v>0</v>
      </c>
      <c r="AH15" t="n">
        <v>6.9</v>
      </c>
      <c r="AI15" t="n">
        <v>85.2</v>
      </c>
      <c r="AJ15" t="n">
        <v>3</v>
      </c>
      <c r="AK15" t="n">
        <v>11.7</v>
      </c>
    </row>
    <row r="16">
      <c r="A16" t="inlineStr">
        <is>
          <t>Otdar Meanchey</t>
        </is>
      </c>
      <c r="B16" t="n">
        <v>79.5</v>
      </c>
      <c r="C16" t="n">
        <v>12.5</v>
      </c>
      <c r="D16" t="n">
        <v>8</v>
      </c>
      <c r="E16" t="n">
        <v>84.09999999999999</v>
      </c>
      <c r="F16" t="n">
        <v>8</v>
      </c>
      <c r="G16" t="n">
        <v>7.9</v>
      </c>
      <c r="H16" t="n">
        <v>86.09999999999999</v>
      </c>
      <c r="I16" t="n">
        <v>6.2</v>
      </c>
      <c r="J16" t="n">
        <v>7.7</v>
      </c>
      <c r="K16" t="n">
        <v>88.40000000000001</v>
      </c>
      <c r="L16" t="n">
        <v>4.7</v>
      </c>
      <c r="M16" t="n">
        <v>6.9</v>
      </c>
      <c r="N16" t="n">
        <v>88.90000000000001</v>
      </c>
      <c r="O16" t="n">
        <v>3.1</v>
      </c>
      <c r="P16" t="n">
        <v>8</v>
      </c>
      <c r="Q16" t="n">
        <v>63.9</v>
      </c>
      <c r="R16" t="n">
        <v>1.8</v>
      </c>
      <c r="S16" t="n">
        <v>34.3</v>
      </c>
      <c r="T16" t="n">
        <v>85.7</v>
      </c>
      <c r="U16" t="n">
        <v>1.7</v>
      </c>
      <c r="V16" t="n">
        <v>12.6</v>
      </c>
      <c r="W16" t="n">
        <v>86.3</v>
      </c>
      <c r="X16" t="n">
        <v>0.8</v>
      </c>
      <c r="Y16" t="n">
        <v>13</v>
      </c>
      <c r="Z16" t="n">
        <v>74.3</v>
      </c>
      <c r="AA16" t="n">
        <v>1</v>
      </c>
      <c r="AB16" t="n">
        <v>24.7</v>
      </c>
      <c r="AC16" t="n">
        <v>83.40000000000001</v>
      </c>
      <c r="AD16" t="n">
        <v>1.3</v>
      </c>
      <c r="AE16" t="n">
        <v>15.3</v>
      </c>
      <c r="AF16" t="n">
        <v>88.7</v>
      </c>
      <c r="AG16" t="n">
        <v>1.2</v>
      </c>
      <c r="AH16" t="n">
        <v>10.1</v>
      </c>
      <c r="AI16" t="n">
        <v>89.40000000000001</v>
      </c>
      <c r="AJ16" t="n">
        <v>3.2</v>
      </c>
      <c r="AK16" t="n">
        <v>7.4</v>
      </c>
    </row>
    <row r="17">
      <c r="A17" t="inlineStr">
        <is>
          <t>Pailin</t>
        </is>
      </c>
      <c r="B17" t="n">
        <v>77</v>
      </c>
      <c r="C17" t="n">
        <v>13.5</v>
      </c>
      <c r="D17" t="n">
        <v>9.5</v>
      </c>
      <c r="E17" t="n">
        <v>85.5</v>
      </c>
      <c r="F17" t="n">
        <v>7.2</v>
      </c>
      <c r="G17" t="n">
        <v>7.3</v>
      </c>
      <c r="H17" t="n">
        <v>86.09999999999999</v>
      </c>
      <c r="I17" t="n">
        <v>6.4</v>
      </c>
      <c r="J17" t="n">
        <v>7.5</v>
      </c>
      <c r="K17" t="n">
        <v>87.8</v>
      </c>
      <c r="L17" t="n">
        <v>4.9</v>
      </c>
      <c r="M17" t="n">
        <v>7.3</v>
      </c>
      <c r="N17" t="n">
        <v>87</v>
      </c>
      <c r="O17" t="n">
        <v>4.2</v>
      </c>
      <c r="P17" t="n">
        <v>8.800000000000001</v>
      </c>
      <c r="Q17" t="n">
        <v>65.09999999999999</v>
      </c>
      <c r="R17" t="n">
        <v>1.4</v>
      </c>
      <c r="S17" t="n">
        <v>33.5</v>
      </c>
      <c r="T17" t="n">
        <v>86.59999999999999</v>
      </c>
      <c r="U17" t="n">
        <v>0.6</v>
      </c>
      <c r="V17" t="n">
        <v>12.8</v>
      </c>
      <c r="W17" t="n">
        <v>83.90000000000001</v>
      </c>
      <c r="X17" t="n">
        <v>0.3</v>
      </c>
      <c r="Y17" t="n">
        <v>15.8</v>
      </c>
      <c r="Z17" t="n">
        <v>77.40000000000001</v>
      </c>
      <c r="AA17" t="n">
        <v>4.1</v>
      </c>
      <c r="AB17" t="n">
        <v>18.6</v>
      </c>
      <c r="AC17" t="n">
        <v>88.40000000000001</v>
      </c>
      <c r="AD17" t="n">
        <v>1.3</v>
      </c>
      <c r="AE17" t="n">
        <v>10.4</v>
      </c>
      <c r="AF17" t="n">
        <v>89.40000000000001</v>
      </c>
      <c r="AG17" t="n">
        <v>0.3</v>
      </c>
      <c r="AH17" t="n">
        <v>10.3</v>
      </c>
      <c r="AI17" t="n">
        <v>73.40000000000001</v>
      </c>
      <c r="AJ17" t="n">
        <v>3.6</v>
      </c>
      <c r="AK17" t="n">
        <v>23</v>
      </c>
    </row>
    <row r="18">
      <c r="A18" t="inlineStr">
        <is>
          <t>Phnom Penh</t>
        </is>
      </c>
      <c r="B18" t="n">
        <v>83.09999999999999</v>
      </c>
      <c r="C18" t="n">
        <v>9</v>
      </c>
      <c r="D18" t="n">
        <v>8</v>
      </c>
      <c r="E18" t="n">
        <v>87.59999999999999</v>
      </c>
      <c r="F18" t="n">
        <v>6</v>
      </c>
      <c r="G18" t="n">
        <v>6.4</v>
      </c>
      <c r="H18" t="n">
        <v>90.7</v>
      </c>
      <c r="I18" t="n">
        <v>4</v>
      </c>
      <c r="J18" t="n">
        <v>5.3</v>
      </c>
      <c r="K18" t="n">
        <v>91.59999999999999</v>
      </c>
      <c r="L18" t="n">
        <v>3.3</v>
      </c>
      <c r="M18" t="n">
        <v>5</v>
      </c>
      <c r="N18" t="n">
        <v>93.2</v>
      </c>
      <c r="O18" t="n">
        <v>2</v>
      </c>
      <c r="P18" t="n">
        <v>4.8</v>
      </c>
      <c r="Q18" t="n">
        <v>66.7</v>
      </c>
      <c r="R18" t="n">
        <v>1.4</v>
      </c>
      <c r="S18" t="n">
        <v>31.9</v>
      </c>
      <c r="T18" t="n">
        <v>93.09999999999999</v>
      </c>
      <c r="U18" t="n">
        <v>1.1</v>
      </c>
      <c r="V18" t="n">
        <v>5.8</v>
      </c>
      <c r="W18" t="n">
        <v>95.3</v>
      </c>
      <c r="X18" t="n">
        <v>1.5</v>
      </c>
      <c r="Y18" t="n">
        <v>3.2</v>
      </c>
      <c r="Z18" t="n">
        <v>64.90000000000001</v>
      </c>
      <c r="AA18" t="n">
        <v>2.2</v>
      </c>
      <c r="AB18" t="n">
        <v>32.8</v>
      </c>
      <c r="AC18" t="n">
        <v>97.2</v>
      </c>
      <c r="AD18" t="n">
        <v>0.2</v>
      </c>
      <c r="AE18" t="n">
        <v>2.6</v>
      </c>
      <c r="AF18" t="n">
        <v>100</v>
      </c>
      <c r="AG18" t="n">
        <v>0.1</v>
      </c>
      <c r="AH18" t="inlineStr">
        <is>
          <t>n.a.</t>
        </is>
      </c>
      <c r="AI18" t="n">
        <v>54.4</v>
      </c>
      <c r="AJ18" t="n">
        <v>4.7</v>
      </c>
      <c r="AK18" t="n">
        <v>40.9</v>
      </c>
    </row>
    <row r="19">
      <c r="A19" t="inlineStr">
        <is>
          <t>Preah Sihanouk</t>
        </is>
      </c>
      <c r="B19" t="n">
        <v>78.59999999999999</v>
      </c>
      <c r="C19" t="n">
        <v>13.8</v>
      </c>
      <c r="D19" t="n">
        <v>7.6</v>
      </c>
      <c r="E19" t="n">
        <v>83.59999999999999</v>
      </c>
      <c r="F19" t="n">
        <v>9.699999999999999</v>
      </c>
      <c r="G19" t="n">
        <v>6.7</v>
      </c>
      <c r="H19" t="n">
        <v>85.2</v>
      </c>
      <c r="I19" t="n">
        <v>6</v>
      </c>
      <c r="J19" t="n">
        <v>8.800000000000001</v>
      </c>
      <c r="K19" t="n">
        <v>90.7</v>
      </c>
      <c r="L19" t="n">
        <v>4</v>
      </c>
      <c r="M19" t="n">
        <v>5.4</v>
      </c>
      <c r="N19" t="n">
        <v>90.40000000000001</v>
      </c>
      <c r="O19" t="n">
        <v>1.6</v>
      </c>
      <c r="P19" t="n">
        <v>8</v>
      </c>
      <c r="Q19" t="n">
        <v>77.59999999999999</v>
      </c>
      <c r="R19" t="n">
        <v>2</v>
      </c>
      <c r="S19" t="n">
        <v>20.4</v>
      </c>
      <c r="T19" t="n">
        <v>88.40000000000001</v>
      </c>
      <c r="U19" t="n">
        <v>0.9</v>
      </c>
      <c r="V19" t="n">
        <v>10.7</v>
      </c>
      <c r="W19" t="n">
        <v>87.09999999999999</v>
      </c>
      <c r="X19" t="n">
        <v>0.6</v>
      </c>
      <c r="Y19" t="n">
        <v>12.3</v>
      </c>
      <c r="Z19" t="n">
        <v>77.8</v>
      </c>
      <c r="AA19" t="n">
        <v>2.7</v>
      </c>
      <c r="AB19" t="n">
        <v>19.5</v>
      </c>
      <c r="AC19" t="n">
        <v>88.90000000000001</v>
      </c>
      <c r="AD19" t="n">
        <v>0.2</v>
      </c>
      <c r="AE19" t="n">
        <v>10.9</v>
      </c>
      <c r="AF19" t="n">
        <v>89.8</v>
      </c>
      <c r="AG19" t="n">
        <v>0</v>
      </c>
      <c r="AH19" t="n">
        <v>10.2</v>
      </c>
      <c r="AI19" t="n">
        <v>80.90000000000001</v>
      </c>
      <c r="AJ19" t="n">
        <v>0.5</v>
      </c>
      <c r="AK19" t="n">
        <v>18.6</v>
      </c>
    </row>
    <row r="20">
      <c r="A20" t="inlineStr">
        <is>
          <t>Preah Vihear</t>
        </is>
      </c>
      <c r="B20" t="n">
        <v>74.5</v>
      </c>
      <c r="C20" t="n">
        <v>17.8</v>
      </c>
      <c r="D20" t="n">
        <v>7.7</v>
      </c>
      <c r="E20" t="n">
        <v>83.09999999999999</v>
      </c>
      <c r="F20" t="n">
        <v>10.9</v>
      </c>
      <c r="G20" t="n">
        <v>6.1</v>
      </c>
      <c r="H20" t="n">
        <v>85.8</v>
      </c>
      <c r="I20" t="n">
        <v>8.5</v>
      </c>
      <c r="J20" t="n">
        <v>5.7</v>
      </c>
      <c r="K20" t="n">
        <v>86.8</v>
      </c>
      <c r="L20" t="n">
        <v>5.4</v>
      </c>
      <c r="M20" t="n">
        <v>7.8</v>
      </c>
      <c r="N20" t="n">
        <v>88</v>
      </c>
      <c r="O20" t="n">
        <v>3.6</v>
      </c>
      <c r="P20" t="n">
        <v>8.4</v>
      </c>
      <c r="Q20" t="n">
        <v>80.09999999999999</v>
      </c>
      <c r="R20" t="n">
        <v>1.5</v>
      </c>
      <c r="S20" t="n">
        <v>18.4</v>
      </c>
      <c r="T20" t="n">
        <v>85</v>
      </c>
      <c r="U20" t="n">
        <v>0.3</v>
      </c>
      <c r="V20" t="n">
        <v>14.7</v>
      </c>
      <c r="W20" t="n">
        <v>88.8</v>
      </c>
      <c r="X20" t="n">
        <v>0.1</v>
      </c>
      <c r="Y20" t="n">
        <v>11.1</v>
      </c>
      <c r="Z20" t="n">
        <v>81.8</v>
      </c>
      <c r="AA20" t="n">
        <v>0.6</v>
      </c>
      <c r="AB20" t="n">
        <v>17.7</v>
      </c>
      <c r="AC20" t="n">
        <v>84.09999999999999</v>
      </c>
      <c r="AD20" t="n">
        <v>0.7</v>
      </c>
      <c r="AE20" t="n">
        <v>15.2</v>
      </c>
      <c r="AF20" t="n">
        <v>87.40000000000001</v>
      </c>
      <c r="AG20" t="n">
        <v>0</v>
      </c>
      <c r="AH20" t="n">
        <v>12.6</v>
      </c>
      <c r="AI20" t="n">
        <v>61.4</v>
      </c>
      <c r="AJ20" t="n">
        <v>0.8</v>
      </c>
      <c r="AK20" t="n">
        <v>37.8</v>
      </c>
    </row>
    <row r="21">
      <c r="A21" t="inlineStr">
        <is>
          <t>Prey Veng</t>
        </is>
      </c>
      <c r="B21" t="n">
        <v>85</v>
      </c>
      <c r="C21" t="n">
        <v>10.9</v>
      </c>
      <c r="D21" t="n">
        <v>4.1</v>
      </c>
      <c r="E21" t="n">
        <v>89.09999999999999</v>
      </c>
      <c r="F21" t="n">
        <v>7.1</v>
      </c>
      <c r="G21" t="n">
        <v>3.8</v>
      </c>
      <c r="H21" t="n">
        <v>90.3</v>
      </c>
      <c r="I21" t="n">
        <v>5.9</v>
      </c>
      <c r="J21" t="n">
        <v>3.7</v>
      </c>
      <c r="K21" t="n">
        <v>91.5</v>
      </c>
      <c r="L21" t="n">
        <v>4.6</v>
      </c>
      <c r="M21" t="n">
        <v>3.9</v>
      </c>
      <c r="N21" t="n">
        <v>91.8</v>
      </c>
      <c r="O21" t="n">
        <v>3.7</v>
      </c>
      <c r="P21" t="n">
        <v>4.5</v>
      </c>
      <c r="Q21" t="n">
        <v>76.09999999999999</v>
      </c>
      <c r="R21" t="n">
        <v>2.6</v>
      </c>
      <c r="S21" t="n">
        <v>21.3</v>
      </c>
      <c r="T21" t="n">
        <v>88.8</v>
      </c>
      <c r="U21" t="n">
        <v>0.2</v>
      </c>
      <c r="V21" t="n">
        <v>11</v>
      </c>
      <c r="W21" t="n">
        <v>85.40000000000001</v>
      </c>
      <c r="X21" t="n">
        <v>0.1</v>
      </c>
      <c r="Y21" t="n">
        <v>14.5</v>
      </c>
      <c r="Z21" t="n">
        <v>65.59999999999999</v>
      </c>
      <c r="AA21" t="n">
        <v>0.9</v>
      </c>
      <c r="AB21" t="n">
        <v>33.5</v>
      </c>
      <c r="AC21" t="n">
        <v>85.09999999999999</v>
      </c>
      <c r="AD21" t="n">
        <v>0.1</v>
      </c>
      <c r="AE21" t="n">
        <v>14.8</v>
      </c>
      <c r="AF21" t="n">
        <v>89.7</v>
      </c>
      <c r="AG21" t="n">
        <v>0.2</v>
      </c>
      <c r="AH21" t="n">
        <v>10.1</v>
      </c>
      <c r="AI21" t="n">
        <v>63.5</v>
      </c>
      <c r="AJ21" t="n">
        <v>2.2</v>
      </c>
      <c r="AK21" t="n">
        <v>34.3</v>
      </c>
    </row>
    <row r="22">
      <c r="A22" t="inlineStr">
        <is>
          <t>Pursat</t>
        </is>
      </c>
      <c r="B22" t="n">
        <v>85</v>
      </c>
      <c r="C22" t="n">
        <v>11.8</v>
      </c>
      <c r="D22" t="n">
        <v>3.2</v>
      </c>
      <c r="E22" t="n">
        <v>85.59999999999999</v>
      </c>
      <c r="F22" t="n">
        <v>8.800000000000001</v>
      </c>
      <c r="G22" t="n">
        <v>5.6</v>
      </c>
      <c r="H22" t="n">
        <v>88.90000000000001</v>
      </c>
      <c r="I22" t="n">
        <v>7</v>
      </c>
      <c r="J22" t="n">
        <v>4.1</v>
      </c>
      <c r="K22" t="n">
        <v>91.7</v>
      </c>
      <c r="L22" t="n">
        <v>3.5</v>
      </c>
      <c r="M22" t="n">
        <v>4.8</v>
      </c>
      <c r="N22" t="n">
        <v>90.8</v>
      </c>
      <c r="O22" t="n">
        <v>3.1</v>
      </c>
      <c r="P22" t="n">
        <v>6.1</v>
      </c>
      <c r="Q22" t="n">
        <v>77.8</v>
      </c>
      <c r="R22" t="n">
        <v>2.1</v>
      </c>
      <c r="S22" t="n">
        <v>20.1</v>
      </c>
      <c r="T22" t="n">
        <v>89.2</v>
      </c>
      <c r="U22" t="n">
        <v>0.1</v>
      </c>
      <c r="V22" t="n">
        <v>10.7</v>
      </c>
      <c r="W22" t="n">
        <v>87.2</v>
      </c>
      <c r="X22" t="n">
        <v>0.1</v>
      </c>
      <c r="Y22" t="n">
        <v>12.7</v>
      </c>
      <c r="Z22" t="n">
        <v>80</v>
      </c>
      <c r="AA22" t="n">
        <v>0.6</v>
      </c>
      <c r="AB22" t="n">
        <v>19.4</v>
      </c>
      <c r="AC22" t="n">
        <v>86.2</v>
      </c>
      <c r="AD22" t="n">
        <v>0</v>
      </c>
      <c r="AE22" t="n">
        <v>13.8</v>
      </c>
      <c r="AF22" t="n">
        <v>89.59999999999999</v>
      </c>
      <c r="AG22" t="n">
        <v>0</v>
      </c>
      <c r="AH22" t="n">
        <v>10.4</v>
      </c>
      <c r="AI22" t="n">
        <v>69.40000000000001</v>
      </c>
      <c r="AJ22" t="n">
        <v>2.9</v>
      </c>
      <c r="AK22" t="n">
        <v>27.7</v>
      </c>
    </row>
    <row r="23">
      <c r="A23" t="inlineStr">
        <is>
          <t>Ratanak Kiri</t>
        </is>
      </c>
      <c r="B23" t="n">
        <v>80.8</v>
      </c>
      <c r="C23" t="n">
        <v>7.9</v>
      </c>
      <c r="D23" t="n">
        <v>11.3</v>
      </c>
      <c r="E23" t="n">
        <v>84.8</v>
      </c>
      <c r="F23" t="n">
        <v>5.5</v>
      </c>
      <c r="G23" t="n">
        <v>9.699999999999999</v>
      </c>
      <c r="H23" t="n">
        <v>85.90000000000001</v>
      </c>
      <c r="I23" t="n">
        <v>3.9</v>
      </c>
      <c r="J23" t="n">
        <v>10.2</v>
      </c>
      <c r="K23" t="n">
        <v>86.40000000000001</v>
      </c>
      <c r="L23" t="n">
        <v>3.3</v>
      </c>
      <c r="M23" t="n">
        <v>10.3</v>
      </c>
      <c r="N23" t="n">
        <v>85.09999999999999</v>
      </c>
      <c r="O23" t="n">
        <v>2.3</v>
      </c>
      <c r="P23" t="n">
        <v>12.5</v>
      </c>
      <c r="Q23" t="n">
        <v>68.40000000000001</v>
      </c>
      <c r="R23" t="n">
        <v>1.7</v>
      </c>
      <c r="S23" t="n">
        <v>29.9</v>
      </c>
      <c r="T23" t="n">
        <v>86.7</v>
      </c>
      <c r="U23" t="n">
        <v>0.1</v>
      </c>
      <c r="V23" t="n">
        <v>13.2</v>
      </c>
      <c r="W23" t="n">
        <v>90.5</v>
      </c>
      <c r="X23" t="n">
        <v>0.1</v>
      </c>
      <c r="Y23" t="n">
        <v>9.4</v>
      </c>
      <c r="Z23" t="n">
        <v>60.8</v>
      </c>
      <c r="AA23" t="n">
        <v>2</v>
      </c>
      <c r="AB23" t="n">
        <v>37.2</v>
      </c>
      <c r="AC23" t="n">
        <v>83.40000000000001</v>
      </c>
      <c r="AD23" t="n">
        <v>0.4</v>
      </c>
      <c r="AE23" t="n">
        <v>16.2</v>
      </c>
      <c r="AF23" t="n">
        <v>93.3</v>
      </c>
      <c r="AG23" t="n">
        <v>0</v>
      </c>
      <c r="AH23" t="n">
        <v>6.7</v>
      </c>
      <c r="AI23" t="n">
        <v>80</v>
      </c>
      <c r="AJ23" t="n">
        <v>1.4</v>
      </c>
      <c r="AK23" t="n">
        <v>18.6</v>
      </c>
    </row>
    <row r="24">
      <c r="A24" t="inlineStr">
        <is>
          <t>Siemreap</t>
        </is>
      </c>
      <c r="B24" t="n">
        <v>81.40000000000001</v>
      </c>
      <c r="C24" t="n">
        <v>13.3</v>
      </c>
      <c r="D24" t="n">
        <v>5.2</v>
      </c>
      <c r="E24" t="n">
        <v>85.5</v>
      </c>
      <c r="F24" t="n">
        <v>8.800000000000001</v>
      </c>
      <c r="G24" t="n">
        <v>5.6</v>
      </c>
      <c r="H24" t="n">
        <v>88.7</v>
      </c>
      <c r="I24" t="n">
        <v>6</v>
      </c>
      <c r="J24" t="n">
        <v>5.3</v>
      </c>
      <c r="K24" t="n">
        <v>90.5</v>
      </c>
      <c r="L24" t="n">
        <v>4.1</v>
      </c>
      <c r="M24" t="n">
        <v>5.4</v>
      </c>
      <c r="N24" t="n">
        <v>89.8</v>
      </c>
      <c r="O24" t="n">
        <v>3.7</v>
      </c>
      <c r="P24" t="n">
        <v>6.4</v>
      </c>
      <c r="Q24" t="n">
        <v>70.5</v>
      </c>
      <c r="R24" t="n">
        <v>2.2</v>
      </c>
      <c r="S24" t="n">
        <v>27.3</v>
      </c>
      <c r="T24" t="n">
        <v>88.40000000000001</v>
      </c>
      <c r="U24" t="n">
        <v>1.5</v>
      </c>
      <c r="V24" t="n">
        <v>10.1</v>
      </c>
      <c r="W24" t="n">
        <v>89.09999999999999</v>
      </c>
      <c r="X24" t="n">
        <v>1.5</v>
      </c>
      <c r="Y24" t="n">
        <v>9.4</v>
      </c>
      <c r="Z24" t="n">
        <v>72.2</v>
      </c>
      <c r="AA24" t="n">
        <v>1.2</v>
      </c>
      <c r="AB24" t="n">
        <v>26.6</v>
      </c>
      <c r="AC24" t="n">
        <v>88.3</v>
      </c>
      <c r="AD24" t="n">
        <v>0.7</v>
      </c>
      <c r="AE24" t="n">
        <v>11.1</v>
      </c>
      <c r="AF24" t="n">
        <v>92.7</v>
      </c>
      <c r="AG24" t="n">
        <v>0.6</v>
      </c>
      <c r="AH24" t="n">
        <v>6.7</v>
      </c>
      <c r="AI24" t="n">
        <v>58.1</v>
      </c>
      <c r="AJ24" t="n">
        <v>2.2</v>
      </c>
      <c r="AK24" t="n">
        <v>39.7</v>
      </c>
    </row>
    <row r="25">
      <c r="A25" t="inlineStr">
        <is>
          <t>Stung Treng</t>
        </is>
      </c>
      <c r="B25" t="n">
        <v>71.7</v>
      </c>
      <c r="C25" t="n">
        <v>20.9</v>
      </c>
      <c r="D25" t="n">
        <v>7.4</v>
      </c>
      <c r="E25" t="n">
        <v>81.09999999999999</v>
      </c>
      <c r="F25" t="n">
        <v>12.8</v>
      </c>
      <c r="G25" t="n">
        <v>6.1</v>
      </c>
      <c r="H25" t="n">
        <v>83.7</v>
      </c>
      <c r="I25" t="n">
        <v>9.300000000000001</v>
      </c>
      <c r="J25" t="n">
        <v>7</v>
      </c>
      <c r="K25" t="n">
        <v>86.90000000000001</v>
      </c>
      <c r="L25" t="n">
        <v>6.4</v>
      </c>
      <c r="M25" t="n">
        <v>6.7</v>
      </c>
      <c r="N25" t="n">
        <v>86.40000000000001</v>
      </c>
      <c r="O25" t="n">
        <v>4.6</v>
      </c>
      <c r="P25" t="n">
        <v>8.9</v>
      </c>
      <c r="Q25" t="n">
        <v>47</v>
      </c>
      <c r="R25" t="n">
        <v>4</v>
      </c>
      <c r="S25" t="n">
        <v>49</v>
      </c>
      <c r="T25" t="n">
        <v>81.8</v>
      </c>
      <c r="U25" t="n">
        <v>0.5</v>
      </c>
      <c r="V25" t="n">
        <v>17.7</v>
      </c>
      <c r="W25" t="n">
        <v>86</v>
      </c>
      <c r="X25" t="n">
        <v>0.2</v>
      </c>
      <c r="Y25" t="n">
        <v>13.8</v>
      </c>
      <c r="Z25" t="n">
        <v>66.5</v>
      </c>
      <c r="AA25" t="n">
        <v>0.7</v>
      </c>
      <c r="AB25" t="n">
        <v>32.8</v>
      </c>
      <c r="AC25" t="n">
        <v>98.8</v>
      </c>
      <c r="AD25" t="n">
        <v>0.2</v>
      </c>
      <c r="AE25" t="n">
        <v>1</v>
      </c>
      <c r="AF25" t="n">
        <v>94.8</v>
      </c>
      <c r="AG25" t="n">
        <v>0</v>
      </c>
      <c r="AH25" t="n">
        <v>5.2</v>
      </c>
      <c r="AI25" t="n">
        <v>86.5</v>
      </c>
      <c r="AJ25" t="n">
        <v>0.7</v>
      </c>
      <c r="AK25" t="n">
        <v>12.7</v>
      </c>
    </row>
    <row r="26">
      <c r="A26" t="inlineStr">
        <is>
          <t>Svay Rieng</t>
        </is>
      </c>
      <c r="B26" t="n">
        <v>86.8</v>
      </c>
      <c r="C26" t="n">
        <v>9</v>
      </c>
      <c r="D26" t="n">
        <v>4.2</v>
      </c>
      <c r="E26" t="n">
        <v>91.90000000000001</v>
      </c>
      <c r="F26" t="n">
        <v>4.7</v>
      </c>
      <c r="G26" t="n">
        <v>3.4</v>
      </c>
      <c r="H26" t="n">
        <v>93.2</v>
      </c>
      <c r="I26" t="n">
        <v>3.6</v>
      </c>
      <c r="J26" t="n">
        <v>3.2</v>
      </c>
      <c r="K26" t="n">
        <v>93.5</v>
      </c>
      <c r="L26" t="n">
        <v>3.1</v>
      </c>
      <c r="M26" t="n">
        <v>3.4</v>
      </c>
      <c r="N26" t="n">
        <v>93.8</v>
      </c>
      <c r="O26" t="n">
        <v>2</v>
      </c>
      <c r="P26" t="n">
        <v>4.2</v>
      </c>
      <c r="Q26" t="n">
        <v>75</v>
      </c>
      <c r="R26" t="n">
        <v>1.5</v>
      </c>
      <c r="S26" t="n">
        <v>23.5</v>
      </c>
      <c r="T26" t="n">
        <v>84.5</v>
      </c>
      <c r="U26" t="n">
        <v>0.3</v>
      </c>
      <c r="V26" t="n">
        <v>15.2</v>
      </c>
      <c r="W26" t="n">
        <v>78.2</v>
      </c>
      <c r="X26" t="n">
        <v>0.2</v>
      </c>
      <c r="Y26" t="n">
        <v>21.6</v>
      </c>
      <c r="Z26" t="n">
        <v>59.6</v>
      </c>
      <c r="AA26" t="n">
        <v>0.5</v>
      </c>
      <c r="AB26" t="n">
        <v>40</v>
      </c>
      <c r="AC26" t="n">
        <v>80.40000000000001</v>
      </c>
      <c r="AD26" t="n">
        <v>0</v>
      </c>
      <c r="AE26" t="n">
        <v>19.6</v>
      </c>
      <c r="AF26" t="n">
        <v>85.40000000000001</v>
      </c>
      <c r="AG26" t="n">
        <v>0</v>
      </c>
      <c r="AH26" t="n">
        <v>14.6</v>
      </c>
      <c r="AI26" t="n">
        <v>52.7</v>
      </c>
      <c r="AJ26" t="n">
        <v>0.8</v>
      </c>
      <c r="AK26" t="n">
        <v>46.5</v>
      </c>
    </row>
    <row r="27">
      <c r="A27" t="inlineStr">
        <is>
          <t>Takeo</t>
        </is>
      </c>
      <c r="B27" t="n">
        <v>87</v>
      </c>
      <c r="C27" t="n">
        <v>9.9</v>
      </c>
      <c r="D27" t="n">
        <v>3.2</v>
      </c>
      <c r="E27" t="n">
        <v>90.09999999999999</v>
      </c>
      <c r="F27" t="n">
        <v>6.8</v>
      </c>
      <c r="G27" t="n">
        <v>3.1</v>
      </c>
      <c r="H27" t="n">
        <v>90.5</v>
      </c>
      <c r="I27" t="n">
        <v>5.8</v>
      </c>
      <c r="J27" t="n">
        <v>3.8</v>
      </c>
      <c r="K27" t="n">
        <v>92.2</v>
      </c>
      <c r="L27" t="n">
        <v>4.6</v>
      </c>
      <c r="M27" t="n">
        <v>3.2</v>
      </c>
      <c r="N27" t="n">
        <v>93.40000000000001</v>
      </c>
      <c r="O27" t="n">
        <v>3.3</v>
      </c>
      <c r="P27" t="n">
        <v>3.3</v>
      </c>
      <c r="Q27" t="n">
        <v>88</v>
      </c>
      <c r="R27" t="n">
        <v>2.3</v>
      </c>
      <c r="S27" t="n">
        <v>9.6</v>
      </c>
      <c r="T27" t="n">
        <v>92.09999999999999</v>
      </c>
      <c r="U27" t="n">
        <v>1.1</v>
      </c>
      <c r="V27" t="n">
        <v>6.7</v>
      </c>
      <c r="W27" t="n">
        <v>87.5</v>
      </c>
      <c r="X27" t="n">
        <v>1.7</v>
      </c>
      <c r="Y27" t="n">
        <v>10.8</v>
      </c>
      <c r="Z27" t="n">
        <v>77.90000000000001</v>
      </c>
      <c r="AA27" t="n">
        <v>0.7</v>
      </c>
      <c r="AB27" t="n">
        <v>21.4</v>
      </c>
      <c r="AC27" t="n">
        <v>89.5</v>
      </c>
      <c r="AD27" t="n">
        <v>0.4</v>
      </c>
      <c r="AE27" t="n">
        <v>10.1</v>
      </c>
      <c r="AF27" t="n">
        <v>88.09999999999999</v>
      </c>
      <c r="AG27" t="n">
        <v>0.4</v>
      </c>
      <c r="AH27" t="n">
        <v>11.5</v>
      </c>
      <c r="AI27" t="n">
        <v>68.7</v>
      </c>
      <c r="AJ27" t="n">
        <v>2.2</v>
      </c>
      <c r="AK27" t="n">
        <v>29.1</v>
      </c>
    </row>
    <row r="28">
      <c r="A28" t="inlineStr">
        <is>
          <t>Tbaung Khmum</t>
        </is>
      </c>
      <c r="B28" t="n">
        <v>82.09999999999999</v>
      </c>
      <c r="C28" t="n">
        <v>12.2</v>
      </c>
      <c r="D28" t="n">
        <v>5.7</v>
      </c>
      <c r="E28" t="n">
        <v>84.59999999999999</v>
      </c>
      <c r="F28" t="n">
        <v>8.199999999999999</v>
      </c>
      <c r="G28" t="n">
        <v>7.2</v>
      </c>
      <c r="H28" t="n">
        <v>87.3</v>
      </c>
      <c r="I28" t="n">
        <v>6.3</v>
      </c>
      <c r="J28" t="n">
        <v>6.4</v>
      </c>
      <c r="K28" t="n">
        <v>88.8</v>
      </c>
      <c r="L28" t="n">
        <v>4.5</v>
      </c>
      <c r="M28" t="n">
        <v>6.7</v>
      </c>
      <c r="N28" t="n">
        <v>88.5</v>
      </c>
      <c r="O28" t="n">
        <v>3.8</v>
      </c>
      <c r="P28" t="n">
        <v>7.7</v>
      </c>
      <c r="Q28" t="n">
        <v>60.9</v>
      </c>
      <c r="R28" t="n">
        <v>2.2</v>
      </c>
      <c r="S28" t="n">
        <v>36.8</v>
      </c>
      <c r="T28" t="n">
        <v>85.40000000000001</v>
      </c>
      <c r="U28" t="n">
        <v>0.7</v>
      </c>
      <c r="V28" t="n">
        <v>14</v>
      </c>
      <c r="W28" t="n">
        <v>84.8</v>
      </c>
      <c r="X28" t="n">
        <v>0.4</v>
      </c>
      <c r="Y28" t="n">
        <v>14.8</v>
      </c>
      <c r="Z28" t="n">
        <v>58.6</v>
      </c>
      <c r="AA28" t="n">
        <v>2.3</v>
      </c>
      <c r="AB28" t="n">
        <v>39.1</v>
      </c>
      <c r="AC28" t="n">
        <v>84.8</v>
      </c>
      <c r="AD28" t="n">
        <v>0.3</v>
      </c>
      <c r="AE28" t="n">
        <v>14.8</v>
      </c>
      <c r="AF28" t="n">
        <v>89.8</v>
      </c>
      <c r="AG28" t="n">
        <v>0.3</v>
      </c>
      <c r="AH28" t="n">
        <v>9.9</v>
      </c>
      <c r="AI28" t="n">
        <v>55.9</v>
      </c>
      <c r="AJ28" t="n">
        <v>2.4</v>
      </c>
      <c r="AK28" t="n">
        <v>41.8</v>
      </c>
    </row>
    <row r="29">
      <c r="A29" t="inlineStr">
        <is>
          <t>Whole Kingdom</t>
        </is>
      </c>
      <c r="B29" t="n">
        <v>83.8</v>
      </c>
      <c r="C29" t="n">
        <v>11.3</v>
      </c>
      <c r="D29" t="n">
        <v>4.9</v>
      </c>
      <c r="E29" t="n">
        <v>87.3</v>
      </c>
      <c r="F29" t="n">
        <v>7.6</v>
      </c>
      <c r="G29" t="n">
        <v>5.1</v>
      </c>
      <c r="H29" t="n">
        <v>89.59999999999999</v>
      </c>
      <c r="I29" t="n">
        <v>5.7</v>
      </c>
      <c r="J29" t="n">
        <v>4.7</v>
      </c>
      <c r="K29" t="n">
        <v>91.09999999999999</v>
      </c>
      <c r="L29" t="n">
        <v>4.1</v>
      </c>
      <c r="M29" t="n">
        <v>4.8</v>
      </c>
      <c r="N29" t="n">
        <v>90.7</v>
      </c>
      <c r="O29" t="n">
        <v>3.2</v>
      </c>
      <c r="P29" t="n">
        <v>6.1</v>
      </c>
      <c r="Q29" t="n">
        <v>75.90000000000001</v>
      </c>
      <c r="R29" t="n">
        <v>2.2</v>
      </c>
      <c r="S29" t="n">
        <v>21.9</v>
      </c>
      <c r="T29" t="n">
        <v>88</v>
      </c>
      <c r="U29" t="n">
        <v>0.7</v>
      </c>
      <c r="V29" t="n">
        <v>11.3</v>
      </c>
      <c r="W29" t="n">
        <v>86.5</v>
      </c>
      <c r="X29" t="n">
        <v>0.7</v>
      </c>
      <c r="Y29" t="n">
        <v>12.8</v>
      </c>
      <c r="Z29" t="n">
        <v>71</v>
      </c>
      <c r="AA29" t="n">
        <v>1.2</v>
      </c>
      <c r="AB29" t="n">
        <v>27.8</v>
      </c>
      <c r="AC29" t="n">
        <v>86.8</v>
      </c>
      <c r="AD29" t="n">
        <v>0.4</v>
      </c>
      <c r="AE29" t="n">
        <v>12.8</v>
      </c>
      <c r="AF29" t="n">
        <v>91</v>
      </c>
      <c r="AG29" t="n">
        <v>0.3</v>
      </c>
      <c r="AH29" t="n">
        <v>8.699999999999999</v>
      </c>
      <c r="AI29" t="n">
        <v>62.2</v>
      </c>
      <c r="AJ29" t="n">
        <v>2.4</v>
      </c>
      <c r="AK29" t="n">
        <v>35.4</v>
      </c>
    </row>
    <row r="30">
      <c r="A30" t="inlineStr">
        <is>
          <t>- Urban Area</t>
        </is>
      </c>
      <c r="B30" t="n">
        <v>81.2</v>
      </c>
      <c r="C30" t="n">
        <v>12.5</v>
      </c>
      <c r="D30" t="n">
        <v>6.3</v>
      </c>
      <c r="E30" t="n">
        <v>86.7</v>
      </c>
      <c r="F30" t="n">
        <v>7.8</v>
      </c>
      <c r="G30" t="n">
        <v>5.5</v>
      </c>
      <c r="H30" t="n">
        <v>90.09999999999999</v>
      </c>
      <c r="I30" t="n">
        <v>5.2</v>
      </c>
      <c r="J30" t="n">
        <v>4.7</v>
      </c>
      <c r="K30" t="n">
        <v>91.2</v>
      </c>
      <c r="L30" t="n">
        <v>3.6</v>
      </c>
      <c r="M30" t="n">
        <v>5.1</v>
      </c>
      <c r="N30" t="n">
        <v>92.3</v>
      </c>
      <c r="O30" t="n">
        <v>2.5</v>
      </c>
      <c r="P30" t="n">
        <v>5.2</v>
      </c>
      <c r="Q30" t="n">
        <v>70.59999999999999</v>
      </c>
      <c r="R30" t="n">
        <v>1.5</v>
      </c>
      <c r="S30" t="n">
        <v>27.8</v>
      </c>
      <c r="T30" t="n">
        <v>91.8</v>
      </c>
      <c r="U30" t="n">
        <v>1.1</v>
      </c>
      <c r="V30" t="n">
        <v>7</v>
      </c>
      <c r="W30" t="n">
        <v>92.90000000000001</v>
      </c>
      <c r="X30" t="n">
        <v>1.2</v>
      </c>
      <c r="Y30" t="n">
        <v>6</v>
      </c>
      <c r="Z30" t="n">
        <v>73.09999999999999</v>
      </c>
      <c r="AA30" t="n">
        <v>1.9</v>
      </c>
      <c r="AB30" t="n">
        <v>25</v>
      </c>
      <c r="AC30" t="n">
        <v>93.59999999999999</v>
      </c>
      <c r="AD30" t="n">
        <v>0.4</v>
      </c>
      <c r="AE30" t="n">
        <v>6</v>
      </c>
      <c r="AF30" t="n">
        <v>97</v>
      </c>
      <c r="AG30" t="n">
        <v>0.3</v>
      </c>
      <c r="AH30" t="n">
        <v>2.8</v>
      </c>
      <c r="AI30" t="n">
        <v>56.4</v>
      </c>
      <c r="AJ30" t="n">
        <v>3.2</v>
      </c>
      <c r="AK30" t="n">
        <v>40.4</v>
      </c>
    </row>
    <row r="31">
      <c r="A31" t="inlineStr">
        <is>
          <t>- Rural Area</t>
        </is>
      </c>
      <c r="B31" t="n">
        <v>84.40000000000001</v>
      </c>
      <c r="C31" t="n">
        <v>11</v>
      </c>
      <c r="D31" t="n">
        <v>4.6</v>
      </c>
      <c r="E31" t="n">
        <v>87.5</v>
      </c>
      <c r="F31" t="n">
        <v>7.5</v>
      </c>
      <c r="G31" t="n">
        <v>5</v>
      </c>
      <c r="H31" t="n">
        <v>89.59999999999999</v>
      </c>
      <c r="I31" t="n">
        <v>5.8</v>
      </c>
      <c r="J31" t="n">
        <v>4.7</v>
      </c>
      <c r="K31" t="n">
        <v>91.09999999999999</v>
      </c>
      <c r="L31" t="n">
        <v>4.2</v>
      </c>
      <c r="M31" t="n">
        <v>4.7</v>
      </c>
      <c r="N31" t="n">
        <v>90.40000000000001</v>
      </c>
      <c r="O31" t="n">
        <v>3.3</v>
      </c>
      <c r="P31" t="n">
        <v>6.3</v>
      </c>
      <c r="Q31" t="n">
        <v>77</v>
      </c>
      <c r="R31" t="n">
        <v>2.4</v>
      </c>
      <c r="S31" t="n">
        <v>20.6</v>
      </c>
      <c r="T31" t="n">
        <v>87</v>
      </c>
      <c r="U31" t="n">
        <v>0.6</v>
      </c>
      <c r="V31" t="n">
        <v>12.4</v>
      </c>
      <c r="W31" t="n">
        <v>84.90000000000001</v>
      </c>
      <c r="X31" t="n">
        <v>0.6</v>
      </c>
      <c r="Y31" t="n">
        <v>14.5</v>
      </c>
      <c r="Z31" t="n">
        <v>70.40000000000001</v>
      </c>
      <c r="AA31" t="n">
        <v>1</v>
      </c>
      <c r="AB31" t="n">
        <v>28.6</v>
      </c>
      <c r="AC31" t="n">
        <v>84.40000000000001</v>
      </c>
      <c r="AD31" t="n">
        <v>0.3</v>
      </c>
      <c r="AE31" t="n">
        <v>15.3</v>
      </c>
      <c r="AF31" t="n">
        <v>88.59999999999999</v>
      </c>
      <c r="AG31" t="n">
        <v>0.3</v>
      </c>
      <c r="AH31" t="n">
        <v>11.1</v>
      </c>
      <c r="AI31" t="n">
        <v>64.7</v>
      </c>
      <c r="AJ31" t="n">
        <v>2</v>
      </c>
      <c r="AK31" t="n">
        <v>33.2</v>
      </c>
    </row>
    <row r="32"/>
    <row r="33"/>
    <row r="34"/>
    <row r="35"/>
    <row r="36">
      <c r="K36" t="inlineStr">
        <is>
          <t xml:space="preserve"> </t>
        </is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00B0F0"/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cols>
    <col width="15.28515625" customWidth="1" min="1" max="1"/>
    <col width="9.7109375" customWidth="1" min="2" max="2"/>
    <col width="9.5703125" customWidth="1" min="4" max="4"/>
    <col width="9.7109375" customWidth="1" min="5" max="5"/>
    <col width="8.28515625" customWidth="1" min="7" max="7"/>
    <col width="9.7109375" customWidth="1" min="8" max="8"/>
    <col width="8.28515625" customWidth="1" min="10" max="10"/>
    <col width="9.7109375" customWidth="1" min="11" max="11"/>
    <col width="8.28515625" customWidth="1" min="13" max="13"/>
    <col width="9.7109375" customWidth="1" min="14" max="14"/>
    <col width="9.5703125" customWidth="1" min="16" max="16"/>
    <col width="9.7109375" customWidth="1" min="17" max="17"/>
    <col width="9.5703125" customWidth="1" min="19" max="19"/>
    <col width="9.7109375" customWidth="1" min="20" max="20"/>
    <col width="8.28515625" customWidth="1" min="22" max="22"/>
    <col width="9.7109375" customWidth="1" min="23" max="23"/>
    <col width="8.28515625" customWidth="1" min="25" max="25"/>
    <col width="9.7109375" customWidth="1" min="26" max="26"/>
    <col width="9.5703125" customWidth="1" min="28" max="28"/>
    <col width="9.7109375" customWidth="1" min="29" max="29"/>
    <col width="9.5703125" customWidth="1" min="31" max="31"/>
    <col width="9.7109375" customWidth="1" min="32" max="32"/>
    <col width="9.5703125" customWidth="1" min="34" max="34"/>
    <col width="9.7109375" customWidth="1" min="35" max="35"/>
    <col width="8.28515625" customWidth="1" min="37" max="37"/>
  </cols>
  <sheetData>
    <row r="1">
      <c r="A1" t="inlineStr">
        <is>
          <t>Table 21: Student Flow Rates (Grade 1-4) for Male 2020 - 2021</t>
        </is>
      </c>
    </row>
    <row r="2">
      <c r="A2" t="inlineStr">
        <is>
          <t>Province</t>
        </is>
      </c>
      <c r="B2" t="inlineStr">
        <is>
          <t>Grade 1</t>
        </is>
      </c>
      <c r="E2" t="inlineStr">
        <is>
          <t>Grade 2</t>
        </is>
      </c>
      <c r="H2" t="inlineStr">
        <is>
          <t>Grade 3</t>
        </is>
      </c>
      <c r="K2" t="inlineStr">
        <is>
          <t>Grade 4</t>
        </is>
      </c>
      <c r="N2" t="inlineStr">
        <is>
          <t>Grade 5</t>
        </is>
      </c>
      <c r="Q2" t="inlineStr">
        <is>
          <t>Grade 6</t>
        </is>
      </c>
      <c r="T2" t="inlineStr">
        <is>
          <t>Grade 7</t>
        </is>
      </c>
      <c r="W2" t="inlineStr">
        <is>
          <t>Grade 8</t>
        </is>
      </c>
      <c r="Z2" t="inlineStr">
        <is>
          <t>Grade 9</t>
        </is>
      </c>
      <c r="AC2" t="inlineStr">
        <is>
          <t>Grade 10</t>
        </is>
      </c>
      <c r="AF2" t="inlineStr">
        <is>
          <t>Grade 11</t>
        </is>
      </c>
      <c r="AI2" t="inlineStr">
        <is>
          <t>Grade 12</t>
        </is>
      </c>
    </row>
    <row r="3">
      <c r="B3" t="inlineStr">
        <is>
          <t>Promotion</t>
        </is>
      </c>
      <c r="C3" t="inlineStr">
        <is>
          <t>Repetition</t>
        </is>
      </c>
      <c r="D3" t="inlineStr">
        <is>
          <t>Dropout</t>
        </is>
      </c>
      <c r="E3" t="inlineStr">
        <is>
          <t>Promotion</t>
        </is>
      </c>
      <c r="F3" t="inlineStr">
        <is>
          <t>Repetition</t>
        </is>
      </c>
      <c r="G3" t="inlineStr">
        <is>
          <t>Dropout</t>
        </is>
      </c>
      <c r="H3" t="inlineStr">
        <is>
          <t>Promotion</t>
        </is>
      </c>
      <c r="I3" t="inlineStr">
        <is>
          <t>Repetition</t>
        </is>
      </c>
      <c r="J3" t="inlineStr">
        <is>
          <t>Dropout</t>
        </is>
      </c>
      <c r="K3" t="inlineStr">
        <is>
          <t>Promotion</t>
        </is>
      </c>
      <c r="L3" t="inlineStr">
        <is>
          <t>Repetition</t>
        </is>
      </c>
      <c r="M3" t="inlineStr">
        <is>
          <t>Dropout</t>
        </is>
      </c>
      <c r="N3" t="inlineStr">
        <is>
          <t>Promotion</t>
        </is>
      </c>
      <c r="O3" t="inlineStr">
        <is>
          <t>Repetition</t>
        </is>
      </c>
      <c r="P3" t="inlineStr">
        <is>
          <t>Dropout</t>
        </is>
      </c>
      <c r="Q3" t="inlineStr">
        <is>
          <t>Promotion</t>
        </is>
      </c>
      <c r="R3" t="inlineStr">
        <is>
          <t>Repetition</t>
        </is>
      </c>
      <c r="S3" t="inlineStr">
        <is>
          <t>Dropout</t>
        </is>
      </c>
      <c r="T3" t="inlineStr">
        <is>
          <t>Promotion</t>
        </is>
      </c>
      <c r="U3" t="inlineStr">
        <is>
          <t>Repetition</t>
        </is>
      </c>
      <c r="V3" t="inlineStr">
        <is>
          <t>Dropout</t>
        </is>
      </c>
      <c r="W3" t="inlineStr">
        <is>
          <t>Promotion</t>
        </is>
      </c>
      <c r="X3" t="inlineStr">
        <is>
          <t>Repetition</t>
        </is>
      </c>
      <c r="Y3" t="inlineStr">
        <is>
          <t>Dropout</t>
        </is>
      </c>
      <c r="Z3" t="inlineStr">
        <is>
          <t>Promotion</t>
        </is>
      </c>
      <c r="AA3" t="inlineStr">
        <is>
          <t>Repetition</t>
        </is>
      </c>
      <c r="AB3" t="inlineStr">
        <is>
          <t>Dropout</t>
        </is>
      </c>
      <c r="AC3" t="inlineStr">
        <is>
          <t>Promotion</t>
        </is>
      </c>
      <c r="AD3" t="inlineStr">
        <is>
          <t>Repetition</t>
        </is>
      </c>
      <c r="AE3" t="inlineStr">
        <is>
          <t>Dropout</t>
        </is>
      </c>
      <c r="AF3" t="inlineStr">
        <is>
          <t>Promotion</t>
        </is>
      </c>
      <c r="AG3" t="inlineStr">
        <is>
          <t>Repetition</t>
        </is>
      </c>
      <c r="AH3" t="inlineStr">
        <is>
          <t>Dropout</t>
        </is>
      </c>
      <c r="AI3" t="inlineStr">
        <is>
          <t>Promotion</t>
        </is>
      </c>
      <c r="AJ3" t="inlineStr">
        <is>
          <t>Repetition</t>
        </is>
      </c>
      <c r="AK3" t="inlineStr">
        <is>
          <t>Dropout</t>
        </is>
      </c>
    </row>
    <row r="4">
      <c r="A4" t="inlineStr">
        <is>
          <t>Banteay Meanchey</t>
        </is>
      </c>
      <c r="B4" t="n">
        <v>85.09999999999999</v>
      </c>
      <c r="C4" t="n">
        <v>10.4</v>
      </c>
      <c r="D4" t="n">
        <v>4.5</v>
      </c>
      <c r="E4" t="n">
        <v>87.2</v>
      </c>
      <c r="F4" t="n">
        <v>7.5</v>
      </c>
      <c r="G4" t="n">
        <v>5.3</v>
      </c>
      <c r="H4" t="n">
        <v>90.3</v>
      </c>
      <c r="I4" t="n">
        <v>5.9</v>
      </c>
      <c r="J4" t="n">
        <v>3.8</v>
      </c>
      <c r="K4" t="n">
        <v>89</v>
      </c>
      <c r="L4" t="n">
        <v>5.1</v>
      </c>
      <c r="M4" t="n">
        <v>5.9</v>
      </c>
      <c r="N4" t="n">
        <v>90.09999999999999</v>
      </c>
      <c r="O4" t="n">
        <v>3.5</v>
      </c>
      <c r="P4" t="n">
        <v>6.4</v>
      </c>
      <c r="Q4" t="n">
        <v>89.90000000000001</v>
      </c>
      <c r="R4" t="n">
        <v>3</v>
      </c>
      <c r="S4" t="n">
        <v>7.1</v>
      </c>
      <c r="T4" t="n">
        <v>87.40000000000001</v>
      </c>
      <c r="U4" t="n">
        <v>1.4</v>
      </c>
      <c r="V4" t="n">
        <v>11.3</v>
      </c>
      <c r="W4" t="n">
        <v>85</v>
      </c>
      <c r="X4" t="n">
        <v>0.8</v>
      </c>
      <c r="Y4" t="n">
        <v>14.2</v>
      </c>
      <c r="Z4" t="n">
        <v>83.3</v>
      </c>
      <c r="AA4" t="n">
        <v>1.6</v>
      </c>
      <c r="AB4" t="n">
        <v>15.1</v>
      </c>
      <c r="AC4" t="n">
        <v>86.09999999999999</v>
      </c>
      <c r="AD4" t="n">
        <v>0.3</v>
      </c>
      <c r="AE4" t="n">
        <v>13.6</v>
      </c>
      <c r="AF4" t="n">
        <v>92.3</v>
      </c>
      <c r="AG4" t="n">
        <v>0.3</v>
      </c>
      <c r="AH4" t="n">
        <v>7.4</v>
      </c>
      <c r="AI4" t="n">
        <v>62.2</v>
      </c>
      <c r="AJ4" t="n">
        <v>2.3</v>
      </c>
      <c r="AK4" t="n">
        <v>35.5</v>
      </c>
    </row>
    <row r="5">
      <c r="A5" t="inlineStr">
        <is>
          <t>Battambang</t>
        </is>
      </c>
      <c r="B5" t="n">
        <v>85.7</v>
      </c>
      <c r="C5" t="n">
        <v>11.8</v>
      </c>
      <c r="D5" t="n">
        <v>2.4</v>
      </c>
      <c r="E5" t="n">
        <v>79.59999999999999</v>
      </c>
      <c r="F5" t="n">
        <v>12</v>
      </c>
      <c r="G5" t="n">
        <v>8.4</v>
      </c>
      <c r="H5" t="n">
        <v>83.90000000000001</v>
      </c>
      <c r="I5" t="n">
        <v>8.4</v>
      </c>
      <c r="J5" t="n">
        <v>7.7</v>
      </c>
      <c r="K5" t="n">
        <v>85.7</v>
      </c>
      <c r="L5" t="n">
        <v>6.5</v>
      </c>
      <c r="M5" t="n">
        <v>7.8</v>
      </c>
      <c r="N5" t="n">
        <v>86</v>
      </c>
      <c r="O5" t="n">
        <v>4.9</v>
      </c>
      <c r="P5" t="n">
        <v>9.199999999999999</v>
      </c>
      <c r="Q5" t="n">
        <v>71.90000000000001</v>
      </c>
      <c r="R5" t="n">
        <v>3.5</v>
      </c>
      <c r="S5" t="n">
        <v>24.6</v>
      </c>
      <c r="T5" t="n">
        <v>83.3</v>
      </c>
      <c r="U5" t="n">
        <v>1.2</v>
      </c>
      <c r="V5" t="n">
        <v>15.5</v>
      </c>
      <c r="W5" t="n">
        <v>85.40000000000001</v>
      </c>
      <c r="X5" t="n">
        <v>1</v>
      </c>
      <c r="Y5" t="n">
        <v>13.6</v>
      </c>
      <c r="Z5" t="n">
        <v>70.2</v>
      </c>
      <c r="AA5" t="n">
        <v>2.7</v>
      </c>
      <c r="AB5" t="n">
        <v>27.1</v>
      </c>
      <c r="AC5" t="n">
        <v>84.09999999999999</v>
      </c>
      <c r="AD5" t="n">
        <v>0.5</v>
      </c>
      <c r="AE5" t="n">
        <v>15.4</v>
      </c>
      <c r="AF5" t="n">
        <v>91.59999999999999</v>
      </c>
      <c r="AG5" t="n">
        <v>0.5</v>
      </c>
      <c r="AH5" t="n">
        <v>7.9</v>
      </c>
      <c r="AI5" t="n">
        <v>59</v>
      </c>
      <c r="AJ5" t="n">
        <v>3.8</v>
      </c>
      <c r="AK5" t="n">
        <v>37.2</v>
      </c>
    </row>
    <row r="6">
      <c r="A6" t="inlineStr">
        <is>
          <t>Kampong Cham</t>
        </is>
      </c>
      <c r="B6" t="n">
        <v>76.90000000000001</v>
      </c>
      <c r="C6" t="n">
        <v>19.3</v>
      </c>
      <c r="D6" t="n">
        <v>3.8</v>
      </c>
      <c r="E6" t="n">
        <v>80.59999999999999</v>
      </c>
      <c r="F6" t="n">
        <v>14.1</v>
      </c>
      <c r="G6" t="n">
        <v>5.3</v>
      </c>
      <c r="H6" t="n">
        <v>78.2</v>
      </c>
      <c r="I6" t="n">
        <v>14.3</v>
      </c>
      <c r="J6" t="n">
        <v>7.5</v>
      </c>
      <c r="K6" t="n">
        <v>74.59999999999999</v>
      </c>
      <c r="L6" t="n">
        <v>13.7</v>
      </c>
      <c r="M6" t="n">
        <v>11.7</v>
      </c>
      <c r="N6" t="n">
        <v>87</v>
      </c>
      <c r="O6" t="n">
        <v>7.7</v>
      </c>
      <c r="P6" t="n">
        <v>5.3</v>
      </c>
      <c r="Q6" t="n">
        <v>50.9</v>
      </c>
      <c r="R6" t="n">
        <v>5.8</v>
      </c>
      <c r="S6" t="n">
        <v>43.3</v>
      </c>
      <c r="T6" t="n">
        <v>85.59999999999999</v>
      </c>
      <c r="U6" t="n">
        <v>0.9</v>
      </c>
      <c r="V6" t="n">
        <v>13.5</v>
      </c>
      <c r="W6" t="n">
        <v>84.7</v>
      </c>
      <c r="X6" t="n">
        <v>1.3</v>
      </c>
      <c r="Y6" t="n">
        <v>14</v>
      </c>
      <c r="Z6" t="n">
        <v>58.8</v>
      </c>
      <c r="AA6" t="n">
        <v>2.9</v>
      </c>
      <c r="AB6" t="n">
        <v>38.3</v>
      </c>
      <c r="AC6" t="n">
        <v>86.09999999999999</v>
      </c>
      <c r="AD6" t="n">
        <v>0.6</v>
      </c>
      <c r="AE6" t="n">
        <v>13.3</v>
      </c>
      <c r="AF6" t="n">
        <v>90.90000000000001</v>
      </c>
      <c r="AG6" t="n">
        <v>0.9</v>
      </c>
      <c r="AH6" t="n">
        <v>8.199999999999999</v>
      </c>
      <c r="AI6" t="n">
        <v>51.6</v>
      </c>
      <c r="AJ6" t="n">
        <v>2.7</v>
      </c>
      <c r="AK6" t="n">
        <v>45.7</v>
      </c>
    </row>
    <row r="7">
      <c r="A7" t="inlineStr">
        <is>
          <t>Kampong Chhnang</t>
        </is>
      </c>
      <c r="B7" t="n">
        <v>82.59999999999999</v>
      </c>
      <c r="C7" t="n">
        <v>16.1</v>
      </c>
      <c r="D7" t="n">
        <v>1.3</v>
      </c>
      <c r="E7" t="n">
        <v>84.09999999999999</v>
      </c>
      <c r="F7" t="n">
        <v>13</v>
      </c>
      <c r="G7" t="n">
        <v>3</v>
      </c>
      <c r="H7" t="n">
        <v>84.90000000000001</v>
      </c>
      <c r="I7" t="n">
        <v>12.4</v>
      </c>
      <c r="J7" t="n">
        <v>2.7</v>
      </c>
      <c r="K7" t="n">
        <v>84.2</v>
      </c>
      <c r="L7" t="n">
        <v>10.3</v>
      </c>
      <c r="M7" t="n">
        <v>5.5</v>
      </c>
      <c r="N7" t="n">
        <v>87.3</v>
      </c>
      <c r="O7" t="n">
        <v>7.7</v>
      </c>
      <c r="P7" t="n">
        <v>5</v>
      </c>
      <c r="Q7" t="n">
        <v>83.90000000000001</v>
      </c>
      <c r="R7" t="n">
        <v>5.1</v>
      </c>
      <c r="S7" t="n">
        <v>11</v>
      </c>
      <c r="T7" t="n">
        <v>86</v>
      </c>
      <c r="U7" t="n">
        <v>0.7</v>
      </c>
      <c r="V7" t="n">
        <v>13.3</v>
      </c>
      <c r="W7" t="n">
        <v>84.59999999999999</v>
      </c>
      <c r="X7" t="n">
        <v>1.1</v>
      </c>
      <c r="Y7" t="n">
        <v>14.3</v>
      </c>
      <c r="Z7" t="n">
        <v>68.8</v>
      </c>
      <c r="AA7" t="n">
        <v>1.1</v>
      </c>
      <c r="AB7" t="n">
        <v>30.1</v>
      </c>
      <c r="AC7" t="n">
        <v>84.09999999999999</v>
      </c>
      <c r="AD7" t="n">
        <v>0.2</v>
      </c>
      <c r="AE7" t="n">
        <v>15.7</v>
      </c>
      <c r="AF7" t="n">
        <v>85.3</v>
      </c>
      <c r="AG7" t="n">
        <v>0.1</v>
      </c>
      <c r="AH7" t="n">
        <v>14.6</v>
      </c>
      <c r="AI7" t="n">
        <v>44.7</v>
      </c>
      <c r="AJ7" t="n">
        <v>3.9</v>
      </c>
      <c r="AK7" t="n">
        <v>51.3</v>
      </c>
    </row>
    <row r="8">
      <c r="A8" t="inlineStr">
        <is>
          <t>Kampong Speu</t>
        </is>
      </c>
      <c r="B8" t="n">
        <v>86.09999999999999</v>
      </c>
      <c r="C8" t="n">
        <v>11.6</v>
      </c>
      <c r="D8" t="n">
        <v>2.3</v>
      </c>
      <c r="E8" t="n">
        <v>90.5</v>
      </c>
      <c r="F8" t="n">
        <v>7.2</v>
      </c>
      <c r="G8" t="n">
        <v>2.3</v>
      </c>
      <c r="H8" t="n">
        <v>90.09999999999999</v>
      </c>
      <c r="I8" t="n">
        <v>7</v>
      </c>
      <c r="J8" t="n">
        <v>2.9</v>
      </c>
      <c r="K8" t="n">
        <v>90.2</v>
      </c>
      <c r="L8" t="n">
        <v>5.8</v>
      </c>
      <c r="M8" t="n">
        <v>4</v>
      </c>
      <c r="N8" t="n">
        <v>90.40000000000001</v>
      </c>
      <c r="O8" t="n">
        <v>4.1</v>
      </c>
      <c r="P8" t="n">
        <v>5.5</v>
      </c>
      <c r="Q8" t="n">
        <v>66.40000000000001</v>
      </c>
      <c r="R8" t="n">
        <v>3.5</v>
      </c>
      <c r="S8" t="n">
        <v>30.2</v>
      </c>
      <c r="T8" t="n">
        <v>82.8</v>
      </c>
      <c r="U8" t="n">
        <v>0.8</v>
      </c>
      <c r="V8" t="n">
        <v>16.4</v>
      </c>
      <c r="W8" t="n">
        <v>81.5</v>
      </c>
      <c r="X8" t="n">
        <v>0.7</v>
      </c>
      <c r="Y8" t="n">
        <v>17.9</v>
      </c>
      <c r="Z8" t="n">
        <v>43</v>
      </c>
      <c r="AA8" t="n">
        <v>2.5</v>
      </c>
      <c r="AB8" t="n">
        <v>54.5</v>
      </c>
      <c r="AC8" t="n">
        <v>79.5</v>
      </c>
      <c r="AD8" t="n">
        <v>0.9</v>
      </c>
      <c r="AE8" t="n">
        <v>19.6</v>
      </c>
      <c r="AF8" t="n">
        <v>87</v>
      </c>
      <c r="AG8" t="n">
        <v>0.4</v>
      </c>
      <c r="AH8" t="n">
        <v>12.7</v>
      </c>
      <c r="AI8" t="n">
        <v>31.1</v>
      </c>
      <c r="AJ8" t="n">
        <v>1.3</v>
      </c>
      <c r="AK8" t="n">
        <v>67.7</v>
      </c>
    </row>
    <row r="9">
      <c r="A9" t="inlineStr">
        <is>
          <t>Kampong Thom</t>
        </is>
      </c>
      <c r="B9" t="n">
        <v>81.90000000000001</v>
      </c>
      <c r="C9" t="n">
        <v>15.7</v>
      </c>
      <c r="D9" t="n">
        <v>2.4</v>
      </c>
      <c r="E9" t="n">
        <v>84.8</v>
      </c>
      <c r="F9" t="n">
        <v>10.6</v>
      </c>
      <c r="G9" t="n">
        <v>4.7</v>
      </c>
      <c r="H9" t="n">
        <v>80.7</v>
      </c>
      <c r="I9" t="n">
        <v>11.5</v>
      </c>
      <c r="J9" t="n">
        <v>7.8</v>
      </c>
      <c r="K9" t="n">
        <v>77.3</v>
      </c>
      <c r="L9" t="n">
        <v>9.5</v>
      </c>
      <c r="M9" t="n">
        <v>13.2</v>
      </c>
      <c r="N9" t="n">
        <v>85</v>
      </c>
      <c r="O9" t="n">
        <v>5.1</v>
      </c>
      <c r="P9" t="n">
        <v>10</v>
      </c>
      <c r="Q9" t="n">
        <v>64.09999999999999</v>
      </c>
      <c r="R9" t="n">
        <v>4.4</v>
      </c>
      <c r="S9" t="n">
        <v>31.5</v>
      </c>
      <c r="T9" t="n">
        <v>83.2</v>
      </c>
      <c r="U9" t="n">
        <v>0.9</v>
      </c>
      <c r="V9" t="n">
        <v>15.8</v>
      </c>
      <c r="W9" t="n">
        <v>84.5</v>
      </c>
      <c r="X9" t="n">
        <v>0.8</v>
      </c>
      <c r="Y9" t="n">
        <v>14.7</v>
      </c>
      <c r="Z9" t="n">
        <v>71</v>
      </c>
      <c r="AA9" t="n">
        <v>2.1</v>
      </c>
      <c r="AB9" t="n">
        <v>27</v>
      </c>
      <c r="AC9" t="n">
        <v>85.09999999999999</v>
      </c>
      <c r="AD9" t="n">
        <v>0.7</v>
      </c>
      <c r="AE9" t="n">
        <v>14.1</v>
      </c>
      <c r="AF9" t="n">
        <v>91.8</v>
      </c>
      <c r="AG9" t="n">
        <v>0.3</v>
      </c>
      <c r="AH9" t="n">
        <v>7.9</v>
      </c>
      <c r="AI9" t="n">
        <v>55.8</v>
      </c>
      <c r="AJ9" t="n">
        <v>2.9</v>
      </c>
      <c r="AK9" t="n">
        <v>41.4</v>
      </c>
    </row>
    <row r="10">
      <c r="A10" t="inlineStr">
        <is>
          <t>Kampot</t>
        </is>
      </c>
      <c r="B10" t="n">
        <v>83.59999999999999</v>
      </c>
      <c r="C10" t="n">
        <v>12.1</v>
      </c>
      <c r="D10" t="n">
        <v>4.3</v>
      </c>
      <c r="E10" t="n">
        <v>88.09999999999999</v>
      </c>
      <c r="F10" t="n">
        <v>8.199999999999999</v>
      </c>
      <c r="G10" t="n">
        <v>3.7</v>
      </c>
      <c r="H10" t="n">
        <v>89.90000000000001</v>
      </c>
      <c r="I10" t="n">
        <v>6.3</v>
      </c>
      <c r="J10" t="n">
        <v>3.8</v>
      </c>
      <c r="K10" t="n">
        <v>89.90000000000001</v>
      </c>
      <c r="L10" t="n">
        <v>4.3</v>
      </c>
      <c r="M10" t="n">
        <v>5.9</v>
      </c>
      <c r="N10" t="n">
        <v>91.40000000000001</v>
      </c>
      <c r="O10" t="n">
        <v>3.3</v>
      </c>
      <c r="P10" t="n">
        <v>5.4</v>
      </c>
      <c r="Q10" t="n">
        <v>75.8</v>
      </c>
      <c r="R10" t="n">
        <v>3.2</v>
      </c>
      <c r="S10" t="n">
        <v>21.1</v>
      </c>
      <c r="T10" t="n">
        <v>86.2</v>
      </c>
      <c r="U10" t="n">
        <v>1.8</v>
      </c>
      <c r="V10" t="n">
        <v>12</v>
      </c>
      <c r="W10" t="n">
        <v>84.09999999999999</v>
      </c>
      <c r="X10" t="n">
        <v>0.9</v>
      </c>
      <c r="Y10" t="n">
        <v>15</v>
      </c>
      <c r="Z10" t="n">
        <v>72.40000000000001</v>
      </c>
      <c r="AA10" t="n">
        <v>4.3</v>
      </c>
      <c r="AB10" t="n">
        <v>23.3</v>
      </c>
      <c r="AC10" t="n">
        <v>85.5</v>
      </c>
      <c r="AD10" t="n">
        <v>0.9</v>
      </c>
      <c r="AE10" t="n">
        <v>13.6</v>
      </c>
      <c r="AF10" t="n">
        <v>89.7</v>
      </c>
      <c r="AG10" t="n">
        <v>0.7</v>
      </c>
      <c r="AH10" t="n">
        <v>9.6</v>
      </c>
      <c r="AI10" t="n">
        <v>56.1</v>
      </c>
      <c r="AJ10" t="n">
        <v>2.6</v>
      </c>
      <c r="AK10" t="n">
        <v>41.3</v>
      </c>
    </row>
    <row r="11">
      <c r="A11" t="inlineStr">
        <is>
          <t>Kandal</t>
        </is>
      </c>
      <c r="B11" t="n">
        <v>76.8</v>
      </c>
      <c r="C11" t="n">
        <v>20.8</v>
      </c>
      <c r="D11" t="n">
        <v>2.4</v>
      </c>
      <c r="E11" t="n">
        <v>81.40000000000001</v>
      </c>
      <c r="F11" t="n">
        <v>15.8</v>
      </c>
      <c r="G11" t="n">
        <v>2.8</v>
      </c>
      <c r="H11" t="n">
        <v>81.90000000000001</v>
      </c>
      <c r="I11" t="n">
        <v>14.2</v>
      </c>
      <c r="J11" t="n">
        <v>3.9</v>
      </c>
      <c r="K11" t="n">
        <v>83.90000000000001</v>
      </c>
      <c r="L11" t="n">
        <v>12.4</v>
      </c>
      <c r="M11" t="n">
        <v>3.7</v>
      </c>
      <c r="N11" t="n">
        <v>84.7</v>
      </c>
      <c r="O11" t="n">
        <v>10.2</v>
      </c>
      <c r="P11" t="n">
        <v>5.2</v>
      </c>
      <c r="Q11" t="n">
        <v>88.09999999999999</v>
      </c>
      <c r="R11" t="n">
        <v>6.9</v>
      </c>
      <c r="S11" t="n">
        <v>5</v>
      </c>
      <c r="T11" t="n">
        <v>88.40000000000001</v>
      </c>
      <c r="U11" t="n">
        <v>1.1</v>
      </c>
      <c r="V11" t="n">
        <v>10.4</v>
      </c>
      <c r="W11" t="n">
        <v>88.90000000000001</v>
      </c>
      <c r="X11" t="n">
        <v>1.5</v>
      </c>
      <c r="Y11" t="n">
        <v>9.699999999999999</v>
      </c>
      <c r="Z11" t="n">
        <v>81.2</v>
      </c>
      <c r="AA11" t="n">
        <v>2.1</v>
      </c>
      <c r="AB11" t="n">
        <v>16.7</v>
      </c>
      <c r="AC11" t="n">
        <v>86.8</v>
      </c>
      <c r="AD11" t="n">
        <v>0.9</v>
      </c>
      <c r="AE11" t="n">
        <v>12.2</v>
      </c>
      <c r="AF11" t="n">
        <v>89.2</v>
      </c>
      <c r="AG11" t="n">
        <v>0.6</v>
      </c>
      <c r="AH11" t="n">
        <v>10.2</v>
      </c>
      <c r="AI11" t="n">
        <v>55.6</v>
      </c>
      <c r="AJ11" t="n">
        <v>2.5</v>
      </c>
      <c r="AK11" t="n">
        <v>41.8</v>
      </c>
    </row>
    <row r="12">
      <c r="A12" t="inlineStr">
        <is>
          <t>Kep</t>
        </is>
      </c>
      <c r="B12" t="n">
        <v>82.3</v>
      </c>
      <c r="C12" t="n">
        <v>14.2</v>
      </c>
      <c r="D12" t="n">
        <v>3.5</v>
      </c>
      <c r="E12" t="n">
        <v>87.5</v>
      </c>
      <c r="F12" t="n">
        <v>10.6</v>
      </c>
      <c r="G12" t="n">
        <v>1.9</v>
      </c>
      <c r="H12" t="n">
        <v>90</v>
      </c>
      <c r="I12" t="n">
        <v>5.7</v>
      </c>
      <c r="J12" t="n">
        <v>4.3</v>
      </c>
      <c r="K12" t="n">
        <v>86.3</v>
      </c>
      <c r="L12" t="n">
        <v>3.6</v>
      </c>
      <c r="M12" t="n">
        <v>10.1</v>
      </c>
      <c r="N12" t="n">
        <v>89.09999999999999</v>
      </c>
      <c r="O12" t="n">
        <v>3.4</v>
      </c>
      <c r="P12" t="n">
        <v>7.5</v>
      </c>
      <c r="Q12" t="n">
        <v>79.7</v>
      </c>
      <c r="R12" t="n">
        <v>2.1</v>
      </c>
      <c r="S12" t="n">
        <v>18.2</v>
      </c>
      <c r="T12" t="n">
        <v>90</v>
      </c>
      <c r="U12" t="n">
        <v>1</v>
      </c>
      <c r="V12" t="n">
        <v>9.1</v>
      </c>
      <c r="W12" t="n">
        <v>88</v>
      </c>
      <c r="X12" t="n">
        <v>1.2</v>
      </c>
      <c r="Y12" t="n">
        <v>10.8</v>
      </c>
      <c r="Z12" t="n">
        <v>72.3</v>
      </c>
      <c r="AA12" t="n">
        <v>14.4</v>
      </c>
      <c r="AB12" t="n">
        <v>13.3</v>
      </c>
      <c r="AC12" t="n">
        <v>92.09999999999999</v>
      </c>
      <c r="AD12" t="n">
        <v>0</v>
      </c>
      <c r="AE12" t="n">
        <v>7.9</v>
      </c>
      <c r="AF12" t="n">
        <v>97.09999999999999</v>
      </c>
      <c r="AG12" t="n">
        <v>0</v>
      </c>
      <c r="AH12" t="n">
        <v>2.9</v>
      </c>
      <c r="AI12" t="n">
        <v>82.5</v>
      </c>
      <c r="AJ12" t="n">
        <v>0</v>
      </c>
      <c r="AK12" t="n">
        <v>17.5</v>
      </c>
    </row>
    <row r="13">
      <c r="A13" t="inlineStr">
        <is>
          <t>Koh Kong</t>
        </is>
      </c>
      <c r="B13" t="n">
        <v>85.8</v>
      </c>
      <c r="C13" t="n">
        <v>11</v>
      </c>
      <c r="D13" t="n">
        <v>3.2</v>
      </c>
      <c r="E13" t="n">
        <v>82.7</v>
      </c>
      <c r="F13" t="n">
        <v>8.5</v>
      </c>
      <c r="G13" t="n">
        <v>8.800000000000001</v>
      </c>
      <c r="H13" t="n">
        <v>90.40000000000001</v>
      </c>
      <c r="I13" t="n">
        <v>5.4</v>
      </c>
      <c r="J13" t="n">
        <v>4.2</v>
      </c>
      <c r="K13" t="n">
        <v>86.09999999999999</v>
      </c>
      <c r="L13" t="n">
        <v>2.8</v>
      </c>
      <c r="M13" t="n">
        <v>11.1</v>
      </c>
      <c r="N13" t="n">
        <v>91</v>
      </c>
      <c r="O13" t="n">
        <v>3.4</v>
      </c>
      <c r="P13" t="n">
        <v>5.6</v>
      </c>
      <c r="Q13" t="n">
        <v>66.90000000000001</v>
      </c>
      <c r="R13" t="n">
        <v>2.1</v>
      </c>
      <c r="S13" t="n">
        <v>31.1</v>
      </c>
      <c r="T13" t="n">
        <v>88</v>
      </c>
      <c r="U13" t="n">
        <v>1.2</v>
      </c>
      <c r="V13" t="n">
        <v>10.8</v>
      </c>
      <c r="W13" t="n">
        <v>89.09999999999999</v>
      </c>
      <c r="X13" t="n">
        <v>2</v>
      </c>
      <c r="Y13" t="n">
        <v>9</v>
      </c>
      <c r="Z13" t="n">
        <v>68.40000000000001</v>
      </c>
      <c r="AA13" t="n">
        <v>4.7</v>
      </c>
      <c r="AB13" t="n">
        <v>26.8</v>
      </c>
      <c r="AC13" t="n">
        <v>84.90000000000001</v>
      </c>
      <c r="AD13" t="n">
        <v>0.5</v>
      </c>
      <c r="AE13" t="n">
        <v>14.6</v>
      </c>
      <c r="AF13" t="n">
        <v>85.90000000000001</v>
      </c>
      <c r="AG13" t="n">
        <v>0.2</v>
      </c>
      <c r="AH13" t="n">
        <v>13.9</v>
      </c>
      <c r="AI13" t="n">
        <v>59.6</v>
      </c>
      <c r="AJ13" t="n">
        <v>1.3</v>
      </c>
      <c r="AK13" t="n">
        <v>39.1</v>
      </c>
    </row>
    <row r="14">
      <c r="A14" t="inlineStr">
        <is>
          <t>Kratie</t>
        </is>
      </c>
      <c r="B14" t="n">
        <v>76.40000000000001</v>
      </c>
      <c r="C14" t="n">
        <v>19.4</v>
      </c>
      <c r="D14" t="n">
        <v>4.2</v>
      </c>
      <c r="E14" t="n">
        <v>77.40000000000001</v>
      </c>
      <c r="F14" t="n">
        <v>14.7</v>
      </c>
      <c r="G14" t="n">
        <v>7.9</v>
      </c>
      <c r="H14" t="n">
        <v>77.2</v>
      </c>
      <c r="I14" t="n">
        <v>12.1</v>
      </c>
      <c r="J14" t="n">
        <v>10.7</v>
      </c>
      <c r="K14" t="n">
        <v>78</v>
      </c>
      <c r="L14" t="n">
        <v>10.6</v>
      </c>
      <c r="M14" t="n">
        <v>11.4</v>
      </c>
      <c r="N14" t="n">
        <v>81.8</v>
      </c>
      <c r="O14" t="n">
        <v>6.4</v>
      </c>
      <c r="P14" t="n">
        <v>11.8</v>
      </c>
      <c r="Q14" t="n">
        <v>63.9</v>
      </c>
      <c r="R14" t="n">
        <v>4.5</v>
      </c>
      <c r="S14" t="n">
        <v>31.6</v>
      </c>
      <c r="T14" t="n">
        <v>80</v>
      </c>
      <c r="U14" t="n">
        <v>1.3</v>
      </c>
      <c r="V14" t="n">
        <v>18.7</v>
      </c>
      <c r="W14" t="n">
        <v>81.3</v>
      </c>
      <c r="X14" t="n">
        <v>0.9</v>
      </c>
      <c r="Y14" t="n">
        <v>17.7</v>
      </c>
      <c r="Z14" t="n">
        <v>67.7</v>
      </c>
      <c r="AA14" t="n">
        <v>5</v>
      </c>
      <c r="AB14" t="n">
        <v>27.3</v>
      </c>
      <c r="AC14" t="n">
        <v>86.2</v>
      </c>
      <c r="AD14" t="n">
        <v>0</v>
      </c>
      <c r="AE14" t="n">
        <v>13.8</v>
      </c>
      <c r="AF14" t="n">
        <v>91.59999999999999</v>
      </c>
      <c r="AG14" t="n">
        <v>0</v>
      </c>
      <c r="AH14" t="n">
        <v>8.4</v>
      </c>
      <c r="AI14" t="n">
        <v>63.3</v>
      </c>
      <c r="AJ14" t="n">
        <v>1.5</v>
      </c>
      <c r="AK14" t="n">
        <v>35.2</v>
      </c>
    </row>
    <row r="15">
      <c r="A15" t="inlineStr">
        <is>
          <t>Mondul Kiri</t>
        </is>
      </c>
      <c r="B15" t="n">
        <v>81.3</v>
      </c>
      <c r="C15" t="n">
        <v>12.9</v>
      </c>
      <c r="D15" t="n">
        <v>5.8</v>
      </c>
      <c r="E15" t="n">
        <v>82.7</v>
      </c>
      <c r="F15" t="n">
        <v>13</v>
      </c>
      <c r="G15" t="n">
        <v>4.3</v>
      </c>
      <c r="H15" t="n">
        <v>86</v>
      </c>
      <c r="I15" t="n">
        <v>9.6</v>
      </c>
      <c r="J15" t="n">
        <v>4.4</v>
      </c>
      <c r="K15" t="n">
        <v>89.90000000000001</v>
      </c>
      <c r="L15" t="n">
        <v>4.7</v>
      </c>
      <c r="M15" t="n">
        <v>5.4</v>
      </c>
      <c r="N15" t="n">
        <v>81.59999999999999</v>
      </c>
      <c r="O15" t="n">
        <v>5.8</v>
      </c>
      <c r="P15" t="n">
        <v>12.6</v>
      </c>
      <c r="Q15" t="n">
        <v>77.40000000000001</v>
      </c>
      <c r="R15" t="n">
        <v>4.5</v>
      </c>
      <c r="S15" t="n">
        <v>18.1</v>
      </c>
      <c r="T15" t="n">
        <v>82.3</v>
      </c>
      <c r="U15" t="n">
        <v>3.9</v>
      </c>
      <c r="V15" t="n">
        <v>13.9</v>
      </c>
      <c r="W15" t="n">
        <v>84.5</v>
      </c>
      <c r="X15" t="n">
        <v>3.2</v>
      </c>
      <c r="Y15" t="n">
        <v>12.3</v>
      </c>
      <c r="Z15" t="n">
        <v>97.90000000000001</v>
      </c>
      <c r="AA15" t="n">
        <v>4.1</v>
      </c>
      <c r="AB15" t="inlineStr">
        <is>
          <t>n.a.</t>
        </is>
      </c>
      <c r="AC15" t="n">
        <v>94.40000000000001</v>
      </c>
      <c r="AD15" t="n">
        <v>0.6</v>
      </c>
      <c r="AE15" t="n">
        <v>5</v>
      </c>
      <c r="AF15" t="n">
        <v>89</v>
      </c>
      <c r="AG15" t="n">
        <v>0.4</v>
      </c>
      <c r="AH15" t="n">
        <v>10.6</v>
      </c>
      <c r="AI15" t="n">
        <v>78.7</v>
      </c>
      <c r="AJ15" t="n">
        <v>3.9</v>
      </c>
      <c r="AK15" t="n">
        <v>17.4</v>
      </c>
    </row>
    <row r="16">
      <c r="A16" t="inlineStr">
        <is>
          <t>Otdar Meanchey</t>
        </is>
      </c>
      <c r="B16" t="n">
        <v>77.09999999999999</v>
      </c>
      <c r="C16" t="n">
        <v>17.9</v>
      </c>
      <c r="D16" t="n">
        <v>5</v>
      </c>
      <c r="E16" t="n">
        <v>82.8</v>
      </c>
      <c r="F16" t="n">
        <v>12.4</v>
      </c>
      <c r="G16" t="n">
        <v>4.8</v>
      </c>
      <c r="H16" t="n">
        <v>84.09999999999999</v>
      </c>
      <c r="I16" t="n">
        <v>10</v>
      </c>
      <c r="J16" t="n">
        <v>5.9</v>
      </c>
      <c r="K16" t="n">
        <v>84.2</v>
      </c>
      <c r="L16" t="n">
        <v>8.1</v>
      </c>
      <c r="M16" t="n">
        <v>7.6</v>
      </c>
      <c r="N16" t="n">
        <v>86.5</v>
      </c>
      <c r="O16" t="n">
        <v>4.4</v>
      </c>
      <c r="P16" t="n">
        <v>9.199999999999999</v>
      </c>
      <c r="Q16" t="n">
        <v>59.7</v>
      </c>
      <c r="R16" t="n">
        <v>2.9</v>
      </c>
      <c r="S16" t="n">
        <v>37.4</v>
      </c>
      <c r="T16" t="n">
        <v>82.5</v>
      </c>
      <c r="U16" t="n">
        <v>2.4</v>
      </c>
      <c r="V16" t="n">
        <v>15.1</v>
      </c>
      <c r="W16" t="n">
        <v>81.8</v>
      </c>
      <c r="X16" t="n">
        <v>2.3</v>
      </c>
      <c r="Y16" t="n">
        <v>15.9</v>
      </c>
      <c r="Z16" t="n">
        <v>72.7</v>
      </c>
      <c r="AA16" t="n">
        <v>3</v>
      </c>
      <c r="AB16" t="n">
        <v>24.3</v>
      </c>
      <c r="AC16" t="n">
        <v>79.7</v>
      </c>
      <c r="AD16" t="n">
        <v>2.5</v>
      </c>
      <c r="AE16" t="n">
        <v>17.8</v>
      </c>
      <c r="AF16" t="n">
        <v>85.8</v>
      </c>
      <c r="AG16" t="n">
        <v>1.2</v>
      </c>
      <c r="AH16" t="n">
        <v>13</v>
      </c>
      <c r="AI16" t="n">
        <v>86.8</v>
      </c>
      <c r="AJ16" t="n">
        <v>5.5</v>
      </c>
      <c r="AK16" t="n">
        <v>7.7</v>
      </c>
    </row>
    <row r="17">
      <c r="A17" t="inlineStr">
        <is>
          <t>Pailin</t>
        </is>
      </c>
      <c r="B17" t="n">
        <v>74</v>
      </c>
      <c r="C17" t="n">
        <v>19.1</v>
      </c>
      <c r="D17" t="n">
        <v>6.9</v>
      </c>
      <c r="E17" t="n">
        <v>83.7</v>
      </c>
      <c r="F17" t="n">
        <v>9.9</v>
      </c>
      <c r="G17" t="n">
        <v>6.4</v>
      </c>
      <c r="H17" t="n">
        <v>84.59999999999999</v>
      </c>
      <c r="I17" t="n">
        <v>9.199999999999999</v>
      </c>
      <c r="J17" t="n">
        <v>6.2</v>
      </c>
      <c r="K17" t="n">
        <v>78.90000000000001</v>
      </c>
      <c r="L17" t="n">
        <v>6.5</v>
      </c>
      <c r="M17" t="n">
        <v>14.5</v>
      </c>
      <c r="N17" t="n">
        <v>83.90000000000001</v>
      </c>
      <c r="O17" t="n">
        <v>6.7</v>
      </c>
      <c r="P17" t="n">
        <v>9.4</v>
      </c>
      <c r="Q17" t="n">
        <v>66.09999999999999</v>
      </c>
      <c r="R17" t="n">
        <v>1.3</v>
      </c>
      <c r="S17" t="n">
        <v>32.6</v>
      </c>
      <c r="T17" t="n">
        <v>80.09999999999999</v>
      </c>
      <c r="U17" t="n">
        <v>2.3</v>
      </c>
      <c r="V17" t="n">
        <v>17.6</v>
      </c>
      <c r="W17" t="n">
        <v>83.40000000000001</v>
      </c>
      <c r="X17" t="n">
        <v>1.4</v>
      </c>
      <c r="Y17" t="n">
        <v>15.2</v>
      </c>
      <c r="Z17" t="n">
        <v>64.3</v>
      </c>
      <c r="AA17" t="n">
        <v>6.4</v>
      </c>
      <c r="AB17" t="n">
        <v>29.3</v>
      </c>
      <c r="AC17" t="n">
        <v>81</v>
      </c>
      <c r="AD17" t="n">
        <v>2.8</v>
      </c>
      <c r="AE17" t="n">
        <v>16.3</v>
      </c>
      <c r="AF17" t="n">
        <v>86.7</v>
      </c>
      <c r="AG17" t="n">
        <v>1.6</v>
      </c>
      <c r="AH17" t="n">
        <v>11.6</v>
      </c>
      <c r="AI17" t="n">
        <v>69.59999999999999</v>
      </c>
      <c r="AJ17" t="n">
        <v>4.1</v>
      </c>
      <c r="AK17" t="n">
        <v>26.3</v>
      </c>
    </row>
    <row r="18">
      <c r="A18" t="inlineStr">
        <is>
          <t>Phnom Penh</t>
        </is>
      </c>
      <c r="B18" t="n">
        <v>78.40000000000001</v>
      </c>
      <c r="C18" t="n">
        <v>12</v>
      </c>
      <c r="D18" t="n">
        <v>9.699999999999999</v>
      </c>
      <c r="E18" t="n">
        <v>88.59999999999999</v>
      </c>
      <c r="F18" t="n">
        <v>8.199999999999999</v>
      </c>
      <c r="G18" t="n">
        <v>3.2</v>
      </c>
      <c r="H18" t="n">
        <v>88.59999999999999</v>
      </c>
      <c r="I18" t="n">
        <v>6.6</v>
      </c>
      <c r="J18" t="n">
        <v>4.9</v>
      </c>
      <c r="K18" t="n">
        <v>89.5</v>
      </c>
      <c r="L18" t="n">
        <v>5</v>
      </c>
      <c r="M18" t="n">
        <v>5.5</v>
      </c>
      <c r="N18" t="n">
        <v>91.2</v>
      </c>
      <c r="O18" t="n">
        <v>3.5</v>
      </c>
      <c r="P18" t="n">
        <v>5.3</v>
      </c>
      <c r="Q18" t="n">
        <v>64.09999999999999</v>
      </c>
      <c r="R18" t="n">
        <v>2.2</v>
      </c>
      <c r="S18" t="n">
        <v>33.7</v>
      </c>
      <c r="T18" t="n">
        <v>93.5</v>
      </c>
      <c r="U18" t="n">
        <v>1.3</v>
      </c>
      <c r="V18" t="n">
        <v>5.1</v>
      </c>
      <c r="W18" t="n">
        <v>95.7</v>
      </c>
      <c r="X18" t="n">
        <v>1.9</v>
      </c>
      <c r="Y18" t="n">
        <v>2.4</v>
      </c>
      <c r="Z18" t="n">
        <v>63.3</v>
      </c>
      <c r="AA18" t="n">
        <v>4</v>
      </c>
      <c r="AB18" t="n">
        <v>32.7</v>
      </c>
      <c r="AC18" t="n">
        <v>94.3</v>
      </c>
      <c r="AD18" t="n">
        <v>0.2</v>
      </c>
      <c r="AE18" t="n">
        <v>5.5</v>
      </c>
      <c r="AF18" t="inlineStr">
        <is>
          <t>n.a.</t>
        </is>
      </c>
      <c r="AG18" t="n">
        <v>0.2</v>
      </c>
      <c r="AH18" t="inlineStr">
        <is>
          <t>n.a.</t>
        </is>
      </c>
      <c r="AI18" t="n">
        <v>47.2</v>
      </c>
      <c r="AJ18" t="n">
        <v>6.4</v>
      </c>
      <c r="AK18" t="n">
        <v>46.4</v>
      </c>
    </row>
    <row r="19">
      <c r="A19" t="inlineStr">
        <is>
          <t>Preah Sihanouk</t>
        </is>
      </c>
      <c r="B19" t="n">
        <v>76.59999999999999</v>
      </c>
      <c r="C19" t="n">
        <v>17.3</v>
      </c>
      <c r="D19" t="n">
        <v>6</v>
      </c>
      <c r="E19" t="n">
        <v>82.5</v>
      </c>
      <c r="F19" t="n">
        <v>12.5</v>
      </c>
      <c r="G19" t="n">
        <v>5</v>
      </c>
      <c r="H19" t="n">
        <v>85</v>
      </c>
      <c r="I19" t="n">
        <v>8.699999999999999</v>
      </c>
      <c r="J19" t="n">
        <v>6.2</v>
      </c>
      <c r="K19" t="n">
        <v>86.7</v>
      </c>
      <c r="L19" t="n">
        <v>7.7</v>
      </c>
      <c r="M19" t="n">
        <v>5.6</v>
      </c>
      <c r="N19" t="n">
        <v>86.90000000000001</v>
      </c>
      <c r="O19" t="n">
        <v>5.3</v>
      </c>
      <c r="P19" t="n">
        <v>7.7</v>
      </c>
      <c r="Q19" t="n">
        <v>74.59999999999999</v>
      </c>
      <c r="R19" t="n">
        <v>5</v>
      </c>
      <c r="S19" t="n">
        <v>20.4</v>
      </c>
      <c r="T19" t="n">
        <v>86.40000000000001</v>
      </c>
      <c r="U19" t="n">
        <v>2.4</v>
      </c>
      <c r="V19" t="n">
        <v>11.2</v>
      </c>
      <c r="W19" t="n">
        <v>91</v>
      </c>
      <c r="X19" t="n">
        <v>0.7</v>
      </c>
      <c r="Y19" t="n">
        <v>8.4</v>
      </c>
      <c r="Z19" t="n">
        <v>74.40000000000001</v>
      </c>
      <c r="AA19" t="n">
        <v>4.8</v>
      </c>
      <c r="AB19" t="n">
        <v>20.9</v>
      </c>
      <c r="AC19" t="n">
        <v>88.7</v>
      </c>
      <c r="AD19" t="n">
        <v>0.4</v>
      </c>
      <c r="AE19" t="n">
        <v>10.9</v>
      </c>
      <c r="AF19" t="n">
        <v>88.90000000000001</v>
      </c>
      <c r="AG19" t="n">
        <v>0.1</v>
      </c>
      <c r="AH19" t="n">
        <v>11</v>
      </c>
      <c r="AI19" t="n">
        <v>74.09999999999999</v>
      </c>
      <c r="AJ19" t="n">
        <v>1.7</v>
      </c>
      <c r="AK19" t="n">
        <v>24.2</v>
      </c>
    </row>
    <row r="20">
      <c r="A20" t="inlineStr">
        <is>
          <t>Preah Vihear</t>
        </is>
      </c>
      <c r="B20" t="n">
        <v>70.40000000000001</v>
      </c>
      <c r="C20" t="n">
        <v>24.1</v>
      </c>
      <c r="D20" t="n">
        <v>5.5</v>
      </c>
      <c r="E20" t="n">
        <v>81.2</v>
      </c>
      <c r="F20" t="n">
        <v>14.8</v>
      </c>
      <c r="G20" t="n">
        <v>4</v>
      </c>
      <c r="H20" t="n">
        <v>80</v>
      </c>
      <c r="I20" t="n">
        <v>12.1</v>
      </c>
      <c r="J20" t="n">
        <v>8</v>
      </c>
      <c r="K20" t="n">
        <v>80.90000000000001</v>
      </c>
      <c r="L20" t="n">
        <v>9.5</v>
      </c>
      <c r="M20" t="n">
        <v>9.5</v>
      </c>
      <c r="N20" t="n">
        <v>86</v>
      </c>
      <c r="O20" t="n">
        <v>5.9</v>
      </c>
      <c r="P20" t="n">
        <v>8.199999999999999</v>
      </c>
      <c r="Q20" t="n">
        <v>77.7</v>
      </c>
      <c r="R20" t="n">
        <v>3.5</v>
      </c>
      <c r="S20" t="n">
        <v>18.8</v>
      </c>
      <c r="T20" t="n">
        <v>86.2</v>
      </c>
      <c r="U20" t="n">
        <v>1</v>
      </c>
      <c r="V20" t="n">
        <v>12.8</v>
      </c>
      <c r="W20" t="n">
        <v>86.2</v>
      </c>
      <c r="X20" t="n">
        <v>0.4</v>
      </c>
      <c r="Y20" t="n">
        <v>13.4</v>
      </c>
      <c r="Z20" t="n">
        <v>81.09999999999999</v>
      </c>
      <c r="AA20" t="n">
        <v>0.8</v>
      </c>
      <c r="AB20" t="n">
        <v>18.2</v>
      </c>
      <c r="AC20" t="n">
        <v>75.59999999999999</v>
      </c>
      <c r="AD20" t="n">
        <v>0.4</v>
      </c>
      <c r="AE20" t="n">
        <v>24.1</v>
      </c>
      <c r="AF20" t="n">
        <v>87.8</v>
      </c>
      <c r="AG20" t="n">
        <v>0.1</v>
      </c>
      <c r="AH20" t="n">
        <v>12</v>
      </c>
      <c r="AI20" t="n">
        <v>57.2</v>
      </c>
      <c r="AJ20" t="n">
        <v>1</v>
      </c>
      <c r="AK20" t="n">
        <v>41.7</v>
      </c>
    </row>
    <row r="21">
      <c r="A21" t="inlineStr">
        <is>
          <t>Prey Veng</t>
        </is>
      </c>
      <c r="B21" t="n">
        <v>83.5</v>
      </c>
      <c r="C21" t="n">
        <v>14.7</v>
      </c>
      <c r="D21" t="n">
        <v>1.7</v>
      </c>
      <c r="E21" t="n">
        <v>87.7</v>
      </c>
      <c r="F21" t="n">
        <v>11.3</v>
      </c>
      <c r="G21" t="n">
        <v>1.1</v>
      </c>
      <c r="H21" t="n">
        <v>87.3</v>
      </c>
      <c r="I21" t="n">
        <v>10.4</v>
      </c>
      <c r="J21" t="n">
        <v>2.4</v>
      </c>
      <c r="K21" t="n">
        <v>88.8</v>
      </c>
      <c r="L21" t="n">
        <v>7.9</v>
      </c>
      <c r="M21" t="n">
        <v>3.4</v>
      </c>
      <c r="N21" t="n">
        <v>89.59999999999999</v>
      </c>
      <c r="O21" t="n">
        <v>6.5</v>
      </c>
      <c r="P21" t="n">
        <v>3.9</v>
      </c>
      <c r="Q21" t="n">
        <v>71.09999999999999</v>
      </c>
      <c r="R21" t="n">
        <v>5.4</v>
      </c>
      <c r="S21" t="n">
        <v>23.6</v>
      </c>
      <c r="T21" t="n">
        <v>88.59999999999999</v>
      </c>
      <c r="U21" t="n">
        <v>0.2</v>
      </c>
      <c r="V21" t="n">
        <v>11.2</v>
      </c>
      <c r="W21" t="n">
        <v>87.09999999999999</v>
      </c>
      <c r="X21" t="n">
        <v>0.1</v>
      </c>
      <c r="Y21" t="n">
        <v>12.8</v>
      </c>
      <c r="Z21" t="n">
        <v>61.9</v>
      </c>
      <c r="AA21" t="n">
        <v>1.4</v>
      </c>
      <c r="AB21" t="n">
        <v>36.7</v>
      </c>
      <c r="AC21" t="n">
        <v>83.2</v>
      </c>
      <c r="AD21" t="n">
        <v>0.3</v>
      </c>
      <c r="AE21" t="n">
        <v>16.5</v>
      </c>
      <c r="AF21" t="n">
        <v>90.90000000000001</v>
      </c>
      <c r="AG21" t="n">
        <v>0.1</v>
      </c>
      <c r="AH21" t="n">
        <v>8.9</v>
      </c>
      <c r="AI21" t="n">
        <v>49.2</v>
      </c>
      <c r="AJ21" t="n">
        <v>3.6</v>
      </c>
      <c r="AK21" t="n">
        <v>47.2</v>
      </c>
    </row>
    <row r="22">
      <c r="A22" t="inlineStr">
        <is>
          <t>Pursat</t>
        </is>
      </c>
      <c r="B22" t="n">
        <v>76.90000000000001</v>
      </c>
      <c r="C22" t="n">
        <v>19.2</v>
      </c>
      <c r="D22" t="n">
        <v>4</v>
      </c>
      <c r="E22" t="n">
        <v>80.2</v>
      </c>
      <c r="F22" t="n">
        <v>13.3</v>
      </c>
      <c r="G22" t="n">
        <v>6.5</v>
      </c>
      <c r="H22" t="n">
        <v>83.2</v>
      </c>
      <c r="I22" t="n">
        <v>12.6</v>
      </c>
      <c r="J22" t="n">
        <v>4.2</v>
      </c>
      <c r="K22" t="n">
        <v>81</v>
      </c>
      <c r="L22" t="n">
        <v>10</v>
      </c>
      <c r="M22" t="n">
        <v>8.9</v>
      </c>
      <c r="N22" t="n">
        <v>86.59999999999999</v>
      </c>
      <c r="O22" t="n">
        <v>6.4</v>
      </c>
      <c r="P22" t="n">
        <v>7</v>
      </c>
      <c r="Q22" t="n">
        <v>73.7</v>
      </c>
      <c r="R22" t="n">
        <v>5</v>
      </c>
      <c r="S22" t="n">
        <v>21.2</v>
      </c>
      <c r="T22" t="n">
        <v>85.90000000000001</v>
      </c>
      <c r="U22" t="n">
        <v>0.2</v>
      </c>
      <c r="V22" t="n">
        <v>13.9</v>
      </c>
      <c r="W22" t="n">
        <v>85.59999999999999</v>
      </c>
      <c r="X22" t="n">
        <v>0.3</v>
      </c>
      <c r="Y22" t="n">
        <v>14.1</v>
      </c>
      <c r="Z22" t="n">
        <v>79.5</v>
      </c>
      <c r="AA22" t="n">
        <v>1</v>
      </c>
      <c r="AB22" t="n">
        <v>19.5</v>
      </c>
      <c r="AC22" t="n">
        <v>89.09999999999999</v>
      </c>
      <c r="AD22" t="n">
        <v>0</v>
      </c>
      <c r="AE22" t="n">
        <v>10.9</v>
      </c>
      <c r="AF22" t="n">
        <v>94.59999999999999</v>
      </c>
      <c r="AG22" t="n">
        <v>0</v>
      </c>
      <c r="AH22" t="n">
        <v>5.4</v>
      </c>
      <c r="AI22" t="n">
        <v>61.7</v>
      </c>
      <c r="AJ22" t="n">
        <v>4.7</v>
      </c>
      <c r="AK22" t="n">
        <v>33.5</v>
      </c>
    </row>
    <row r="23">
      <c r="A23" t="inlineStr">
        <is>
          <t>Ratanak Kiri</t>
        </is>
      </c>
      <c r="B23" t="n">
        <v>82</v>
      </c>
      <c r="C23" t="n">
        <v>9.5</v>
      </c>
      <c r="D23" t="n">
        <v>8.5</v>
      </c>
      <c r="E23" t="n">
        <v>86.59999999999999</v>
      </c>
      <c r="F23" t="n">
        <v>7.6</v>
      </c>
      <c r="G23" t="n">
        <v>5.8</v>
      </c>
      <c r="H23" t="n">
        <v>86.7</v>
      </c>
      <c r="I23" t="n">
        <v>6.7</v>
      </c>
      <c r="J23" t="n">
        <v>6.7</v>
      </c>
      <c r="K23" t="n">
        <v>84.09999999999999</v>
      </c>
      <c r="L23" t="n">
        <v>5</v>
      </c>
      <c r="M23" t="n">
        <v>10.9</v>
      </c>
      <c r="N23" t="n">
        <v>84</v>
      </c>
      <c r="O23" t="n">
        <v>3.5</v>
      </c>
      <c r="P23" t="n">
        <v>12.5</v>
      </c>
      <c r="Q23" t="n">
        <v>65.3</v>
      </c>
      <c r="R23" t="n">
        <v>3.1</v>
      </c>
      <c r="S23" t="n">
        <v>31.7</v>
      </c>
      <c r="T23" t="n">
        <v>81.90000000000001</v>
      </c>
      <c r="U23" t="n">
        <v>0.2</v>
      </c>
      <c r="V23" t="n">
        <v>17.9</v>
      </c>
      <c r="W23" t="n">
        <v>89.40000000000001</v>
      </c>
      <c r="X23" t="n">
        <v>0</v>
      </c>
      <c r="Y23" t="n">
        <v>10.6</v>
      </c>
      <c r="Z23" t="n">
        <v>57.2</v>
      </c>
      <c r="AA23" t="n">
        <v>4</v>
      </c>
      <c r="AB23" t="n">
        <v>38.8</v>
      </c>
      <c r="AC23" t="n">
        <v>81.2</v>
      </c>
      <c r="AD23" t="n">
        <v>0.2</v>
      </c>
      <c r="AE23" t="n">
        <v>18.6</v>
      </c>
      <c r="AF23" t="n">
        <v>84.5</v>
      </c>
      <c r="AG23" t="n">
        <v>0</v>
      </c>
      <c r="AH23" t="n">
        <v>15.5</v>
      </c>
      <c r="AI23" t="n">
        <v>78.8</v>
      </c>
      <c r="AJ23" t="n">
        <v>1.7</v>
      </c>
      <c r="AK23" t="n">
        <v>19.5</v>
      </c>
    </row>
    <row r="24">
      <c r="A24" t="inlineStr">
        <is>
          <t>Siemreap</t>
        </is>
      </c>
      <c r="B24" t="n">
        <v>73.3</v>
      </c>
      <c r="C24" t="n">
        <v>21.5</v>
      </c>
      <c r="D24" t="n">
        <v>5.2</v>
      </c>
      <c r="E24" t="n">
        <v>80.59999999999999</v>
      </c>
      <c r="F24" t="n">
        <v>13.9</v>
      </c>
      <c r="G24" t="n">
        <v>5.5</v>
      </c>
      <c r="H24" t="n">
        <v>83.2</v>
      </c>
      <c r="I24" t="n">
        <v>12.2</v>
      </c>
      <c r="J24" t="n">
        <v>4.6</v>
      </c>
      <c r="K24" t="n">
        <v>83.5</v>
      </c>
      <c r="L24" t="n">
        <v>9.300000000000001</v>
      </c>
      <c r="M24" t="n">
        <v>7.2</v>
      </c>
      <c r="N24" t="n">
        <v>84.7</v>
      </c>
      <c r="O24" t="n">
        <v>7.3</v>
      </c>
      <c r="P24" t="n">
        <v>8</v>
      </c>
      <c r="Q24" t="n">
        <v>63.9</v>
      </c>
      <c r="R24" t="n">
        <v>5.2</v>
      </c>
      <c r="S24" t="n">
        <v>30.8</v>
      </c>
      <c r="T24" t="n">
        <v>82.7</v>
      </c>
      <c r="U24" t="n">
        <v>3.8</v>
      </c>
      <c r="V24" t="n">
        <v>13.5</v>
      </c>
      <c r="W24" t="n">
        <v>84</v>
      </c>
      <c r="X24" t="n">
        <v>2.6</v>
      </c>
      <c r="Y24" t="n">
        <v>13.3</v>
      </c>
      <c r="Z24" t="n">
        <v>64</v>
      </c>
      <c r="AA24" t="n">
        <v>3.7</v>
      </c>
      <c r="AB24" t="n">
        <v>32.3</v>
      </c>
      <c r="AC24" t="n">
        <v>86.7</v>
      </c>
      <c r="AD24" t="n">
        <v>1.6</v>
      </c>
      <c r="AE24" t="n">
        <v>11.7</v>
      </c>
      <c r="AF24" t="n">
        <v>90.59999999999999</v>
      </c>
      <c r="AG24" t="n">
        <v>1.3</v>
      </c>
      <c r="AH24" t="n">
        <v>8.1</v>
      </c>
      <c r="AI24" t="n">
        <v>69.09999999999999</v>
      </c>
      <c r="AJ24" t="n">
        <v>1.8</v>
      </c>
      <c r="AK24" t="n">
        <v>29.1</v>
      </c>
    </row>
    <row r="25">
      <c r="A25" t="inlineStr">
        <is>
          <t>Stung Treng</t>
        </is>
      </c>
      <c r="B25" t="n">
        <v>71.3</v>
      </c>
      <c r="C25" t="n">
        <v>24.7</v>
      </c>
      <c r="D25" t="n">
        <v>4</v>
      </c>
      <c r="E25" t="n">
        <v>76.7</v>
      </c>
      <c r="F25" t="n">
        <v>16.6</v>
      </c>
      <c r="G25" t="n">
        <v>6.8</v>
      </c>
      <c r="H25" t="n">
        <v>78.59999999999999</v>
      </c>
      <c r="I25" t="n">
        <v>13</v>
      </c>
      <c r="J25" t="n">
        <v>8.300000000000001</v>
      </c>
      <c r="K25" t="n">
        <v>77.7</v>
      </c>
      <c r="L25" t="n">
        <v>11.2</v>
      </c>
      <c r="M25" t="n">
        <v>11.2</v>
      </c>
      <c r="N25" t="n">
        <v>83.7</v>
      </c>
      <c r="O25" t="n">
        <v>7.6</v>
      </c>
      <c r="P25" t="n">
        <v>8.800000000000001</v>
      </c>
      <c r="Q25" t="n">
        <v>45.9</v>
      </c>
      <c r="R25" t="n">
        <v>5.2</v>
      </c>
      <c r="S25" t="n">
        <v>49</v>
      </c>
      <c r="T25" t="n">
        <v>76.7</v>
      </c>
      <c r="U25" t="n">
        <v>1</v>
      </c>
      <c r="V25" t="n">
        <v>22.2</v>
      </c>
      <c r="W25" t="n">
        <v>87.2</v>
      </c>
      <c r="X25" t="n">
        <v>0.8</v>
      </c>
      <c r="Y25" t="n">
        <v>12</v>
      </c>
      <c r="Z25" t="n">
        <v>64.90000000000001</v>
      </c>
      <c r="AA25" t="n">
        <v>1.3</v>
      </c>
      <c r="AB25" t="n">
        <v>33.8</v>
      </c>
      <c r="AC25" t="n">
        <v>77.3</v>
      </c>
      <c r="AD25" t="n">
        <v>0</v>
      </c>
      <c r="AE25" t="n">
        <v>22.7</v>
      </c>
      <c r="AF25" t="n">
        <v>94.59999999999999</v>
      </c>
      <c r="AG25" t="n">
        <v>0.3</v>
      </c>
      <c r="AH25" t="n">
        <v>5.1</v>
      </c>
      <c r="AI25" t="n">
        <v>83.09999999999999</v>
      </c>
      <c r="AJ25" t="n">
        <v>2.3</v>
      </c>
      <c r="AK25" t="n">
        <v>14.7</v>
      </c>
    </row>
    <row r="26">
      <c r="A26" t="inlineStr">
        <is>
          <t>Svay Rieng</t>
        </is>
      </c>
      <c r="B26" t="n">
        <v>86.40000000000001</v>
      </c>
      <c r="C26" t="n">
        <v>12.5</v>
      </c>
      <c r="D26" t="n">
        <v>1.1</v>
      </c>
      <c r="E26" t="n">
        <v>88.7</v>
      </c>
      <c r="F26" t="n">
        <v>8.300000000000001</v>
      </c>
      <c r="G26" t="n">
        <v>3</v>
      </c>
      <c r="H26" t="n">
        <v>90.90000000000001</v>
      </c>
      <c r="I26" t="n">
        <v>6.7</v>
      </c>
      <c r="J26" t="n">
        <v>2.4</v>
      </c>
      <c r="K26" t="n">
        <v>90.8</v>
      </c>
      <c r="L26" t="n">
        <v>6.1</v>
      </c>
      <c r="M26" t="n">
        <v>3.1</v>
      </c>
      <c r="N26" t="n">
        <v>91.3</v>
      </c>
      <c r="O26" t="n">
        <v>4.3</v>
      </c>
      <c r="P26" t="n">
        <v>4.4</v>
      </c>
      <c r="Q26" t="n">
        <v>73.8</v>
      </c>
      <c r="R26" t="n">
        <v>3.4</v>
      </c>
      <c r="S26" t="n">
        <v>22.8</v>
      </c>
      <c r="T26" t="n">
        <v>87.2</v>
      </c>
      <c r="U26" t="n">
        <v>0.7</v>
      </c>
      <c r="V26" t="n">
        <v>12.1</v>
      </c>
      <c r="W26" t="n">
        <v>83.90000000000001</v>
      </c>
      <c r="X26" t="n">
        <v>0.4</v>
      </c>
      <c r="Y26" t="n">
        <v>15.7</v>
      </c>
      <c r="Z26" t="n">
        <v>59.7</v>
      </c>
      <c r="AA26" t="n">
        <v>1.5</v>
      </c>
      <c r="AB26" t="n">
        <v>38.8</v>
      </c>
      <c r="AC26" t="n">
        <v>83.3</v>
      </c>
      <c r="AD26" t="n">
        <v>0</v>
      </c>
      <c r="AE26" t="n">
        <v>16.6</v>
      </c>
      <c r="AF26" t="n">
        <v>89.59999999999999</v>
      </c>
      <c r="AG26" t="n">
        <v>0.1</v>
      </c>
      <c r="AH26" t="n">
        <v>10.3</v>
      </c>
      <c r="AI26" t="n">
        <v>48.2</v>
      </c>
      <c r="AJ26" t="n">
        <v>1.7</v>
      </c>
      <c r="AK26" t="n">
        <v>50.1</v>
      </c>
    </row>
    <row r="27">
      <c r="A27" t="inlineStr">
        <is>
          <t>Takeo</t>
        </is>
      </c>
      <c r="B27" t="n">
        <v>84.3</v>
      </c>
      <c r="C27" t="n">
        <v>14.6</v>
      </c>
      <c r="D27" t="n">
        <v>1.1</v>
      </c>
      <c r="E27" t="n">
        <v>86.3</v>
      </c>
      <c r="F27" t="n">
        <v>11.6</v>
      </c>
      <c r="G27" t="n">
        <v>2.1</v>
      </c>
      <c r="H27" t="n">
        <v>88.40000000000001</v>
      </c>
      <c r="I27" t="n">
        <v>9.9</v>
      </c>
      <c r="J27" t="n">
        <v>1.8</v>
      </c>
      <c r="K27" t="n">
        <v>89.40000000000001</v>
      </c>
      <c r="L27" t="n">
        <v>7.7</v>
      </c>
      <c r="M27" t="n">
        <v>2.9</v>
      </c>
      <c r="N27" t="n">
        <v>89.7</v>
      </c>
      <c r="O27" t="n">
        <v>6.8</v>
      </c>
      <c r="P27" t="n">
        <v>3.5</v>
      </c>
      <c r="Q27" t="n">
        <v>82.90000000000001</v>
      </c>
      <c r="R27" t="n">
        <v>6.1</v>
      </c>
      <c r="S27" t="n">
        <v>11</v>
      </c>
      <c r="T27" t="n">
        <v>91.59999999999999</v>
      </c>
      <c r="U27" t="n">
        <v>1.4</v>
      </c>
      <c r="V27" t="n">
        <v>7</v>
      </c>
      <c r="W27" t="n">
        <v>90.2</v>
      </c>
      <c r="X27" t="n">
        <v>2.2</v>
      </c>
      <c r="Y27" t="n">
        <v>7.6</v>
      </c>
      <c r="Z27" t="n">
        <v>77.7</v>
      </c>
      <c r="AA27" t="n">
        <v>1.9</v>
      </c>
      <c r="AB27" t="n">
        <v>20.4</v>
      </c>
      <c r="AC27" t="n">
        <v>89</v>
      </c>
      <c r="AD27" t="n">
        <v>0.3</v>
      </c>
      <c r="AE27" t="n">
        <v>10.7</v>
      </c>
      <c r="AF27" t="n">
        <v>90.7</v>
      </c>
      <c r="AG27" t="n">
        <v>0.3</v>
      </c>
      <c r="AH27" t="n">
        <v>9</v>
      </c>
      <c r="AI27" t="n">
        <v>61.5</v>
      </c>
      <c r="AJ27" t="n">
        <v>2.2</v>
      </c>
      <c r="AK27" t="n">
        <v>36.3</v>
      </c>
    </row>
    <row r="28">
      <c r="A28" t="inlineStr">
        <is>
          <t>Tbaung Khmum</t>
        </is>
      </c>
      <c r="B28" t="n">
        <v>79</v>
      </c>
      <c r="C28" t="n">
        <v>16.8</v>
      </c>
      <c r="D28" t="n">
        <v>4.2</v>
      </c>
      <c r="E28" t="n">
        <v>82</v>
      </c>
      <c r="F28" t="n">
        <v>12.2</v>
      </c>
      <c r="G28" t="n">
        <v>5.8</v>
      </c>
      <c r="H28" t="n">
        <v>84.59999999999999</v>
      </c>
      <c r="I28" t="n">
        <v>10.1</v>
      </c>
      <c r="J28" t="n">
        <v>5.3</v>
      </c>
      <c r="K28" t="n">
        <v>84.09999999999999</v>
      </c>
      <c r="L28" t="n">
        <v>7.8</v>
      </c>
      <c r="M28" t="n">
        <v>8.199999999999999</v>
      </c>
      <c r="N28" t="n">
        <v>85.8</v>
      </c>
      <c r="O28" t="n">
        <v>6.5</v>
      </c>
      <c r="P28" t="n">
        <v>7.7</v>
      </c>
      <c r="Q28" t="n">
        <v>57.4</v>
      </c>
      <c r="R28" t="n">
        <v>4.3</v>
      </c>
      <c r="S28" t="n">
        <v>38.2</v>
      </c>
      <c r="T28" t="n">
        <v>85.59999999999999</v>
      </c>
      <c r="U28" t="n">
        <v>1.5</v>
      </c>
      <c r="V28" t="n">
        <v>13</v>
      </c>
      <c r="W28" t="n">
        <v>83.2</v>
      </c>
      <c r="X28" t="n">
        <v>0.9</v>
      </c>
      <c r="Y28" t="n">
        <v>15.9</v>
      </c>
      <c r="Z28" t="n">
        <v>52.1</v>
      </c>
      <c r="AA28" t="n">
        <v>4.2</v>
      </c>
      <c r="AB28" t="n">
        <v>43.8</v>
      </c>
      <c r="AC28" t="n">
        <v>83.5</v>
      </c>
      <c r="AD28" t="n">
        <v>0.7</v>
      </c>
      <c r="AE28" t="n">
        <v>15.8</v>
      </c>
      <c r="AF28" t="n">
        <v>94</v>
      </c>
      <c r="AG28" t="n">
        <v>0.5</v>
      </c>
      <c r="AH28" t="n">
        <v>5.4</v>
      </c>
      <c r="AI28" t="n">
        <v>49.7</v>
      </c>
      <c r="AJ28" t="n">
        <v>3.8</v>
      </c>
      <c r="AK28" t="n">
        <v>46.5</v>
      </c>
    </row>
    <row r="29">
      <c r="A29" t="inlineStr">
        <is>
          <t>Whole Kingdom</t>
        </is>
      </c>
      <c r="B29" t="n">
        <v>80.5</v>
      </c>
      <c r="C29" t="n">
        <v>15.8</v>
      </c>
      <c r="D29" t="n">
        <v>3.7</v>
      </c>
      <c r="E29" t="n">
        <v>83.8</v>
      </c>
      <c r="F29" t="n">
        <v>11.7</v>
      </c>
      <c r="G29" t="n">
        <v>4.5</v>
      </c>
      <c r="H29" t="n">
        <v>85.09999999999999</v>
      </c>
      <c r="I29" t="n">
        <v>10</v>
      </c>
      <c r="J29" t="n">
        <v>4.9</v>
      </c>
      <c r="K29" t="n">
        <v>85.3</v>
      </c>
      <c r="L29" t="n">
        <v>8.1</v>
      </c>
      <c r="M29" t="n">
        <v>6.6</v>
      </c>
      <c r="N29" t="n">
        <v>87.40000000000001</v>
      </c>
      <c r="O29" t="n">
        <v>5.9</v>
      </c>
      <c r="P29" t="n">
        <v>6.6</v>
      </c>
      <c r="Q29" t="n">
        <v>70.8</v>
      </c>
      <c r="R29" t="n">
        <v>4.5</v>
      </c>
      <c r="S29" t="n">
        <v>24.8</v>
      </c>
      <c r="T29" t="n">
        <v>86.40000000000001</v>
      </c>
      <c r="U29" t="n">
        <v>1.3</v>
      </c>
      <c r="V29" t="n">
        <v>12.3</v>
      </c>
      <c r="W29" t="n">
        <v>86.5</v>
      </c>
      <c r="X29" t="n">
        <v>1.2</v>
      </c>
      <c r="Y29" t="n">
        <v>12.3</v>
      </c>
      <c r="Z29" t="n">
        <v>67.5</v>
      </c>
      <c r="AA29" t="n">
        <v>2.7</v>
      </c>
      <c r="AB29" t="n">
        <v>29.8</v>
      </c>
      <c r="AC29" t="n">
        <v>86.09999999999999</v>
      </c>
      <c r="AD29" t="n">
        <v>0.6</v>
      </c>
      <c r="AE29" t="n">
        <v>13.3</v>
      </c>
      <c r="AF29" t="n">
        <v>92.40000000000001</v>
      </c>
      <c r="AG29" t="n">
        <v>0.4</v>
      </c>
      <c r="AH29" t="n">
        <v>7.2</v>
      </c>
      <c r="AI29" t="n">
        <v>55.5</v>
      </c>
      <c r="AJ29" t="n">
        <v>3.2</v>
      </c>
      <c r="AK29" t="n">
        <v>41.3</v>
      </c>
    </row>
    <row r="30">
      <c r="A30" t="inlineStr">
        <is>
          <t>- Urban Area</t>
        </is>
      </c>
      <c r="B30" t="n">
        <v>76.59999999999999</v>
      </c>
      <c r="C30" t="n">
        <v>16.6</v>
      </c>
      <c r="D30" t="n">
        <v>6.8</v>
      </c>
      <c r="E30" t="n">
        <v>84.09999999999999</v>
      </c>
      <c r="F30" t="n">
        <v>10.8</v>
      </c>
      <c r="G30" t="n">
        <v>5.1</v>
      </c>
      <c r="H30" t="n">
        <v>86.59999999999999</v>
      </c>
      <c r="I30" t="n">
        <v>8.5</v>
      </c>
      <c r="J30" t="n">
        <v>4.9</v>
      </c>
      <c r="K30" t="n">
        <v>87.40000000000001</v>
      </c>
      <c r="L30" t="n">
        <v>6.6</v>
      </c>
      <c r="M30" t="n">
        <v>6.1</v>
      </c>
      <c r="N30" t="n">
        <v>89.5</v>
      </c>
      <c r="O30" t="n">
        <v>4.4</v>
      </c>
      <c r="P30" t="n">
        <v>6.1</v>
      </c>
      <c r="Q30" t="n">
        <v>67.7</v>
      </c>
      <c r="R30" t="n">
        <v>2.9</v>
      </c>
      <c r="S30" t="n">
        <v>29.4</v>
      </c>
      <c r="T30" t="n">
        <v>90.3</v>
      </c>
      <c r="U30" t="n">
        <v>1.9</v>
      </c>
      <c r="V30" t="n">
        <v>7.8</v>
      </c>
      <c r="W30" t="n">
        <v>93.2</v>
      </c>
      <c r="X30" t="n">
        <v>1.6</v>
      </c>
      <c r="Y30" t="n">
        <v>5.2</v>
      </c>
      <c r="Z30" t="n">
        <v>70.09999999999999</v>
      </c>
      <c r="AA30" t="n">
        <v>3.7</v>
      </c>
      <c r="AB30" t="n">
        <v>26.2</v>
      </c>
      <c r="AC30" t="n">
        <v>90</v>
      </c>
      <c r="AD30" t="n">
        <v>0.8</v>
      </c>
      <c r="AE30" t="n">
        <v>9.199999999999999</v>
      </c>
      <c r="AF30" t="n">
        <v>99.59999999999999</v>
      </c>
      <c r="AG30" t="n">
        <v>0.4</v>
      </c>
      <c r="AH30" t="n">
        <v>0</v>
      </c>
      <c r="AI30" t="n">
        <v>52.8</v>
      </c>
      <c r="AJ30" t="n">
        <v>4.4</v>
      </c>
      <c r="AK30" t="n">
        <v>42.8</v>
      </c>
    </row>
    <row r="31">
      <c r="A31" t="inlineStr">
        <is>
          <t>- Rural Area</t>
        </is>
      </c>
      <c r="B31" t="n">
        <v>81.3</v>
      </c>
      <c r="C31" t="n">
        <v>15.7</v>
      </c>
      <c r="D31" t="n">
        <v>3.1</v>
      </c>
      <c r="E31" t="n">
        <v>83.8</v>
      </c>
      <c r="F31" t="n">
        <v>11.8</v>
      </c>
      <c r="G31" t="n">
        <v>4.4</v>
      </c>
      <c r="H31" t="n">
        <v>84.7</v>
      </c>
      <c r="I31" t="n">
        <v>10.3</v>
      </c>
      <c r="J31" t="n">
        <v>4.9</v>
      </c>
      <c r="K31" t="n">
        <v>84.90000000000001</v>
      </c>
      <c r="L31" t="n">
        <v>8.4</v>
      </c>
      <c r="M31" t="n">
        <v>6.7</v>
      </c>
      <c r="N31" t="n">
        <v>87</v>
      </c>
      <c r="O31" t="n">
        <v>6.3</v>
      </c>
      <c r="P31" t="n">
        <v>6.7</v>
      </c>
      <c r="Q31" t="n">
        <v>71.40000000000001</v>
      </c>
      <c r="R31" t="n">
        <v>4.8</v>
      </c>
      <c r="S31" t="n">
        <v>23.7</v>
      </c>
      <c r="T31" t="n">
        <v>85.40000000000001</v>
      </c>
      <c r="U31" t="n">
        <v>1.2</v>
      </c>
      <c r="V31" t="n">
        <v>13.5</v>
      </c>
      <c r="W31" t="n">
        <v>84.59999999999999</v>
      </c>
      <c r="X31" t="n">
        <v>1.1</v>
      </c>
      <c r="Y31" t="n">
        <v>14.3</v>
      </c>
      <c r="Z31" t="n">
        <v>66.7</v>
      </c>
      <c r="AA31" t="n">
        <v>2.4</v>
      </c>
      <c r="AB31" t="n">
        <v>30.8</v>
      </c>
      <c r="AC31" t="n">
        <v>84.40000000000001</v>
      </c>
      <c r="AD31" t="n">
        <v>0.5</v>
      </c>
      <c r="AE31" t="n">
        <v>15</v>
      </c>
      <c r="AF31" t="n">
        <v>89.2</v>
      </c>
      <c r="AG31" t="n">
        <v>0.5</v>
      </c>
      <c r="AH31" t="n">
        <v>10.4</v>
      </c>
      <c r="AI31" t="n">
        <v>56.9</v>
      </c>
      <c r="AJ31" t="n">
        <v>2.6</v>
      </c>
      <c r="AK31" t="n">
        <v>40.5</v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0B0F0"/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4.5703125" customWidth="1" min="1" max="1"/>
    <col width="6.28515625" customWidth="1" min="2" max="2"/>
    <col width="4.42578125" customWidth="1" min="3" max="3"/>
    <col width="6.28515625" customWidth="1" min="5" max="5"/>
    <col width="4.42578125" customWidth="1" min="6" max="6"/>
    <col width="6.28515625" customWidth="1" min="8" max="8"/>
    <col width="4.42578125" customWidth="1" min="9" max="9"/>
    <col width="6.28515625" customWidth="1" min="11" max="11"/>
    <col width="5.42578125" customWidth="1" min="12" max="12"/>
    <col width="5.140625" customWidth="1" min="13" max="13"/>
    <col width="6.28515625" customWidth="1" min="14" max="14"/>
    <col width="5.42578125" customWidth="1" min="15" max="15"/>
    <col width="6.28515625" customWidth="1" min="17" max="17"/>
    <col width="4.42578125" customWidth="1" min="18" max="18"/>
    <col width="5.140625" customWidth="1" min="19" max="19"/>
    <col width="6.28515625" customWidth="1" min="20" max="20"/>
    <col width="4.42578125" customWidth="1" min="21" max="21"/>
  </cols>
  <sheetData>
    <row r="1">
      <c r="A1" t="inlineStr">
        <is>
          <t>Table 25:  Servival Rate And Completion Rate</t>
        </is>
      </c>
    </row>
    <row r="2">
      <c r="A2" t="inlineStr">
        <is>
          <t>Province</t>
        </is>
      </c>
      <c r="B2" t="inlineStr">
        <is>
          <t>Servival Rate  2020/2021</t>
        </is>
      </c>
      <c r="N2" t="inlineStr">
        <is>
          <t>Completion rate 2021/2022</t>
        </is>
      </c>
    </row>
    <row r="3">
      <c r="B3" t="inlineStr">
        <is>
          <t>Grade5</t>
        </is>
      </c>
      <c r="E3" t="inlineStr">
        <is>
          <t>Primary</t>
        </is>
      </c>
      <c r="H3" t="inlineStr">
        <is>
          <t>Lower secondary</t>
        </is>
      </c>
      <c r="K3" t="inlineStr">
        <is>
          <t>Upper secondary</t>
        </is>
      </c>
      <c r="N3" t="inlineStr">
        <is>
          <t>Primary</t>
        </is>
      </c>
      <c r="Q3" t="inlineStr">
        <is>
          <t>Lower secondary</t>
        </is>
      </c>
      <c r="T3" t="inlineStr">
        <is>
          <t>Upper secondary</t>
        </is>
      </c>
    </row>
    <row r="4">
      <c r="B4" t="inlineStr">
        <is>
          <t>Total</t>
        </is>
      </c>
      <c r="C4" t="inlineStr">
        <is>
          <t>Girl</t>
        </is>
      </c>
      <c r="D4" t="inlineStr">
        <is>
          <t>Boy</t>
        </is>
      </c>
      <c r="E4" t="inlineStr">
        <is>
          <t>Total</t>
        </is>
      </c>
      <c r="F4" t="inlineStr">
        <is>
          <t>Girl</t>
        </is>
      </c>
      <c r="G4" t="inlineStr">
        <is>
          <t>Boy</t>
        </is>
      </c>
      <c r="H4" t="inlineStr">
        <is>
          <t>Total</t>
        </is>
      </c>
      <c r="I4" t="inlineStr">
        <is>
          <t>Girl</t>
        </is>
      </c>
      <c r="J4" t="inlineStr">
        <is>
          <t>Boy</t>
        </is>
      </c>
      <c r="K4" t="inlineStr">
        <is>
          <t>Total</t>
        </is>
      </c>
      <c r="L4" t="inlineStr">
        <is>
          <t>Girl</t>
        </is>
      </c>
      <c r="M4" t="inlineStr">
        <is>
          <t>Boy</t>
        </is>
      </c>
      <c r="N4" t="inlineStr">
        <is>
          <t>Total</t>
        </is>
      </c>
      <c r="O4" t="inlineStr">
        <is>
          <t>Girl</t>
        </is>
      </c>
      <c r="P4" t="inlineStr">
        <is>
          <t>Boy</t>
        </is>
      </c>
      <c r="Q4" t="inlineStr">
        <is>
          <t>Total</t>
        </is>
      </c>
      <c r="R4" t="inlineStr">
        <is>
          <t>Girl</t>
        </is>
      </c>
      <c r="S4" t="inlineStr">
        <is>
          <t>Boy</t>
        </is>
      </c>
      <c r="T4" t="inlineStr">
        <is>
          <t>Total</t>
        </is>
      </c>
      <c r="U4" t="inlineStr">
        <is>
          <t>Girl</t>
        </is>
      </c>
      <c r="V4" t="inlineStr">
        <is>
          <t>Boy</t>
        </is>
      </c>
    </row>
    <row r="5">
      <c r="A5" t="inlineStr">
        <is>
          <t>Banteay Meanchey</t>
        </is>
      </c>
      <c r="B5" t="n">
        <v>79.09999999999999</v>
      </c>
      <c r="C5" t="n">
        <v>77.5</v>
      </c>
      <c r="D5" t="n">
        <v>80.59999999999999</v>
      </c>
      <c r="E5" t="n">
        <v>74.09999999999999</v>
      </c>
      <c r="F5" t="n">
        <v>73</v>
      </c>
      <c r="G5" t="n">
        <v>75.3</v>
      </c>
      <c r="H5" t="n">
        <v>54.1</v>
      </c>
      <c r="I5" t="n">
        <v>55.1</v>
      </c>
      <c r="J5" t="n">
        <v>52.9</v>
      </c>
      <c r="K5" t="n">
        <v>38.4</v>
      </c>
      <c r="L5" t="n">
        <v>40.4</v>
      </c>
      <c r="M5" t="n">
        <v>35.9</v>
      </c>
      <c r="N5" t="n">
        <v>82.2</v>
      </c>
      <c r="O5" t="n">
        <v>86.2</v>
      </c>
      <c r="P5" t="n">
        <v>78.59999999999999</v>
      </c>
      <c r="Q5" t="n">
        <v>44.9</v>
      </c>
      <c r="R5" t="n">
        <v>51</v>
      </c>
      <c r="S5" t="n">
        <v>39.4</v>
      </c>
      <c r="T5" t="n">
        <v>25.5</v>
      </c>
      <c r="U5" t="n">
        <v>30.8</v>
      </c>
      <c r="V5" t="n">
        <v>20.6</v>
      </c>
    </row>
    <row r="6">
      <c r="A6" t="inlineStr">
        <is>
          <t>Battambang</t>
        </is>
      </c>
      <c r="B6" t="n">
        <v>78.3</v>
      </c>
      <c r="C6" t="n">
        <v>82.3</v>
      </c>
      <c r="D6" t="n">
        <v>73.8</v>
      </c>
      <c r="E6" t="n">
        <v>71.5</v>
      </c>
      <c r="F6" t="n">
        <v>75.90000000000001</v>
      </c>
      <c r="G6" t="n">
        <v>66.7</v>
      </c>
      <c r="H6" t="n">
        <v>40.8</v>
      </c>
      <c r="I6" t="n">
        <v>45.5</v>
      </c>
      <c r="J6" t="n">
        <v>36.1</v>
      </c>
      <c r="K6" t="n">
        <v>23.4</v>
      </c>
      <c r="L6" t="n">
        <v>26.6</v>
      </c>
      <c r="M6" t="n">
        <v>20.3</v>
      </c>
      <c r="N6" t="n">
        <v>109.7</v>
      </c>
      <c r="O6" t="n">
        <v>114.3</v>
      </c>
      <c r="P6" t="n">
        <v>105.5</v>
      </c>
      <c r="Q6" t="n">
        <v>61.2</v>
      </c>
      <c r="R6" t="n">
        <v>68.7</v>
      </c>
      <c r="S6" t="n">
        <v>54.2</v>
      </c>
      <c r="T6" t="n">
        <v>35.5</v>
      </c>
      <c r="U6" t="n">
        <v>40.8</v>
      </c>
      <c r="V6" t="n">
        <v>30.5</v>
      </c>
    </row>
    <row r="7">
      <c r="A7" t="inlineStr">
        <is>
          <t>Kampong Cham</t>
        </is>
      </c>
      <c r="B7" t="n">
        <v>79.2</v>
      </c>
      <c r="C7" t="n">
        <v>84.3</v>
      </c>
      <c r="D7" t="n">
        <v>70.59999999999999</v>
      </c>
      <c r="E7" t="n">
        <v>74.3</v>
      </c>
      <c r="F7" t="n">
        <v>78.8</v>
      </c>
      <c r="G7" t="n">
        <v>66.5</v>
      </c>
      <c r="H7" t="n">
        <v>36.2</v>
      </c>
      <c r="I7" t="n">
        <v>45.1</v>
      </c>
      <c r="J7" t="n">
        <v>26.7</v>
      </c>
      <c r="K7" t="n">
        <v>18</v>
      </c>
      <c r="L7" t="n">
        <v>23</v>
      </c>
      <c r="M7" t="n">
        <v>12.8</v>
      </c>
      <c r="N7" t="n">
        <v>103.7</v>
      </c>
      <c r="O7" t="n">
        <v>104.3</v>
      </c>
      <c r="P7" t="n">
        <v>103.2</v>
      </c>
      <c r="Q7" t="n">
        <v>61.1</v>
      </c>
      <c r="R7" t="n">
        <v>67.8</v>
      </c>
      <c r="S7" t="n">
        <v>54.5</v>
      </c>
      <c r="T7" t="n">
        <v>40.1</v>
      </c>
      <c r="U7" t="n">
        <v>45.8</v>
      </c>
      <c r="V7" t="n">
        <v>34.5</v>
      </c>
    </row>
    <row r="8">
      <c r="A8" t="inlineStr">
        <is>
          <t>Kampong Chhnang</t>
        </is>
      </c>
      <c r="B8" t="n">
        <v>88.90000000000001</v>
      </c>
      <c r="C8" t="n">
        <v>90.7</v>
      </c>
      <c r="D8" t="n">
        <v>86.59999999999999</v>
      </c>
      <c r="E8" t="n">
        <v>84.7</v>
      </c>
      <c r="F8" t="n">
        <v>87.09999999999999</v>
      </c>
      <c r="G8" t="n">
        <v>81.90000000000001</v>
      </c>
      <c r="H8" t="n">
        <v>56.4</v>
      </c>
      <c r="I8" t="n">
        <v>58.8</v>
      </c>
      <c r="J8" t="n">
        <v>53.6</v>
      </c>
      <c r="K8" t="n">
        <v>27.5</v>
      </c>
      <c r="L8" t="n">
        <v>28.1</v>
      </c>
      <c r="M8" t="n">
        <v>26.9</v>
      </c>
      <c r="N8" t="n">
        <v>96.7</v>
      </c>
      <c r="O8" t="n">
        <v>99.59999999999999</v>
      </c>
      <c r="P8" t="n">
        <v>93.8</v>
      </c>
      <c r="Q8" t="n">
        <v>58.9</v>
      </c>
      <c r="R8" t="n">
        <v>65</v>
      </c>
      <c r="S8" t="n">
        <v>52.9</v>
      </c>
      <c r="T8" t="n">
        <v>34</v>
      </c>
      <c r="U8" t="n">
        <v>39.1</v>
      </c>
      <c r="V8" t="n">
        <v>28.9</v>
      </c>
    </row>
    <row r="9">
      <c r="A9" t="inlineStr">
        <is>
          <t>Kampong Speu</t>
        </is>
      </c>
      <c r="B9" t="n">
        <v>85.59999999999999</v>
      </c>
      <c r="C9" t="n">
        <v>83.09999999999999</v>
      </c>
      <c r="D9" t="n">
        <v>88.09999999999999</v>
      </c>
      <c r="E9" t="n">
        <v>80.40000000000001</v>
      </c>
      <c r="F9" t="n">
        <v>77.7</v>
      </c>
      <c r="G9" t="n">
        <v>83</v>
      </c>
      <c r="H9" t="n">
        <v>35.7</v>
      </c>
      <c r="I9" t="n">
        <v>32.7</v>
      </c>
      <c r="J9" t="n">
        <v>39.1</v>
      </c>
      <c r="K9" t="n">
        <v>11.1</v>
      </c>
      <c r="L9" t="n">
        <v>10.3</v>
      </c>
      <c r="M9" t="n">
        <v>12.1</v>
      </c>
      <c r="N9" t="n">
        <v>88.5</v>
      </c>
      <c r="O9" t="n">
        <v>88.7</v>
      </c>
      <c r="P9" t="n">
        <v>88.40000000000001</v>
      </c>
      <c r="Q9" t="n">
        <v>46</v>
      </c>
      <c r="R9" t="n">
        <v>48.9</v>
      </c>
      <c r="S9" t="n">
        <v>43.2</v>
      </c>
      <c r="T9" t="n">
        <v>23.6</v>
      </c>
      <c r="U9" t="n">
        <v>25.8</v>
      </c>
      <c r="V9" t="n">
        <v>21.4</v>
      </c>
    </row>
    <row r="10">
      <c r="A10" t="inlineStr">
        <is>
          <t>Kampong Thom</t>
        </is>
      </c>
      <c r="B10" t="n">
        <v>78.5</v>
      </c>
      <c r="C10" t="n">
        <v>81.8</v>
      </c>
      <c r="D10" t="n">
        <v>71.7</v>
      </c>
      <c r="E10" t="n">
        <v>71.59999999999999</v>
      </c>
      <c r="F10" t="n">
        <v>76</v>
      </c>
      <c r="G10" t="n">
        <v>64.2</v>
      </c>
      <c r="H10" t="n">
        <v>35.2</v>
      </c>
      <c r="I10" t="n">
        <v>38.2</v>
      </c>
      <c r="J10" t="n">
        <v>30.8</v>
      </c>
      <c r="K10" t="n">
        <v>20.6</v>
      </c>
      <c r="L10" t="n">
        <v>22.7</v>
      </c>
      <c r="M10" t="n">
        <v>17.6</v>
      </c>
      <c r="N10" t="n">
        <v>94.40000000000001</v>
      </c>
      <c r="O10" t="n">
        <v>100.1</v>
      </c>
      <c r="P10" t="n">
        <v>89.09999999999999</v>
      </c>
      <c r="Q10" t="n">
        <v>56</v>
      </c>
      <c r="R10" t="n">
        <v>61.1</v>
      </c>
      <c r="S10" t="n">
        <v>51.1</v>
      </c>
      <c r="T10" t="n">
        <v>35.5</v>
      </c>
      <c r="U10" t="n">
        <v>41.1</v>
      </c>
      <c r="V10" t="n">
        <v>30</v>
      </c>
    </row>
    <row r="11">
      <c r="A11" t="inlineStr">
        <is>
          <t>Kampot</t>
        </is>
      </c>
      <c r="B11" t="n">
        <v>81.7</v>
      </c>
      <c r="C11" t="n">
        <v>81.2</v>
      </c>
      <c r="D11" t="n">
        <v>82.2</v>
      </c>
      <c r="E11" t="n">
        <v>77.40000000000001</v>
      </c>
      <c r="F11" t="n">
        <v>77.09999999999999</v>
      </c>
      <c r="G11" t="n">
        <v>77.7</v>
      </c>
      <c r="H11" t="n">
        <v>48.9</v>
      </c>
      <c r="I11" t="n">
        <v>52.5</v>
      </c>
      <c r="J11" t="n">
        <v>45.3</v>
      </c>
      <c r="K11" t="n">
        <v>28.5</v>
      </c>
      <c r="L11" t="n">
        <v>30.4</v>
      </c>
      <c r="M11" t="n">
        <v>26.7</v>
      </c>
      <c r="N11" t="n">
        <v>89.59999999999999</v>
      </c>
      <c r="O11" t="n">
        <v>89</v>
      </c>
      <c r="P11" t="n">
        <v>90.09999999999999</v>
      </c>
      <c r="Q11" t="n">
        <v>58.5</v>
      </c>
      <c r="R11" t="n">
        <v>62.8</v>
      </c>
      <c r="S11" t="n">
        <v>54.3</v>
      </c>
      <c r="T11" t="n">
        <v>37.8</v>
      </c>
      <c r="U11" t="n">
        <v>41</v>
      </c>
      <c r="V11" t="n">
        <v>34.6</v>
      </c>
    </row>
    <row r="12">
      <c r="A12" t="inlineStr">
        <is>
          <t>Kandal</t>
        </is>
      </c>
      <c r="B12" t="n">
        <v>86</v>
      </c>
      <c r="C12" t="n">
        <v>86.40000000000001</v>
      </c>
      <c r="D12" t="n">
        <v>85.59999999999999</v>
      </c>
      <c r="E12" t="n">
        <v>81.40000000000001</v>
      </c>
      <c r="F12" t="n">
        <v>82.09999999999999</v>
      </c>
      <c r="G12" t="n">
        <v>80.7</v>
      </c>
      <c r="H12" t="n">
        <v>63.1</v>
      </c>
      <c r="I12" t="n">
        <v>64.7</v>
      </c>
      <c r="J12" t="n">
        <v>61.6</v>
      </c>
      <c r="K12" t="n">
        <v>42.5</v>
      </c>
      <c r="L12" t="n">
        <v>44.6</v>
      </c>
      <c r="M12" t="n">
        <v>40.2</v>
      </c>
      <c r="N12" t="n">
        <v>88.09999999999999</v>
      </c>
      <c r="O12" t="n">
        <v>88.59999999999999</v>
      </c>
      <c r="P12" t="n">
        <v>87.7</v>
      </c>
      <c r="Q12" t="n">
        <v>58.6</v>
      </c>
      <c r="R12" t="n">
        <v>62.4</v>
      </c>
      <c r="S12" t="n">
        <v>54.9</v>
      </c>
      <c r="T12" t="n">
        <v>35.8</v>
      </c>
      <c r="U12" t="n">
        <v>40.9</v>
      </c>
      <c r="V12" t="n">
        <v>30.9</v>
      </c>
    </row>
    <row r="13">
      <c r="A13" t="inlineStr">
        <is>
          <t>Kep</t>
        </is>
      </c>
      <c r="B13" t="n">
        <v>78.5</v>
      </c>
      <c r="C13" t="n">
        <v>76.90000000000001</v>
      </c>
      <c r="D13" t="n">
        <v>80.2</v>
      </c>
      <c r="E13" t="n">
        <v>71.5</v>
      </c>
      <c r="F13" t="n">
        <v>69</v>
      </c>
      <c r="G13" t="n">
        <v>74</v>
      </c>
      <c r="H13" t="n">
        <v>49.1</v>
      </c>
      <c r="I13" t="n">
        <v>49</v>
      </c>
      <c r="J13" t="n">
        <v>48.7</v>
      </c>
      <c r="K13" t="n">
        <v>37.1</v>
      </c>
      <c r="L13" t="n">
        <v>36.7</v>
      </c>
      <c r="M13" t="n">
        <v>36.8</v>
      </c>
      <c r="N13" t="n">
        <v>81.40000000000001</v>
      </c>
      <c r="O13" t="n">
        <v>81.40000000000001</v>
      </c>
      <c r="P13" t="n">
        <v>81.3</v>
      </c>
      <c r="Q13" t="n">
        <v>50.1</v>
      </c>
      <c r="R13" t="n">
        <v>54.6</v>
      </c>
      <c r="S13" t="n">
        <v>45.9</v>
      </c>
      <c r="T13" t="n">
        <v>37</v>
      </c>
      <c r="U13" t="n">
        <v>36.5</v>
      </c>
      <c r="V13" t="n">
        <v>37.4</v>
      </c>
    </row>
    <row r="14">
      <c r="A14" t="inlineStr">
        <is>
          <t>Koh Kong</t>
        </is>
      </c>
      <c r="B14" t="n">
        <v>71.40000000000001</v>
      </c>
      <c r="C14" t="n">
        <v>69</v>
      </c>
      <c r="D14" t="n">
        <v>73.7</v>
      </c>
      <c r="E14" t="n">
        <v>66.59999999999999</v>
      </c>
      <c r="F14" t="n">
        <v>63.8</v>
      </c>
      <c r="G14" t="n">
        <v>69.40000000000001</v>
      </c>
      <c r="H14" t="n">
        <v>36.3</v>
      </c>
      <c r="I14" t="n">
        <v>34.2</v>
      </c>
      <c r="J14" t="n">
        <v>38.4</v>
      </c>
      <c r="K14" t="n">
        <v>20.5</v>
      </c>
      <c r="L14" t="n">
        <v>20.6</v>
      </c>
      <c r="M14" t="n">
        <v>20.3</v>
      </c>
      <c r="N14" t="n">
        <v>90.2</v>
      </c>
      <c r="O14" t="n">
        <v>93.59999999999999</v>
      </c>
      <c r="P14" t="n">
        <v>87.2</v>
      </c>
      <c r="Q14" t="n">
        <v>58.2</v>
      </c>
      <c r="R14" t="n">
        <v>62.5</v>
      </c>
      <c r="S14" t="n">
        <v>54.5</v>
      </c>
      <c r="T14" t="n">
        <v>32.6</v>
      </c>
      <c r="U14" t="n">
        <v>35.9</v>
      </c>
      <c r="V14" t="n">
        <v>29.7</v>
      </c>
    </row>
    <row r="15">
      <c r="A15" t="inlineStr">
        <is>
          <t>Kratie</t>
        </is>
      </c>
      <c r="B15" t="n">
        <v>72.59999999999999</v>
      </c>
      <c r="C15" t="n">
        <v>77.90000000000001</v>
      </c>
      <c r="D15" t="n">
        <v>65.90000000000001</v>
      </c>
      <c r="E15" t="n">
        <v>64.3</v>
      </c>
      <c r="F15" t="n">
        <v>69.90000000000001</v>
      </c>
      <c r="G15" t="n">
        <v>57.6</v>
      </c>
      <c r="H15" t="n">
        <v>29.7</v>
      </c>
      <c r="I15" t="n">
        <v>33.4</v>
      </c>
      <c r="J15" t="n">
        <v>25.6</v>
      </c>
      <c r="K15" t="n">
        <v>17</v>
      </c>
      <c r="L15" t="n">
        <v>19.4</v>
      </c>
      <c r="M15" t="n">
        <v>14.4</v>
      </c>
      <c r="N15" t="n">
        <v>98.59999999999999</v>
      </c>
      <c r="O15" t="n">
        <v>107.1</v>
      </c>
      <c r="P15" t="n">
        <v>91</v>
      </c>
      <c r="Q15" t="n">
        <v>44</v>
      </c>
      <c r="R15" t="n">
        <v>49.7</v>
      </c>
      <c r="S15" t="n">
        <v>38.9</v>
      </c>
      <c r="T15" t="n">
        <v>25.5</v>
      </c>
      <c r="U15" t="n">
        <v>28.7</v>
      </c>
      <c r="V15" t="n">
        <v>22.5</v>
      </c>
    </row>
    <row r="16">
      <c r="A16" t="inlineStr">
        <is>
          <t>Mondul Kiri</t>
        </is>
      </c>
      <c r="B16" t="n">
        <v>76.2</v>
      </c>
      <c r="C16" t="n">
        <v>73.40000000000001</v>
      </c>
      <c r="D16" t="n">
        <v>79.59999999999999</v>
      </c>
      <c r="E16" t="n">
        <v>67.3</v>
      </c>
      <c r="F16" t="n">
        <v>65.8</v>
      </c>
      <c r="G16" t="n">
        <v>69</v>
      </c>
      <c r="H16" t="n">
        <v>42.5</v>
      </c>
      <c r="I16" t="n">
        <v>43.2</v>
      </c>
      <c r="J16" t="n">
        <v>41.8</v>
      </c>
      <c r="K16" t="n">
        <v>31.2</v>
      </c>
      <c r="L16" t="n">
        <v>26.7</v>
      </c>
      <c r="M16" t="n">
        <v>36.2</v>
      </c>
      <c r="N16" t="n">
        <v>98.7</v>
      </c>
      <c r="O16" t="n">
        <v>119.3</v>
      </c>
      <c r="P16" t="n">
        <v>81.09999999999999</v>
      </c>
      <c r="Q16" t="n">
        <v>46.4</v>
      </c>
      <c r="R16" t="n">
        <v>53.9</v>
      </c>
      <c r="S16" t="n">
        <v>40.1</v>
      </c>
      <c r="T16" t="n">
        <v>26.3</v>
      </c>
      <c r="U16" t="n">
        <v>31.2</v>
      </c>
      <c r="V16" t="n">
        <v>22</v>
      </c>
    </row>
    <row r="17">
      <c r="A17" t="inlineStr">
        <is>
          <t>Otdar Meanchey</t>
        </is>
      </c>
      <c r="B17" t="n">
        <v>73.5</v>
      </c>
      <c r="C17" t="n">
        <v>70.8</v>
      </c>
      <c r="D17" t="n">
        <v>76</v>
      </c>
      <c r="E17" t="n">
        <v>66.90000000000001</v>
      </c>
      <c r="F17" t="n">
        <v>64.90000000000001</v>
      </c>
      <c r="G17" t="n">
        <v>68.7</v>
      </c>
      <c r="H17" t="n">
        <v>31.1</v>
      </c>
      <c r="I17" t="n">
        <v>32</v>
      </c>
      <c r="J17" t="n">
        <v>29.9</v>
      </c>
      <c r="K17" t="n">
        <v>17.2</v>
      </c>
      <c r="L17" t="n">
        <v>18.2</v>
      </c>
      <c r="M17" t="n">
        <v>15.9</v>
      </c>
      <c r="N17" t="n">
        <v>84.90000000000001</v>
      </c>
      <c r="O17" t="n">
        <v>93.09999999999999</v>
      </c>
      <c r="P17" t="n">
        <v>77.7</v>
      </c>
      <c r="Q17" t="n">
        <v>46.6</v>
      </c>
      <c r="R17" t="n">
        <v>55.1</v>
      </c>
      <c r="S17" t="n">
        <v>39.1</v>
      </c>
      <c r="T17" t="n">
        <v>25.2</v>
      </c>
      <c r="U17" t="n">
        <v>28.7</v>
      </c>
      <c r="V17" t="n">
        <v>22</v>
      </c>
    </row>
    <row r="18">
      <c r="A18" t="inlineStr">
        <is>
          <t>Pailin</t>
        </is>
      </c>
      <c r="B18" t="n">
        <v>68.3</v>
      </c>
      <c r="C18" t="n">
        <v>69.59999999999999</v>
      </c>
      <c r="D18" t="n">
        <v>66.8</v>
      </c>
      <c r="E18" t="n">
        <v>61.7</v>
      </c>
      <c r="F18" t="n">
        <v>63.2</v>
      </c>
      <c r="G18" t="n">
        <v>60.1</v>
      </c>
      <c r="H18" t="n">
        <v>29.3</v>
      </c>
      <c r="I18" t="n">
        <v>30.6</v>
      </c>
      <c r="J18" t="n">
        <v>27.9</v>
      </c>
      <c r="K18" t="n">
        <v>17</v>
      </c>
      <c r="L18" t="n">
        <v>19.8</v>
      </c>
      <c r="M18" t="n">
        <v>14.1</v>
      </c>
      <c r="N18" t="n">
        <v>84.09999999999999</v>
      </c>
      <c r="O18" t="n">
        <v>89.40000000000001</v>
      </c>
      <c r="P18" t="n">
        <v>79.5</v>
      </c>
      <c r="Q18" t="n">
        <v>57</v>
      </c>
      <c r="R18" t="n">
        <v>67.7</v>
      </c>
      <c r="S18" t="n">
        <v>47.7</v>
      </c>
      <c r="T18" t="n">
        <v>32.6</v>
      </c>
      <c r="U18" t="n">
        <v>39</v>
      </c>
      <c r="V18" t="n">
        <v>26.9</v>
      </c>
    </row>
    <row r="19">
      <c r="A19" t="inlineStr">
        <is>
          <t>Phnom Penh</t>
        </is>
      </c>
      <c r="B19" t="n">
        <v>76.40000000000001</v>
      </c>
      <c r="C19" t="n">
        <v>76.09999999999999</v>
      </c>
      <c r="D19" t="n">
        <v>76.8</v>
      </c>
      <c r="E19" t="n">
        <v>72.5</v>
      </c>
      <c r="F19" t="n">
        <v>72.3</v>
      </c>
      <c r="G19" t="n">
        <v>72.5</v>
      </c>
      <c r="H19" t="n">
        <v>44.3</v>
      </c>
      <c r="I19" t="n">
        <v>44.6</v>
      </c>
      <c r="J19" t="n">
        <v>44</v>
      </c>
      <c r="K19" t="n">
        <v>0</v>
      </c>
      <c r="L19" t="n">
        <v>28.9</v>
      </c>
      <c r="M19" t="n">
        <v>0</v>
      </c>
      <c r="N19" t="n">
        <v>41.5</v>
      </c>
      <c r="O19" t="n">
        <v>40.9</v>
      </c>
      <c r="P19" t="n">
        <v>42.2</v>
      </c>
      <c r="Q19" t="n">
        <v>34.5</v>
      </c>
      <c r="R19" t="n">
        <v>35.4</v>
      </c>
      <c r="S19" t="n">
        <v>33.6</v>
      </c>
      <c r="T19" t="n">
        <v>28.7</v>
      </c>
      <c r="U19" t="n">
        <v>29.3</v>
      </c>
      <c r="V19" t="n">
        <v>28</v>
      </c>
    </row>
    <row r="20">
      <c r="A20" t="inlineStr">
        <is>
          <t>Preah Sihanouk</t>
        </is>
      </c>
      <c r="B20" t="n">
        <v>74.3</v>
      </c>
      <c r="C20" t="n">
        <v>72.2</v>
      </c>
      <c r="D20" t="n">
        <v>76.40000000000001</v>
      </c>
      <c r="E20" t="n">
        <v>68.3</v>
      </c>
      <c r="F20" t="n">
        <v>66.3</v>
      </c>
      <c r="G20" t="n">
        <v>70.2</v>
      </c>
      <c r="H20" t="n">
        <v>42.9</v>
      </c>
      <c r="I20" t="n">
        <v>41</v>
      </c>
      <c r="J20" t="n">
        <v>44.7</v>
      </c>
      <c r="K20" t="n">
        <v>27</v>
      </c>
      <c r="L20" t="n">
        <v>26.2</v>
      </c>
      <c r="M20" t="n">
        <v>27.7</v>
      </c>
      <c r="N20" t="n">
        <v>55.4</v>
      </c>
      <c r="O20" t="n">
        <v>61.8</v>
      </c>
      <c r="P20" t="n">
        <v>50.2</v>
      </c>
      <c r="Q20" t="n">
        <v>37</v>
      </c>
      <c r="R20" t="n">
        <v>39.8</v>
      </c>
      <c r="S20" t="n">
        <v>34.6</v>
      </c>
      <c r="T20" t="n">
        <v>21.7</v>
      </c>
      <c r="U20" t="n">
        <v>25.9</v>
      </c>
      <c r="V20" t="n">
        <v>18.3</v>
      </c>
    </row>
    <row r="21">
      <c r="A21" t="inlineStr">
        <is>
          <t>Preah Vihear</t>
        </is>
      </c>
      <c r="B21" t="n">
        <v>72.3</v>
      </c>
      <c r="C21" t="n">
        <v>72.59999999999999</v>
      </c>
      <c r="D21" t="n">
        <v>71.90000000000001</v>
      </c>
      <c r="E21" t="n">
        <v>66.09999999999999</v>
      </c>
      <c r="F21" t="n">
        <v>66.3</v>
      </c>
      <c r="G21" t="n">
        <v>65.7</v>
      </c>
      <c r="H21" t="n">
        <v>40.4</v>
      </c>
      <c r="I21" t="n">
        <v>40.8</v>
      </c>
      <c r="J21" t="n">
        <v>39.9</v>
      </c>
      <c r="K21" t="n">
        <v>23.4</v>
      </c>
      <c r="L21" t="n">
        <v>24.9</v>
      </c>
      <c r="M21" t="n">
        <v>21.7</v>
      </c>
      <c r="N21" t="n">
        <v>88</v>
      </c>
      <c r="O21" t="n">
        <v>99</v>
      </c>
      <c r="P21" t="n">
        <v>78.2</v>
      </c>
      <c r="Q21" t="n">
        <v>53.6</v>
      </c>
      <c r="R21" t="n">
        <v>63.3</v>
      </c>
      <c r="S21" t="n">
        <v>45</v>
      </c>
      <c r="T21" t="n">
        <v>30.1</v>
      </c>
      <c r="U21" t="n">
        <v>35.1</v>
      </c>
      <c r="V21" t="n">
        <v>25.6</v>
      </c>
    </row>
    <row r="22">
      <c r="A22" t="inlineStr">
        <is>
          <t>Prey Veng</t>
        </is>
      </c>
      <c r="B22" t="n">
        <v>87.59999999999999</v>
      </c>
      <c r="C22" t="n">
        <v>84.3</v>
      </c>
      <c r="D22" t="n">
        <v>90.8</v>
      </c>
      <c r="E22" t="n">
        <v>83.8</v>
      </c>
      <c r="F22" t="n">
        <v>80.40000000000001</v>
      </c>
      <c r="G22" t="n">
        <v>87</v>
      </c>
      <c r="H22" t="n">
        <v>49.2</v>
      </c>
      <c r="I22" t="n">
        <v>47.8</v>
      </c>
      <c r="J22" t="n">
        <v>50.6</v>
      </c>
      <c r="K22" t="n">
        <v>24.2</v>
      </c>
      <c r="L22" t="n">
        <v>24.2</v>
      </c>
      <c r="M22" t="n">
        <v>24.1</v>
      </c>
      <c r="N22" t="n">
        <v>102.3</v>
      </c>
      <c r="O22" t="n">
        <v>99.3</v>
      </c>
      <c r="P22" t="n">
        <v>105.4</v>
      </c>
      <c r="Q22" t="n">
        <v>59.1</v>
      </c>
      <c r="R22" t="n">
        <v>61.6</v>
      </c>
      <c r="S22" t="n">
        <v>56.5</v>
      </c>
      <c r="T22" t="n">
        <v>34.2</v>
      </c>
      <c r="U22" t="n">
        <v>37.4</v>
      </c>
      <c r="V22" t="n">
        <v>31</v>
      </c>
    </row>
    <row r="23">
      <c r="A23" t="inlineStr">
        <is>
          <t>Pursat</t>
        </is>
      </c>
      <c r="B23" t="n">
        <v>79.3</v>
      </c>
      <c r="C23" t="n">
        <v>82.2</v>
      </c>
      <c r="D23" t="n">
        <v>75.3</v>
      </c>
      <c r="E23" t="n">
        <v>73.90000000000001</v>
      </c>
      <c r="F23" t="n">
        <v>77</v>
      </c>
      <c r="G23" t="n">
        <v>69.7</v>
      </c>
      <c r="H23" t="n">
        <v>44.1</v>
      </c>
      <c r="I23" t="n">
        <v>47.7</v>
      </c>
      <c r="J23" t="n">
        <v>40</v>
      </c>
      <c r="K23" t="n">
        <v>28.5</v>
      </c>
      <c r="L23" t="n">
        <v>29.6</v>
      </c>
      <c r="M23" t="n">
        <v>27.1</v>
      </c>
      <c r="N23" t="n">
        <v>107.1</v>
      </c>
      <c r="O23" t="n">
        <v>113.6</v>
      </c>
      <c r="P23" t="n">
        <v>100.9</v>
      </c>
      <c r="Q23" t="n">
        <v>61.3</v>
      </c>
      <c r="R23" t="n">
        <v>66.3</v>
      </c>
      <c r="S23" t="n">
        <v>56.5</v>
      </c>
      <c r="T23" t="n">
        <v>34.8</v>
      </c>
      <c r="U23" t="n">
        <v>39.1</v>
      </c>
      <c r="V23" t="n">
        <v>30.7</v>
      </c>
    </row>
    <row r="24">
      <c r="A24" t="inlineStr">
        <is>
          <t>Ratanak Kiri</t>
        </is>
      </c>
      <c r="B24" t="n">
        <v>66.40000000000001</v>
      </c>
      <c r="C24" t="n">
        <v>62.9</v>
      </c>
      <c r="D24" t="n">
        <v>69.8</v>
      </c>
      <c r="E24" t="n">
        <v>57.8</v>
      </c>
      <c r="F24" t="n">
        <v>54.8</v>
      </c>
      <c r="G24" t="n">
        <v>60.7</v>
      </c>
      <c r="H24" t="n">
        <v>30.1</v>
      </c>
      <c r="I24" t="n">
        <v>30</v>
      </c>
      <c r="J24" t="n">
        <v>30</v>
      </c>
      <c r="K24" t="n">
        <v>13.4</v>
      </c>
      <c r="L24" t="n">
        <v>14.5</v>
      </c>
      <c r="M24" t="n">
        <v>12.3</v>
      </c>
      <c r="N24" t="n">
        <v>114.2</v>
      </c>
      <c r="O24" t="n">
        <v>125.8</v>
      </c>
      <c r="P24" t="n">
        <v>104.1</v>
      </c>
      <c r="Q24" t="n">
        <v>50.2</v>
      </c>
      <c r="R24" t="n">
        <v>54.9</v>
      </c>
      <c r="S24" t="n">
        <v>46.1</v>
      </c>
      <c r="T24" t="n">
        <v>29.3</v>
      </c>
      <c r="U24" t="n">
        <v>31.7</v>
      </c>
      <c r="V24" t="n">
        <v>27.2</v>
      </c>
    </row>
    <row r="25">
      <c r="A25" t="inlineStr">
        <is>
          <t>Siemreap</t>
        </is>
      </c>
      <c r="B25" t="n">
        <v>77.40000000000001</v>
      </c>
      <c r="C25" t="n">
        <v>78.5</v>
      </c>
      <c r="D25" t="n">
        <v>76.3</v>
      </c>
      <c r="E25" t="n">
        <v>71.5</v>
      </c>
      <c r="F25" t="n">
        <v>73.2</v>
      </c>
      <c r="G25" t="n">
        <v>69.7</v>
      </c>
      <c r="H25" t="n">
        <v>39</v>
      </c>
      <c r="I25" t="n">
        <v>42.9</v>
      </c>
      <c r="J25" t="n">
        <v>34.9</v>
      </c>
      <c r="K25" t="n">
        <v>22.5</v>
      </c>
      <c r="L25" t="n">
        <v>26</v>
      </c>
      <c r="M25" t="n">
        <v>18.8</v>
      </c>
      <c r="N25" t="n">
        <v>106.7</v>
      </c>
      <c r="O25" t="n">
        <v>113.5</v>
      </c>
      <c r="P25" t="n">
        <v>100.4</v>
      </c>
      <c r="Q25" t="n">
        <v>65.59999999999999</v>
      </c>
      <c r="R25" t="n">
        <v>75.8</v>
      </c>
      <c r="S25" t="n">
        <v>56.1</v>
      </c>
      <c r="T25" t="n">
        <v>43.3</v>
      </c>
      <c r="U25" t="n">
        <v>51.8</v>
      </c>
      <c r="V25" t="n">
        <v>35.2</v>
      </c>
    </row>
    <row r="26">
      <c r="A26" t="inlineStr">
        <is>
          <t>Stung Treng</t>
        </is>
      </c>
      <c r="B26" t="n">
        <v>70.8</v>
      </c>
      <c r="C26" t="n">
        <v>72.09999999999999</v>
      </c>
      <c r="D26" t="n">
        <v>68.8</v>
      </c>
      <c r="E26" t="n">
        <v>64.09999999999999</v>
      </c>
      <c r="F26" t="n">
        <v>65.40000000000001</v>
      </c>
      <c r="G26" t="n">
        <v>62.3</v>
      </c>
      <c r="H26" t="n">
        <v>21.7</v>
      </c>
      <c r="I26" t="n">
        <v>22.7</v>
      </c>
      <c r="J26" t="n">
        <v>20.5</v>
      </c>
      <c r="K26" t="n">
        <v>12.1</v>
      </c>
      <c r="L26" t="n">
        <v>14.3</v>
      </c>
      <c r="M26" t="n">
        <v>9.9</v>
      </c>
      <c r="N26" t="n">
        <v>92.5</v>
      </c>
      <c r="O26" t="n">
        <v>105.3</v>
      </c>
      <c r="P26" t="n">
        <v>81.40000000000001</v>
      </c>
      <c r="Q26" t="n">
        <v>42.6</v>
      </c>
      <c r="R26" t="n">
        <v>46.3</v>
      </c>
      <c r="S26" t="n">
        <v>39.3</v>
      </c>
      <c r="T26" t="n">
        <v>23.6</v>
      </c>
      <c r="U26" t="n">
        <v>26.8</v>
      </c>
      <c r="V26" t="n">
        <v>20.8</v>
      </c>
    </row>
    <row r="27">
      <c r="A27" t="inlineStr">
        <is>
          <t>Svay Rieng</t>
        </is>
      </c>
      <c r="B27" t="n">
        <v>87.90000000000001</v>
      </c>
      <c r="C27" t="n">
        <v>85.7</v>
      </c>
      <c r="D27" t="n">
        <v>90</v>
      </c>
      <c r="E27" t="n">
        <v>84</v>
      </c>
      <c r="F27" t="n">
        <v>82</v>
      </c>
      <c r="G27" t="n">
        <v>85.8</v>
      </c>
      <c r="H27" t="n">
        <v>44.9</v>
      </c>
      <c r="I27" t="n">
        <v>41.5</v>
      </c>
      <c r="J27" t="n">
        <v>48.5</v>
      </c>
      <c r="K27" t="n">
        <v>19.3</v>
      </c>
      <c r="L27" t="n">
        <v>17</v>
      </c>
      <c r="M27" t="n">
        <v>22</v>
      </c>
      <c r="N27" t="n">
        <v>100.2</v>
      </c>
      <c r="O27" t="n">
        <v>99.2</v>
      </c>
      <c r="P27" t="n">
        <v>101.1</v>
      </c>
      <c r="Q27" t="n">
        <v>59.6</v>
      </c>
      <c r="R27" t="n">
        <v>58.3</v>
      </c>
      <c r="S27" t="n">
        <v>61</v>
      </c>
      <c r="T27" t="n">
        <v>34.9</v>
      </c>
      <c r="U27" t="n">
        <v>36.8</v>
      </c>
      <c r="V27" t="n">
        <v>32.9</v>
      </c>
    </row>
    <row r="28">
      <c r="A28" t="inlineStr">
        <is>
          <t>Takeo</t>
        </is>
      </c>
      <c r="B28" t="n">
        <v>89.09999999999999</v>
      </c>
      <c r="C28" t="n">
        <v>86.59999999999999</v>
      </c>
      <c r="D28" t="n">
        <v>91.5</v>
      </c>
      <c r="E28" t="n">
        <v>85.90000000000001</v>
      </c>
      <c r="F28" t="n">
        <v>83.7</v>
      </c>
      <c r="G28" t="n">
        <v>88</v>
      </c>
      <c r="H28" t="n">
        <v>64.5</v>
      </c>
      <c r="I28" t="n">
        <v>62.6</v>
      </c>
      <c r="J28" t="n">
        <v>66.5</v>
      </c>
      <c r="K28" t="n">
        <v>40.8</v>
      </c>
      <c r="L28" t="n">
        <v>39</v>
      </c>
      <c r="M28" t="n">
        <v>42.8</v>
      </c>
      <c r="N28" t="n">
        <v>91.09999999999999</v>
      </c>
      <c r="O28" t="n">
        <v>91</v>
      </c>
      <c r="P28" t="n">
        <v>91.2</v>
      </c>
      <c r="Q28" t="n">
        <v>65.7</v>
      </c>
      <c r="R28" t="n">
        <v>68</v>
      </c>
      <c r="S28" t="n">
        <v>63.5</v>
      </c>
      <c r="T28" t="n">
        <v>46.5</v>
      </c>
      <c r="U28" t="n">
        <v>49.8</v>
      </c>
      <c r="V28" t="n">
        <v>43.2</v>
      </c>
    </row>
    <row r="29">
      <c r="A29" t="inlineStr">
        <is>
          <t>Tbaung Khmum</t>
        </is>
      </c>
      <c r="B29" t="n">
        <v>75.40000000000001</v>
      </c>
      <c r="C29" t="n">
        <v>74.7</v>
      </c>
      <c r="D29" t="n">
        <v>76</v>
      </c>
      <c r="E29" t="n">
        <v>69.2</v>
      </c>
      <c r="F29" t="n">
        <v>68.7</v>
      </c>
      <c r="G29" t="n">
        <v>69.7</v>
      </c>
      <c r="H29" t="n">
        <v>31</v>
      </c>
      <c r="I29" t="n">
        <v>31.3</v>
      </c>
      <c r="J29" t="n">
        <v>30.5</v>
      </c>
      <c r="K29" t="n">
        <v>13.9</v>
      </c>
      <c r="L29" t="n">
        <v>14.4</v>
      </c>
      <c r="M29" t="n">
        <v>13.2</v>
      </c>
      <c r="N29" t="n">
        <v>91</v>
      </c>
      <c r="O29" t="n">
        <v>93.59999999999999</v>
      </c>
      <c r="P29" t="n">
        <v>88.5</v>
      </c>
      <c r="Q29" t="n">
        <v>49.3</v>
      </c>
      <c r="R29" t="n">
        <v>55.6</v>
      </c>
      <c r="S29" t="n">
        <v>43.3</v>
      </c>
      <c r="T29" t="n">
        <v>27.1</v>
      </c>
      <c r="U29" t="n">
        <v>31.3</v>
      </c>
      <c r="V29" t="n">
        <v>23</v>
      </c>
    </row>
    <row r="30">
      <c r="A30" t="inlineStr">
        <is>
          <t>Whole Kingdom</t>
        </is>
      </c>
      <c r="B30" t="n">
        <v>80.2</v>
      </c>
      <c r="C30" t="n">
        <v>80.59999999999999</v>
      </c>
      <c r="D30" t="n">
        <v>79.59999999999999</v>
      </c>
      <c r="E30" t="n">
        <v>74.8</v>
      </c>
      <c r="F30" t="n">
        <v>75.5</v>
      </c>
      <c r="G30" t="n">
        <v>74</v>
      </c>
      <c r="H30" t="n">
        <v>43.7</v>
      </c>
      <c r="I30" t="n">
        <v>45.2</v>
      </c>
      <c r="J30" t="n">
        <v>42</v>
      </c>
      <c r="K30" t="n">
        <v>24.7</v>
      </c>
      <c r="L30" t="n">
        <v>25.8</v>
      </c>
      <c r="M30" t="n">
        <v>23.4</v>
      </c>
      <c r="N30" t="n">
        <v>87.3</v>
      </c>
      <c r="O30" t="n">
        <v>89.7</v>
      </c>
      <c r="P30" t="n">
        <v>85</v>
      </c>
      <c r="Q30" t="n">
        <v>52.9</v>
      </c>
      <c r="R30" t="n">
        <v>57.4</v>
      </c>
      <c r="S30" t="n">
        <v>48.5</v>
      </c>
      <c r="T30" t="n">
        <v>33.1</v>
      </c>
      <c r="U30" t="n">
        <v>37.1</v>
      </c>
      <c r="V30" t="n">
        <v>29.3</v>
      </c>
    </row>
    <row r="31">
      <c r="A31" t="inlineStr">
        <is>
          <t>- Urban Area</t>
        </is>
      </c>
      <c r="B31" t="n">
        <v>77.59999999999999</v>
      </c>
      <c r="C31" t="n">
        <v>78.5</v>
      </c>
      <c r="D31" t="n">
        <v>76.7</v>
      </c>
      <c r="E31" t="n">
        <v>73</v>
      </c>
      <c r="F31" t="n">
        <v>74.3</v>
      </c>
      <c r="G31" t="n">
        <v>71.7</v>
      </c>
      <c r="H31" t="n">
        <v>45</v>
      </c>
      <c r="I31" t="n">
        <v>46.5</v>
      </c>
      <c r="J31" t="n">
        <v>43.6</v>
      </c>
      <c r="K31" t="n">
        <v>30.2</v>
      </c>
      <c r="L31" t="n">
        <v>31.7</v>
      </c>
      <c r="M31" t="n">
        <v>28.8</v>
      </c>
      <c r="N31" t="n">
        <v>55.9</v>
      </c>
      <c r="O31" t="n">
        <v>56.4</v>
      </c>
      <c r="P31" t="n">
        <v>55.5</v>
      </c>
      <c r="Q31" t="n">
        <v>44.5</v>
      </c>
      <c r="R31" t="n">
        <v>46.9</v>
      </c>
      <c r="S31" t="n">
        <v>42.2</v>
      </c>
      <c r="T31" t="n">
        <v>39.2</v>
      </c>
      <c r="U31" t="n">
        <v>42.4</v>
      </c>
      <c r="V31" t="n">
        <v>36.2</v>
      </c>
    </row>
    <row r="32">
      <c r="A32" t="inlineStr">
        <is>
          <t>- Rural Area</t>
        </is>
      </c>
      <c r="B32" t="n">
        <v>80.7</v>
      </c>
      <c r="C32" t="n">
        <v>81</v>
      </c>
      <c r="D32" t="n">
        <v>80.2</v>
      </c>
      <c r="E32" t="n">
        <v>75.2</v>
      </c>
      <c r="F32" t="n">
        <v>75.7</v>
      </c>
      <c r="G32" t="n">
        <v>74.5</v>
      </c>
      <c r="H32" t="n">
        <v>43.1</v>
      </c>
      <c r="I32" t="n">
        <v>44.7</v>
      </c>
      <c r="J32" t="n">
        <v>41.3</v>
      </c>
      <c r="K32" t="n">
        <v>22.7</v>
      </c>
      <c r="L32" t="n">
        <v>23.9</v>
      </c>
      <c r="M32" t="n">
        <v>21.5</v>
      </c>
      <c r="N32" t="n">
        <v>98.8</v>
      </c>
      <c r="O32" t="n">
        <v>101.9</v>
      </c>
      <c r="P32" t="n">
        <v>95.8</v>
      </c>
      <c r="Q32" t="n">
        <v>55.9</v>
      </c>
      <c r="R32" t="n">
        <v>61.3</v>
      </c>
      <c r="S32" t="n">
        <v>50.8</v>
      </c>
      <c r="T32" t="n">
        <v>30.9</v>
      </c>
      <c r="U32" t="n">
        <v>35.2</v>
      </c>
      <c r="V32" t="n">
        <v>26.7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FF66CC"/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.5703125" customWidth="1" min="1" max="1"/>
    <col width="10.42578125" customWidth="1" min="2" max="2"/>
    <col width="7.85546875" customWidth="1" min="4" max="4"/>
    <col width="8.5703125" customWidth="1" min="5" max="5"/>
    <col width="8.7109375" customWidth="1" min="6" max="6"/>
    <col width="22" customWidth="1" min="7" max="7"/>
    <col width="9" customWidth="1" min="8" max="8"/>
    <col width="9.140625" customWidth="1" min="9" max="9"/>
    <col width="8.5703125" customWidth="1" min="10" max="10"/>
    <col width="9.42578125" customWidth="1" min="12" max="12"/>
  </cols>
  <sheetData>
    <row r="1">
      <c r="A1" t="inlineStr">
        <is>
          <t>Table 26 : Gender Parity Index in Education Indicators 2021 - 2022</t>
        </is>
      </c>
    </row>
    <row r="2">
      <c r="A2" t="inlineStr">
        <is>
          <t>Province</t>
        </is>
      </c>
      <c r="B2" t="inlineStr">
        <is>
          <t>GPI for GAR</t>
        </is>
      </c>
      <c r="C2" t="inlineStr">
        <is>
          <t>GPI for NAR</t>
        </is>
      </c>
      <c r="D2" t="inlineStr">
        <is>
          <t>GPI for Gross Enrolment rate in</t>
        </is>
      </c>
      <c r="G2" t="inlineStr">
        <is>
          <t>GPI for Net Enrolment rate in</t>
        </is>
      </c>
      <c r="H2" t="inlineStr">
        <is>
          <t>GPI for Teaching Staff in</t>
        </is>
      </c>
    </row>
    <row r="3">
      <c r="D3" t="inlineStr">
        <is>
          <t>Primary
school</t>
        </is>
      </c>
      <c r="E3" t="inlineStr">
        <is>
          <t>Lower Sec.
Edu</t>
        </is>
      </c>
      <c r="F3" t="inlineStr">
        <is>
          <t>Upper Sec.
Edu</t>
        </is>
      </c>
      <c r="G3" t="inlineStr">
        <is>
          <t>Primary school</t>
        </is>
      </c>
      <c r="H3" t="inlineStr">
        <is>
          <t>Presch</t>
        </is>
      </c>
      <c r="I3" t="inlineStr">
        <is>
          <t>Primary
schools</t>
        </is>
      </c>
      <c r="J3" t="inlineStr">
        <is>
          <t>Junior high
schools</t>
        </is>
      </c>
      <c r="K3" t="inlineStr">
        <is>
          <t>Senior high
schools</t>
        </is>
      </c>
      <c r="L3" t="inlineStr">
        <is>
          <t>Secondary
schools</t>
        </is>
      </c>
    </row>
    <row r="4">
      <c r="A4" t="inlineStr">
        <is>
          <t>Banteay Meanchey</t>
        </is>
      </c>
      <c r="B4" t="n">
        <v>1</v>
      </c>
      <c r="C4" t="n">
        <v>1.06</v>
      </c>
      <c r="D4" t="n">
        <v>1.02</v>
      </c>
      <c r="E4" t="n">
        <v>1.24</v>
      </c>
      <c r="F4" t="n">
        <v>1.44</v>
      </c>
      <c r="G4" t="n">
        <v>1.05</v>
      </c>
      <c r="H4" t="inlineStr">
        <is>
          <t>n.a.</t>
        </is>
      </c>
      <c r="I4" t="n">
        <v>1.41</v>
      </c>
      <c r="J4" t="n">
        <v>0.77</v>
      </c>
      <c r="K4" t="n">
        <v>0.67</v>
      </c>
      <c r="L4" t="n">
        <v>0.7</v>
      </c>
    </row>
    <row r="5">
      <c r="A5" t="inlineStr">
        <is>
          <t>Battambang</t>
        </is>
      </c>
      <c r="B5" t="n">
        <v>0.99</v>
      </c>
      <c r="C5" t="n">
        <v>1.05</v>
      </c>
      <c r="D5" t="n">
        <v>1.06</v>
      </c>
      <c r="E5" t="n">
        <v>1.22</v>
      </c>
      <c r="F5" t="n">
        <v>1.33</v>
      </c>
      <c r="G5" t="n">
        <v>1.08</v>
      </c>
      <c r="H5" t="n">
        <v>17.36</v>
      </c>
      <c r="I5" t="n">
        <v>1.84</v>
      </c>
      <c r="J5" t="n">
        <v>0.9399999999999999</v>
      </c>
      <c r="K5" t="n">
        <v>0.85</v>
      </c>
      <c r="L5" t="n">
        <v>0.89</v>
      </c>
    </row>
    <row r="6">
      <c r="A6" t="inlineStr">
        <is>
          <t>Kampong Cham</t>
        </is>
      </c>
      <c r="B6" t="n">
        <v>0.93</v>
      </c>
      <c r="C6" t="n">
        <v>1</v>
      </c>
      <c r="D6" t="n">
        <v>1.11</v>
      </c>
      <c r="E6" t="n">
        <v>1.2</v>
      </c>
      <c r="F6" t="n">
        <v>1.31</v>
      </c>
      <c r="G6" t="n">
        <v>1</v>
      </c>
      <c r="H6" t="n">
        <v>21.33</v>
      </c>
      <c r="I6" t="n">
        <v>1.93</v>
      </c>
      <c r="J6" t="n">
        <v>1.11</v>
      </c>
      <c r="K6" t="n">
        <v>0.85</v>
      </c>
      <c r="L6" t="n">
        <v>0.92</v>
      </c>
    </row>
    <row r="7">
      <c r="A7" t="inlineStr">
        <is>
          <t>Kampong Chhnang</t>
        </is>
      </c>
      <c r="B7" t="n">
        <v>0.98</v>
      </c>
      <c r="C7" t="n">
        <v>1</v>
      </c>
      <c r="D7" t="n">
        <v>1.01</v>
      </c>
      <c r="E7" t="n">
        <v>1.21</v>
      </c>
      <c r="F7" t="n">
        <v>1.29</v>
      </c>
      <c r="G7" t="n">
        <v>1.03</v>
      </c>
      <c r="H7" t="n">
        <v>174</v>
      </c>
      <c r="I7" t="n">
        <v>1.07</v>
      </c>
      <c r="J7" t="n">
        <v>0.92</v>
      </c>
      <c r="K7" t="n">
        <v>0.63</v>
      </c>
      <c r="L7" t="n">
        <v>0.72</v>
      </c>
    </row>
    <row r="8">
      <c r="A8" t="inlineStr">
        <is>
          <t>Kampong Speu</t>
        </is>
      </c>
      <c r="B8" t="n">
        <v>0.9399999999999999</v>
      </c>
      <c r="C8" t="n">
        <v>0.96</v>
      </c>
      <c r="D8" t="n">
        <v>0.96</v>
      </c>
      <c r="E8" t="n">
        <v>1.13</v>
      </c>
      <c r="F8" t="n">
        <v>1.15</v>
      </c>
      <c r="G8" t="n">
        <v>0.98</v>
      </c>
      <c r="H8" t="n">
        <v>15.79</v>
      </c>
      <c r="I8" t="n">
        <v>0.95</v>
      </c>
      <c r="J8" t="n">
        <v>0.58</v>
      </c>
      <c r="K8" t="n">
        <v>0.58</v>
      </c>
      <c r="L8" t="n">
        <v>0.58</v>
      </c>
    </row>
    <row r="9">
      <c r="A9" t="inlineStr">
        <is>
          <t>Kampong Thom</t>
        </is>
      </c>
      <c r="B9" t="n">
        <v>1.03</v>
      </c>
      <c r="C9" t="n">
        <v>1.01</v>
      </c>
      <c r="D9" t="n">
        <v>1.15</v>
      </c>
      <c r="E9" t="n">
        <v>1.21</v>
      </c>
      <c r="F9" t="n">
        <v>1.34</v>
      </c>
      <c r="G9" t="n">
        <v>1.09</v>
      </c>
      <c r="H9" t="n">
        <v>53.8</v>
      </c>
      <c r="I9" t="n">
        <v>1.43</v>
      </c>
      <c r="J9" t="n">
        <v>0.98</v>
      </c>
      <c r="K9" t="n">
        <v>0.84</v>
      </c>
      <c r="L9" t="n">
        <v>0.89</v>
      </c>
    </row>
    <row r="10">
      <c r="A10" t="inlineStr">
        <is>
          <t>Kampot</t>
        </is>
      </c>
      <c r="B10" t="n">
        <v>0.92</v>
      </c>
      <c r="C10" t="n">
        <v>0.95</v>
      </c>
      <c r="D10" t="n">
        <v>0.93</v>
      </c>
      <c r="E10" t="n">
        <v>1.13</v>
      </c>
      <c r="F10" t="n">
        <v>1.17</v>
      </c>
      <c r="G10" t="n">
        <v>0.96</v>
      </c>
      <c r="H10" t="n">
        <v>28.56</v>
      </c>
      <c r="I10" t="n">
        <v>1.14</v>
      </c>
      <c r="J10" t="n">
        <v>0.78</v>
      </c>
      <c r="K10" t="n">
        <v>0.66</v>
      </c>
      <c r="L10" t="n">
        <v>0.71</v>
      </c>
    </row>
    <row r="11">
      <c r="A11" t="inlineStr">
        <is>
          <t>Kandal</t>
        </is>
      </c>
      <c r="B11" t="n">
        <v>0.95</v>
      </c>
      <c r="C11" t="n">
        <v>0.96</v>
      </c>
      <c r="D11" t="n">
        <v>0.93</v>
      </c>
      <c r="E11" t="n">
        <v>1.12</v>
      </c>
      <c r="F11" t="n">
        <v>1.26</v>
      </c>
      <c r="G11" t="n">
        <v>0.98</v>
      </c>
      <c r="H11" t="n">
        <v>17.11</v>
      </c>
      <c r="I11" t="n">
        <v>1.88</v>
      </c>
      <c r="J11" t="n">
        <v>1.07</v>
      </c>
      <c r="K11" t="n">
        <v>0.79</v>
      </c>
      <c r="L11" t="n">
        <v>0.89</v>
      </c>
    </row>
    <row r="12">
      <c r="A12" t="inlineStr">
        <is>
          <t>Kep</t>
        </is>
      </c>
      <c r="B12" t="n">
        <v>0.98</v>
      </c>
      <c r="C12" t="n">
        <v>0.99</v>
      </c>
      <c r="D12" t="n">
        <v>0.99</v>
      </c>
      <c r="E12" t="n">
        <v>1.22</v>
      </c>
      <c r="F12" t="n">
        <v>1.21</v>
      </c>
      <c r="G12" t="n">
        <v>1.02</v>
      </c>
      <c r="H12" t="n">
        <v>37</v>
      </c>
      <c r="I12" t="n">
        <v>1.43</v>
      </c>
      <c r="J12" t="n">
        <v>0.6899999999999999</v>
      </c>
      <c r="K12" t="n">
        <v>0.83</v>
      </c>
      <c r="L12" t="n">
        <v>0.77</v>
      </c>
    </row>
    <row r="13">
      <c r="A13" t="inlineStr">
        <is>
          <t>Koh Kong</t>
        </is>
      </c>
      <c r="B13" t="n">
        <v>1.12</v>
      </c>
      <c r="C13" t="n">
        <v>1.09</v>
      </c>
      <c r="D13" t="n">
        <v>1.04</v>
      </c>
      <c r="E13" t="n">
        <v>1.19</v>
      </c>
      <c r="F13" t="n">
        <v>1.2</v>
      </c>
      <c r="G13" t="n">
        <v>1.09</v>
      </c>
      <c r="H13" t="n">
        <v>10.17</v>
      </c>
      <c r="I13" t="n">
        <v>1.1</v>
      </c>
      <c r="J13" t="n">
        <v>0.5</v>
      </c>
      <c r="K13" t="n">
        <v>0.59</v>
      </c>
      <c r="L13" t="n">
        <v>0.5600000000000001</v>
      </c>
    </row>
    <row r="14">
      <c r="A14" t="inlineStr">
        <is>
          <t>Kratie</t>
        </is>
      </c>
      <c r="B14" t="n">
        <v>1.04</v>
      </c>
      <c r="C14" t="n">
        <v>0.9399999999999999</v>
      </c>
      <c r="D14" t="n">
        <v>1.18</v>
      </c>
      <c r="E14" t="n">
        <v>1.3</v>
      </c>
      <c r="F14" t="n">
        <v>1.37</v>
      </c>
      <c r="G14" t="n">
        <v>1.28</v>
      </c>
      <c r="H14" t="n">
        <v>50</v>
      </c>
      <c r="I14" t="n">
        <v>2.11</v>
      </c>
      <c r="J14" t="n">
        <v>1.14</v>
      </c>
      <c r="K14" t="n">
        <v>0.95</v>
      </c>
      <c r="L14" t="n">
        <v>1.04</v>
      </c>
    </row>
    <row r="15">
      <c r="A15" t="inlineStr">
        <is>
          <t>Mondul Kiri</t>
        </is>
      </c>
      <c r="B15" t="n">
        <v>1.1</v>
      </c>
      <c r="C15" t="n">
        <v>1.2</v>
      </c>
      <c r="D15" t="n">
        <v>1.24</v>
      </c>
      <c r="E15" t="n">
        <v>1.3</v>
      </c>
      <c r="F15" t="n">
        <v>1.37</v>
      </c>
      <c r="G15" t="n">
        <v>1.32</v>
      </c>
      <c r="H15" t="n">
        <v>20</v>
      </c>
      <c r="I15" t="n">
        <v>1.14</v>
      </c>
      <c r="J15" t="n">
        <v>0.76</v>
      </c>
      <c r="K15" t="n">
        <v>0.67</v>
      </c>
      <c r="L15" t="n">
        <v>0.6899999999999999</v>
      </c>
    </row>
    <row r="16">
      <c r="A16" t="inlineStr">
        <is>
          <t>Otdar Meanchey</t>
        </is>
      </c>
      <c r="B16" t="n">
        <v>1.03</v>
      </c>
      <c r="C16" t="n">
        <v>1.05</v>
      </c>
      <c r="D16" t="n">
        <v>1.02</v>
      </c>
      <c r="E16" t="n">
        <v>1.32</v>
      </c>
      <c r="F16" t="n">
        <v>1.24</v>
      </c>
      <c r="G16" t="n">
        <v>1.05</v>
      </c>
      <c r="H16" t="n">
        <v>7.31</v>
      </c>
      <c r="I16" t="n">
        <v>0.93</v>
      </c>
      <c r="J16" t="n">
        <v>0.59</v>
      </c>
      <c r="K16" t="n">
        <v>0.54</v>
      </c>
      <c r="L16" t="n">
        <v>0.5600000000000001</v>
      </c>
    </row>
    <row r="17">
      <c r="A17" t="inlineStr">
        <is>
          <t>Pailin</t>
        </is>
      </c>
      <c r="B17" t="n">
        <v>1.13</v>
      </c>
      <c r="C17" t="n">
        <v>1.23</v>
      </c>
      <c r="D17" t="n">
        <v>1.09</v>
      </c>
      <c r="E17" t="n">
        <v>1.3</v>
      </c>
      <c r="F17" t="n">
        <v>1.49</v>
      </c>
      <c r="G17" t="n">
        <v>1.14</v>
      </c>
      <c r="H17" t="inlineStr">
        <is>
          <t>n.a.</t>
        </is>
      </c>
      <c r="I17" t="n">
        <v>1.34</v>
      </c>
      <c r="J17" t="n">
        <v>0.86</v>
      </c>
      <c r="K17" t="n">
        <v>0.74</v>
      </c>
      <c r="L17" t="n">
        <v>0.8</v>
      </c>
    </row>
    <row r="18">
      <c r="A18" t="inlineStr">
        <is>
          <t>Phnom Penh</t>
        </is>
      </c>
      <c r="B18" t="n">
        <v>0.92</v>
      </c>
      <c r="C18" t="n">
        <v>0.96</v>
      </c>
      <c r="D18" t="n">
        <v>0.9399999999999999</v>
      </c>
      <c r="E18" t="n">
        <v>1.02</v>
      </c>
      <c r="F18" t="n">
        <v>1.06</v>
      </c>
      <c r="G18" t="n">
        <v>0.97</v>
      </c>
      <c r="H18" t="n">
        <v>96.33</v>
      </c>
      <c r="I18" t="n">
        <v>3.02</v>
      </c>
      <c r="J18" t="n">
        <v>1.1</v>
      </c>
      <c r="K18" t="n">
        <v>0.8100000000000001</v>
      </c>
      <c r="L18" t="n">
        <v>0.85</v>
      </c>
    </row>
    <row r="19">
      <c r="A19" t="inlineStr">
        <is>
          <t>Preah Sihanouk</t>
        </is>
      </c>
      <c r="B19" t="n">
        <v>1.09</v>
      </c>
      <c r="C19" t="n">
        <v>1.19</v>
      </c>
      <c r="D19" t="n">
        <v>1.11</v>
      </c>
      <c r="E19" t="n">
        <v>1.26</v>
      </c>
      <c r="F19" t="n">
        <v>1.35</v>
      </c>
      <c r="G19" t="n">
        <v>1.14</v>
      </c>
      <c r="H19" t="n">
        <v>43.5</v>
      </c>
      <c r="I19" t="n">
        <v>1.44</v>
      </c>
      <c r="J19" t="n">
        <v>0.77</v>
      </c>
      <c r="K19" t="n">
        <v>0.53</v>
      </c>
      <c r="L19" t="n">
        <v>0.61</v>
      </c>
    </row>
    <row r="20">
      <c r="A20" t="inlineStr">
        <is>
          <t>Preah Vihear</t>
        </is>
      </c>
      <c r="B20" t="n">
        <v>1.11</v>
      </c>
      <c r="C20" t="n">
        <v>1.19</v>
      </c>
      <c r="D20" t="n">
        <v>1.1</v>
      </c>
      <c r="E20" t="n">
        <v>1.36</v>
      </c>
      <c r="F20" t="n">
        <v>1.4</v>
      </c>
      <c r="G20" t="n">
        <v>1.04</v>
      </c>
      <c r="H20" t="n">
        <v>32.33</v>
      </c>
      <c r="I20" t="n">
        <v>1.25</v>
      </c>
      <c r="J20" t="n">
        <v>0.68</v>
      </c>
      <c r="K20" t="n">
        <v>0.75</v>
      </c>
      <c r="L20" t="n">
        <v>0.71</v>
      </c>
    </row>
    <row r="21">
      <c r="A21" t="inlineStr">
        <is>
          <t>Prey Veng</t>
        </is>
      </c>
      <c r="B21" t="n">
        <v>0.88</v>
      </c>
      <c r="C21" t="n">
        <v>0.89</v>
      </c>
      <c r="D21" t="n">
        <v>0.86</v>
      </c>
      <c r="E21" t="n">
        <v>1.07</v>
      </c>
      <c r="F21" t="n">
        <v>1.15</v>
      </c>
      <c r="G21" t="n">
        <v>0.92</v>
      </c>
      <c r="H21" t="n">
        <v>12.85</v>
      </c>
      <c r="I21" t="n">
        <v>1.05</v>
      </c>
      <c r="J21" t="n">
        <v>0.64</v>
      </c>
      <c r="K21" t="n">
        <v>0.57</v>
      </c>
      <c r="L21" t="n">
        <v>0.59</v>
      </c>
    </row>
    <row r="22">
      <c r="A22" t="inlineStr">
        <is>
          <t>Pursat</t>
        </is>
      </c>
      <c r="B22" t="n">
        <v>0.96</v>
      </c>
      <c r="C22" t="n">
        <v>0.99</v>
      </c>
      <c r="D22" t="n">
        <v>1.16</v>
      </c>
      <c r="E22" t="n">
        <v>1.21</v>
      </c>
      <c r="F22" t="n">
        <v>1.27</v>
      </c>
      <c r="G22" t="n">
        <v>1.25</v>
      </c>
      <c r="H22" t="n">
        <v>17.09</v>
      </c>
      <c r="I22" t="n">
        <v>1.28</v>
      </c>
      <c r="J22" t="n">
        <v>0.6899999999999999</v>
      </c>
      <c r="K22" t="n">
        <v>0.58</v>
      </c>
      <c r="L22" t="n">
        <v>0.63</v>
      </c>
    </row>
    <row r="23">
      <c r="A23" t="inlineStr">
        <is>
          <t>Ratanak Kiri</t>
        </is>
      </c>
      <c r="B23" t="n">
        <v>1.1</v>
      </c>
      <c r="C23" t="n">
        <v>1.14</v>
      </c>
      <c r="D23" t="n">
        <v>1.1</v>
      </c>
      <c r="E23" t="n">
        <v>1.23</v>
      </c>
      <c r="F23" t="n">
        <v>1.13</v>
      </c>
      <c r="G23" t="n">
        <v>1.19</v>
      </c>
      <c r="H23" t="n">
        <v>11</v>
      </c>
      <c r="I23" t="n">
        <v>0.96</v>
      </c>
      <c r="J23" t="n">
        <v>0.8</v>
      </c>
      <c r="K23" t="n">
        <v>0.67</v>
      </c>
      <c r="L23" t="n">
        <v>0.71</v>
      </c>
    </row>
    <row r="24">
      <c r="A24" t="inlineStr">
        <is>
          <t>Siemreap</t>
        </is>
      </c>
      <c r="B24" t="n">
        <v>0.98</v>
      </c>
      <c r="C24" t="n">
        <v>1.05</v>
      </c>
      <c r="D24" t="n">
        <v>1.04</v>
      </c>
      <c r="E24" t="n">
        <v>1.29</v>
      </c>
      <c r="F24" t="n">
        <v>1.42</v>
      </c>
      <c r="G24" t="n">
        <v>1.04</v>
      </c>
      <c r="H24" t="n">
        <v>43.09</v>
      </c>
      <c r="I24" t="n">
        <v>2.4</v>
      </c>
      <c r="J24" t="n">
        <v>1.22</v>
      </c>
      <c r="K24" t="n">
        <v>0.8</v>
      </c>
      <c r="L24" t="n">
        <v>0.9</v>
      </c>
    </row>
    <row r="25">
      <c r="A25" t="inlineStr">
        <is>
          <t>Stung Treng</t>
        </is>
      </c>
      <c r="B25" t="n">
        <v>1.11</v>
      </c>
      <c r="C25" t="n">
        <v>1.04</v>
      </c>
      <c r="D25" t="n">
        <v>1.17</v>
      </c>
      <c r="E25" t="n">
        <v>1.32</v>
      </c>
      <c r="F25" t="n">
        <v>1.38</v>
      </c>
      <c r="G25" t="n">
        <v>1.26</v>
      </c>
      <c r="H25" t="n">
        <v>52</v>
      </c>
      <c r="I25" t="n">
        <v>1.71</v>
      </c>
      <c r="J25" t="n">
        <v>0.72</v>
      </c>
      <c r="K25" t="n">
        <v>0.6</v>
      </c>
      <c r="L25" t="n">
        <v>0.66</v>
      </c>
    </row>
    <row r="26">
      <c r="A26" t="inlineStr">
        <is>
          <t>Svay Rieng</t>
        </is>
      </c>
      <c r="B26" t="n">
        <v>0.93</v>
      </c>
      <c r="C26" t="n">
        <v>0.98</v>
      </c>
      <c r="D26" t="n">
        <v>0.91</v>
      </c>
      <c r="E26" t="n">
        <v>1.02</v>
      </c>
      <c r="F26" t="n">
        <v>1.08</v>
      </c>
      <c r="G26" t="n">
        <v>0.99</v>
      </c>
      <c r="H26" t="n">
        <v>5.89</v>
      </c>
      <c r="I26" t="n">
        <v>0.79</v>
      </c>
      <c r="J26" t="n">
        <v>0.39</v>
      </c>
      <c r="K26" t="n">
        <v>0.47</v>
      </c>
      <c r="L26" t="n">
        <v>0.44</v>
      </c>
    </row>
    <row r="27">
      <c r="A27" t="inlineStr">
        <is>
          <t>Takeo</t>
        </is>
      </c>
      <c r="B27" t="n">
        <v>0.93</v>
      </c>
      <c r="C27" t="n">
        <v>0.93</v>
      </c>
      <c r="D27" t="n">
        <v>0.92</v>
      </c>
      <c r="E27" t="n">
        <v>1.07</v>
      </c>
      <c r="F27" t="n">
        <v>1.12</v>
      </c>
      <c r="G27" t="n">
        <v>0.9399999999999999</v>
      </c>
      <c r="H27" t="n">
        <v>13.17</v>
      </c>
      <c r="I27" t="n">
        <v>0.85</v>
      </c>
      <c r="J27" t="n">
        <v>0.6</v>
      </c>
      <c r="K27" t="n">
        <v>0.46</v>
      </c>
      <c r="L27" t="n">
        <v>0.49</v>
      </c>
    </row>
    <row r="28">
      <c r="A28" t="inlineStr">
        <is>
          <t>Tbaung Khmum</t>
        </is>
      </c>
      <c r="B28" t="n">
        <v>0.96</v>
      </c>
      <c r="C28" t="n">
        <v>1</v>
      </c>
      <c r="D28" t="n">
        <v>0.97</v>
      </c>
      <c r="E28" t="n">
        <v>1.22</v>
      </c>
      <c r="F28" t="n">
        <v>1.34</v>
      </c>
      <c r="G28" t="n">
        <v>0.98</v>
      </c>
      <c r="H28" t="n">
        <v>13.65</v>
      </c>
      <c r="I28" t="n">
        <v>1.64</v>
      </c>
      <c r="J28" t="n">
        <v>0.93</v>
      </c>
      <c r="K28" t="n">
        <v>0.67</v>
      </c>
      <c r="L28" t="n">
        <v>0.74</v>
      </c>
    </row>
    <row r="29">
      <c r="A29" t="inlineStr">
        <is>
          <t>Whole Kingdom</t>
        </is>
      </c>
      <c r="B29" t="n">
        <v>0.97</v>
      </c>
      <c r="C29" t="n">
        <v>1</v>
      </c>
      <c r="D29" t="n">
        <v>1.01</v>
      </c>
      <c r="E29" t="n">
        <v>1.17</v>
      </c>
      <c r="F29" t="n">
        <v>1.24</v>
      </c>
      <c r="G29" t="n">
        <v>1.02</v>
      </c>
      <c r="H29" t="n">
        <v>18.79</v>
      </c>
      <c r="I29" t="n">
        <v>1.43</v>
      </c>
      <c r="J29" t="n">
        <v>0.83</v>
      </c>
      <c r="K29" t="n">
        <v>0.6899999999999999</v>
      </c>
      <c r="L29" t="n">
        <v>0.73</v>
      </c>
    </row>
    <row r="30">
      <c r="A30" t="inlineStr">
        <is>
          <t>- Urban Area</t>
        </is>
      </c>
      <c r="B30" t="n">
        <v>0.95</v>
      </c>
      <c r="C30" t="n">
        <v>0.99</v>
      </c>
      <c r="D30" t="n">
        <v>0.98</v>
      </c>
      <c r="E30" t="n">
        <v>1.09</v>
      </c>
      <c r="F30" t="n">
        <v>1.16</v>
      </c>
      <c r="G30" t="n">
        <v>0.99</v>
      </c>
      <c r="H30" t="n">
        <v>101.1</v>
      </c>
      <c r="I30" t="n">
        <v>2.46</v>
      </c>
      <c r="J30" t="n">
        <v>1.1</v>
      </c>
      <c r="K30" t="n">
        <v>0.79</v>
      </c>
      <c r="L30" t="n">
        <v>0.85</v>
      </c>
    </row>
    <row r="31">
      <c r="A31" t="inlineStr">
        <is>
          <t>- Rural Area</t>
        </is>
      </c>
      <c r="B31" t="n">
        <v>0.97</v>
      </c>
      <c r="C31" t="n">
        <v>1</v>
      </c>
      <c r="D31" t="n">
        <v>1.01</v>
      </c>
      <c r="E31" t="n">
        <v>1.19</v>
      </c>
      <c r="F31" t="n">
        <v>1.28</v>
      </c>
      <c r="G31" t="n">
        <v>1.03</v>
      </c>
      <c r="H31" t="n">
        <v>15.79</v>
      </c>
      <c r="I31" t="n">
        <v>1.27</v>
      </c>
      <c r="J31" t="n">
        <v>0.78</v>
      </c>
      <c r="K31" t="n">
        <v>0.64</v>
      </c>
      <c r="L31" t="n">
        <v>0.6899999999999999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808080"/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4.42578125" customWidth="1" min="1" max="1"/>
    <col width="5.42578125" customWidth="1" min="2" max="2"/>
    <col width="8.140625" customWidth="1" min="4" max="4"/>
    <col width="6.5703125" customWidth="1" min="5" max="5"/>
    <col width="5.42578125" customWidth="1" min="6" max="6"/>
    <col width="9" customWidth="1" min="7" max="7"/>
    <col width="6.85546875" customWidth="1" min="8" max="8"/>
    <col width="6.7109375" customWidth="1" min="9" max="9"/>
    <col width="7.42578125" customWidth="1" min="10" max="10"/>
    <col width="8.85546875" customWidth="1" min="11" max="11"/>
    <col width="7.42578125" customWidth="1" min="12" max="12"/>
    <col width="5.42578125" customWidth="1" min="14" max="14"/>
    <col width="9" customWidth="1" min="15" max="15"/>
    <col width="6.85546875" customWidth="1" min="16" max="16"/>
    <col width="6.7109375" customWidth="1" min="17" max="17"/>
  </cols>
  <sheetData>
    <row r="1">
      <c r="A1" t="inlineStr">
        <is>
          <t>APPENDIX: EDUCATION STATISTICS, 1979/1980 to 2021/2022</t>
        </is>
      </c>
    </row>
    <row r="2">
      <c r="A2" t="inlineStr">
        <is>
          <t>Academic   Year</t>
        </is>
      </c>
      <c r="B2" t="inlineStr">
        <is>
          <t>Schools</t>
        </is>
      </c>
      <c r="F2" t="inlineStr">
        <is>
          <t>Classes</t>
        </is>
      </c>
      <c r="J2" t="inlineStr">
        <is>
          <t>Students</t>
        </is>
      </c>
      <c r="N2" t="inlineStr">
        <is>
          <t>Staff</t>
        </is>
      </c>
    </row>
    <row r="3">
      <c r="B3" t="inlineStr">
        <is>
          <t>Pre</t>
        </is>
      </c>
      <c r="C3" t="inlineStr">
        <is>
          <t>Pri</t>
        </is>
      </c>
      <c r="D3" t="inlineStr">
        <is>
          <t>College</t>
        </is>
      </c>
      <c r="E3" t="inlineStr">
        <is>
          <t>Lycee</t>
        </is>
      </c>
      <c r="F3" t="inlineStr">
        <is>
          <t>Pre</t>
        </is>
      </c>
      <c r="G3" t="inlineStr">
        <is>
          <t>Pri</t>
        </is>
      </c>
      <c r="H3" t="inlineStr">
        <is>
          <t>Lower</t>
        </is>
      </c>
      <c r="I3" t="inlineStr">
        <is>
          <t>Upper</t>
        </is>
      </c>
      <c r="J3" t="inlineStr">
        <is>
          <t>Pre</t>
        </is>
      </c>
      <c r="K3" t="inlineStr">
        <is>
          <t>Pri</t>
        </is>
      </c>
      <c r="L3" t="inlineStr">
        <is>
          <t>Lower</t>
        </is>
      </c>
      <c r="M3" t="inlineStr">
        <is>
          <t>Upper</t>
        </is>
      </c>
      <c r="N3" t="inlineStr">
        <is>
          <t>Pre</t>
        </is>
      </c>
      <c r="O3" t="inlineStr">
        <is>
          <t>Pri</t>
        </is>
      </c>
      <c r="P3" t="inlineStr">
        <is>
          <t>Lower</t>
        </is>
      </c>
      <c r="Q3" t="inlineStr">
        <is>
          <t>Upper</t>
        </is>
      </c>
    </row>
    <row r="4">
      <c r="A4" t="inlineStr">
        <is>
          <t>1979-80</t>
        </is>
      </c>
      <c r="B4" t="n">
        <v>96</v>
      </c>
      <c r="C4" t="inlineStr">
        <is>
          <t>n.a</t>
        </is>
      </c>
      <c r="D4" t="n">
        <v>14</v>
      </c>
      <c r="E4" t="n">
        <v>1</v>
      </c>
      <c r="F4" t="n">
        <v>230</v>
      </c>
      <c r="G4" t="n">
        <v>12069</v>
      </c>
      <c r="H4" t="n">
        <v>101</v>
      </c>
      <c r="I4" t="n">
        <v>7</v>
      </c>
      <c r="J4" t="n">
        <v>8229</v>
      </c>
      <c r="K4" t="n">
        <v>947317</v>
      </c>
      <c r="L4" t="n">
        <v>4803</v>
      </c>
      <c r="M4" t="n">
        <v>281</v>
      </c>
      <c r="N4" t="n">
        <v>267</v>
      </c>
      <c r="O4" t="n">
        <v>13619</v>
      </c>
      <c r="P4" t="n">
        <v>205</v>
      </c>
      <c r="Q4" t="n">
        <v>20</v>
      </c>
    </row>
    <row r="5">
      <c r="A5" t="inlineStr">
        <is>
          <t>1980-81</t>
        </is>
      </c>
      <c r="B5" t="n">
        <v>149</v>
      </c>
      <c r="C5" t="inlineStr">
        <is>
          <t>n.a</t>
        </is>
      </c>
      <c r="D5" t="n">
        <v>62</v>
      </c>
      <c r="E5" t="n">
        <v>2</v>
      </c>
      <c r="F5" t="n">
        <v>446</v>
      </c>
      <c r="G5" t="n">
        <v>25526</v>
      </c>
      <c r="H5" t="n">
        <v>394</v>
      </c>
      <c r="I5" t="n">
        <v>14</v>
      </c>
      <c r="J5" t="n">
        <v>15077</v>
      </c>
      <c r="K5" t="n">
        <v>1328053</v>
      </c>
      <c r="L5" t="n">
        <v>17291</v>
      </c>
      <c r="M5" t="n">
        <v>555</v>
      </c>
      <c r="N5" t="n">
        <v>630</v>
      </c>
      <c r="O5" t="n">
        <v>30316</v>
      </c>
      <c r="P5" t="n">
        <v>671</v>
      </c>
      <c r="Q5" t="n">
        <v>28</v>
      </c>
    </row>
    <row r="6">
      <c r="A6" t="inlineStr">
        <is>
          <t>1981-82</t>
        </is>
      </c>
      <c r="B6" t="n">
        <v>213</v>
      </c>
      <c r="C6" t="n">
        <v>3521</v>
      </c>
      <c r="D6" t="n">
        <v>96</v>
      </c>
      <c r="E6" t="n">
        <v>5</v>
      </c>
      <c r="F6" t="n">
        <v>448</v>
      </c>
      <c r="G6" t="n">
        <v>31909</v>
      </c>
      <c r="H6" t="n">
        <v>938</v>
      </c>
      <c r="I6" t="n">
        <v>33</v>
      </c>
      <c r="J6" t="n">
        <v>16579</v>
      </c>
      <c r="K6" t="n">
        <v>1538839</v>
      </c>
      <c r="L6" t="n">
        <v>39515</v>
      </c>
      <c r="M6" t="n">
        <v>1517</v>
      </c>
      <c r="N6" t="n">
        <v>818</v>
      </c>
      <c r="O6" t="n">
        <v>31884</v>
      </c>
      <c r="P6" t="n">
        <v>1586</v>
      </c>
      <c r="Q6" t="n">
        <v>65</v>
      </c>
    </row>
    <row r="7">
      <c r="A7" t="inlineStr">
        <is>
          <t>1982-83</t>
        </is>
      </c>
      <c r="B7" t="n">
        <v>371</v>
      </c>
      <c r="C7" t="n">
        <v>3114</v>
      </c>
      <c r="D7" t="n">
        <v>173</v>
      </c>
      <c r="E7" t="n">
        <v>7</v>
      </c>
      <c r="F7" t="n">
        <v>823</v>
      </c>
      <c r="G7" t="n">
        <v>33740</v>
      </c>
      <c r="H7" t="n">
        <v>1949</v>
      </c>
      <c r="I7" t="n">
        <v>73</v>
      </c>
      <c r="J7" t="n">
        <v>23797</v>
      </c>
      <c r="K7" t="n">
        <v>1597081</v>
      </c>
      <c r="L7" t="n">
        <v>87005</v>
      </c>
      <c r="M7" t="n">
        <v>3493</v>
      </c>
      <c r="N7" t="n">
        <v>956</v>
      </c>
      <c r="O7" t="n">
        <v>34859</v>
      </c>
      <c r="P7" t="n">
        <v>3300</v>
      </c>
      <c r="Q7" t="n">
        <v>158</v>
      </c>
    </row>
    <row r="8">
      <c r="A8" t="inlineStr">
        <is>
          <t>1983-84</t>
        </is>
      </c>
      <c r="B8" t="n">
        <v>500</v>
      </c>
      <c r="C8" t="n">
        <v>3005</v>
      </c>
      <c r="D8" t="n">
        <v>200</v>
      </c>
      <c r="E8" t="n">
        <v>13</v>
      </c>
      <c r="F8" t="n">
        <v>1128</v>
      </c>
      <c r="G8" t="n">
        <v>33287</v>
      </c>
      <c r="H8" t="n">
        <v>3089</v>
      </c>
      <c r="I8" t="n">
        <v>149</v>
      </c>
      <c r="J8" t="n">
        <v>25466</v>
      </c>
      <c r="K8" t="n">
        <v>1504839</v>
      </c>
      <c r="L8" t="n">
        <v>145726</v>
      </c>
      <c r="M8" t="n">
        <v>7639</v>
      </c>
      <c r="N8" t="n">
        <v>1493</v>
      </c>
      <c r="O8" t="n">
        <v>35479</v>
      </c>
      <c r="P8" t="n">
        <v>4494</v>
      </c>
      <c r="Q8" t="n">
        <v>271</v>
      </c>
    </row>
    <row r="9">
      <c r="A9" t="inlineStr">
        <is>
          <t>1984-85</t>
        </is>
      </c>
      <c r="B9" t="n">
        <v>541</v>
      </c>
      <c r="C9" t="n">
        <v>3133</v>
      </c>
      <c r="D9" t="n">
        <v>222</v>
      </c>
      <c r="E9" t="n">
        <v>19</v>
      </c>
      <c r="F9" t="n">
        <v>1420</v>
      </c>
      <c r="G9" t="n">
        <v>33345</v>
      </c>
      <c r="H9" t="n">
        <v>4698</v>
      </c>
      <c r="I9" t="n">
        <v>211</v>
      </c>
      <c r="J9" t="n">
        <v>39920</v>
      </c>
      <c r="K9" t="n">
        <v>1367089</v>
      </c>
      <c r="L9" t="n">
        <v>234927</v>
      </c>
      <c r="M9" t="n">
        <v>10888</v>
      </c>
      <c r="N9" t="n">
        <v>1835</v>
      </c>
      <c r="O9" t="n">
        <v>35578</v>
      </c>
      <c r="P9" t="n">
        <v>6116</v>
      </c>
      <c r="Q9" t="n">
        <v>468</v>
      </c>
    </row>
    <row r="10">
      <c r="A10" t="inlineStr">
        <is>
          <t>1985-86</t>
        </is>
      </c>
      <c r="B10" t="n">
        <v>689</v>
      </c>
      <c r="C10" t="n">
        <v>2294</v>
      </c>
      <c r="D10" t="n">
        <v>278</v>
      </c>
      <c r="E10" t="n">
        <v>28</v>
      </c>
      <c r="F10" t="n">
        <v>1557</v>
      </c>
      <c r="G10" t="n">
        <v>31062</v>
      </c>
      <c r="H10" t="n">
        <v>5730</v>
      </c>
      <c r="I10" t="n">
        <v>266</v>
      </c>
      <c r="J10" t="n">
        <v>56165</v>
      </c>
      <c r="K10" t="n">
        <v>1315531</v>
      </c>
      <c r="L10" t="n">
        <v>297775</v>
      </c>
      <c r="M10" t="n">
        <v>14020</v>
      </c>
      <c r="N10" t="n">
        <v>2398</v>
      </c>
      <c r="O10" t="n">
        <v>35080</v>
      </c>
      <c r="P10" t="n">
        <v>7416</v>
      </c>
      <c r="Q10" t="n">
        <v>617</v>
      </c>
    </row>
    <row r="11">
      <c r="A11" t="inlineStr">
        <is>
          <t>1986-87</t>
        </is>
      </c>
      <c r="B11" t="n">
        <v>551</v>
      </c>
      <c r="C11" t="n">
        <v>4282</v>
      </c>
      <c r="D11" t="n">
        <v>304</v>
      </c>
      <c r="E11" t="n">
        <v>33</v>
      </c>
      <c r="F11" t="n">
        <v>1864</v>
      </c>
      <c r="G11" t="n">
        <v>30946</v>
      </c>
      <c r="H11" t="n">
        <v>6262</v>
      </c>
      <c r="I11" t="n">
        <v>364</v>
      </c>
      <c r="J11" t="n">
        <v>55760</v>
      </c>
      <c r="K11" t="n">
        <v>1294227</v>
      </c>
      <c r="L11" t="n">
        <v>327049</v>
      </c>
      <c r="M11" t="n">
        <v>18799</v>
      </c>
      <c r="N11" t="n">
        <v>2625</v>
      </c>
      <c r="O11" t="n">
        <v>36754</v>
      </c>
      <c r="P11" t="n">
        <v>8967</v>
      </c>
      <c r="Q11" t="n">
        <v>858</v>
      </c>
    </row>
    <row r="12">
      <c r="A12" t="inlineStr">
        <is>
          <t>1987-88</t>
        </is>
      </c>
      <c r="B12" t="n">
        <v>560</v>
      </c>
      <c r="C12" t="n">
        <v>4780</v>
      </c>
      <c r="D12" t="n">
        <v>337</v>
      </c>
      <c r="E12" t="n">
        <v>40</v>
      </c>
      <c r="F12" t="n">
        <v>2059</v>
      </c>
      <c r="G12" t="n">
        <v>30890</v>
      </c>
      <c r="H12" t="n">
        <v>6538</v>
      </c>
      <c r="I12" t="n">
        <v>497</v>
      </c>
      <c r="J12" t="n">
        <v>59679</v>
      </c>
      <c r="K12" t="n">
        <v>1279053</v>
      </c>
      <c r="L12" t="n">
        <v>326403</v>
      </c>
      <c r="M12" t="n">
        <v>26176</v>
      </c>
      <c r="N12" t="n">
        <v>3017</v>
      </c>
      <c r="O12" t="n">
        <v>37292</v>
      </c>
      <c r="P12" t="n">
        <v>10866</v>
      </c>
      <c r="Q12" t="n">
        <v>1064</v>
      </c>
    </row>
    <row r="13">
      <c r="A13" t="inlineStr">
        <is>
          <t>1988-89</t>
        </is>
      </c>
      <c r="B13" t="n">
        <v>679</v>
      </c>
      <c r="C13" t="n">
        <v>4730</v>
      </c>
      <c r="D13" t="n">
        <v>373</v>
      </c>
      <c r="E13" t="n">
        <v>49</v>
      </c>
      <c r="F13" t="n">
        <v>2195</v>
      </c>
      <c r="G13" t="n">
        <v>31384</v>
      </c>
      <c r="H13" t="n">
        <v>6265</v>
      </c>
      <c r="I13" t="n">
        <v>650</v>
      </c>
      <c r="J13" t="n">
        <v>61349</v>
      </c>
      <c r="K13" t="n">
        <v>1313689</v>
      </c>
      <c r="L13" t="n">
        <v>289064</v>
      </c>
      <c r="M13" t="n">
        <v>35125</v>
      </c>
      <c r="N13" t="n">
        <v>3209</v>
      </c>
      <c r="O13" t="n">
        <v>36930</v>
      </c>
      <c r="P13" t="n">
        <v>11702</v>
      </c>
      <c r="Q13" t="n">
        <v>1403</v>
      </c>
    </row>
    <row r="14">
      <c r="A14" t="inlineStr">
        <is>
          <t>1989-90</t>
        </is>
      </c>
      <c r="B14" t="n">
        <v>416</v>
      </c>
      <c r="C14" t="n">
        <v>4773</v>
      </c>
      <c r="D14" t="n">
        <v>394</v>
      </c>
      <c r="E14" t="n">
        <v>61</v>
      </c>
      <c r="F14" t="n">
        <v>2181</v>
      </c>
      <c r="G14" t="n">
        <v>31553</v>
      </c>
      <c r="H14" t="n">
        <v>5602</v>
      </c>
      <c r="I14" t="n">
        <v>817</v>
      </c>
      <c r="J14" t="n">
        <v>56017</v>
      </c>
      <c r="K14" t="n">
        <v>1276957</v>
      </c>
      <c r="L14" t="n">
        <v>244842</v>
      </c>
      <c r="M14" t="n">
        <v>43561</v>
      </c>
      <c r="N14" t="n">
        <v>3383</v>
      </c>
      <c r="O14" t="n">
        <v>41261</v>
      </c>
      <c r="P14" t="n">
        <v>12702</v>
      </c>
      <c r="Q14" t="n">
        <v>1766</v>
      </c>
    </row>
    <row r="15">
      <c r="A15" t="inlineStr">
        <is>
          <t>1990-91</t>
        </is>
      </c>
      <c r="B15" t="n">
        <v>397</v>
      </c>
      <c r="C15" t="n">
        <v>4665</v>
      </c>
      <c r="D15" t="n">
        <v>397</v>
      </c>
      <c r="E15" t="n">
        <v>66</v>
      </c>
      <c r="F15" t="n">
        <v>1789</v>
      </c>
      <c r="G15" t="n">
        <v>32858</v>
      </c>
      <c r="H15" t="n">
        <v>5064</v>
      </c>
      <c r="I15" t="n">
        <v>919</v>
      </c>
      <c r="J15" t="n">
        <v>51421</v>
      </c>
      <c r="K15" t="n">
        <v>1322143</v>
      </c>
      <c r="L15" t="n">
        <v>201496</v>
      </c>
      <c r="M15" t="n">
        <v>47562</v>
      </c>
      <c r="N15" t="n">
        <v>2959</v>
      </c>
      <c r="O15" t="n">
        <v>40014</v>
      </c>
      <c r="P15" t="n">
        <v>14351</v>
      </c>
      <c r="Q15" t="n">
        <v>2057</v>
      </c>
    </row>
    <row r="16">
      <c r="A16" t="inlineStr">
        <is>
          <t>1991-92</t>
        </is>
      </c>
      <c r="B16" t="n">
        <v>221</v>
      </c>
      <c r="C16" t="n">
        <v>4555</v>
      </c>
      <c r="D16" t="n">
        <v>407</v>
      </c>
      <c r="E16" t="n">
        <v>80</v>
      </c>
      <c r="F16" t="n">
        <v>1714</v>
      </c>
      <c r="G16" t="n">
        <v>33142</v>
      </c>
      <c r="H16" t="n">
        <v>4848</v>
      </c>
      <c r="I16" t="n">
        <v>1084</v>
      </c>
      <c r="J16" t="n">
        <v>48207</v>
      </c>
      <c r="K16" t="n">
        <v>1371694</v>
      </c>
      <c r="L16" t="n">
        <v>183025</v>
      </c>
      <c r="M16" t="n">
        <v>53857</v>
      </c>
      <c r="N16" t="n">
        <v>2736</v>
      </c>
      <c r="O16" t="n">
        <v>40631</v>
      </c>
      <c r="P16" t="n">
        <v>14668</v>
      </c>
      <c r="Q16" t="n">
        <v>3149</v>
      </c>
    </row>
    <row r="17">
      <c r="A17" t="inlineStr">
        <is>
          <t>1992-93</t>
        </is>
      </c>
      <c r="B17" t="n">
        <v>220</v>
      </c>
      <c r="C17" t="n">
        <v>4539</v>
      </c>
      <c r="D17" t="n">
        <v>358</v>
      </c>
      <c r="E17" t="n">
        <v>82</v>
      </c>
      <c r="F17" t="n">
        <v>1712</v>
      </c>
      <c r="G17" t="n">
        <v>35025</v>
      </c>
      <c r="H17" t="n">
        <v>4844</v>
      </c>
      <c r="I17" t="n">
        <v>1216</v>
      </c>
      <c r="J17" t="n">
        <v>50976</v>
      </c>
      <c r="K17" t="n">
        <v>1468958</v>
      </c>
      <c r="L17" t="n">
        <v>183793</v>
      </c>
      <c r="M17" t="n">
        <v>55570</v>
      </c>
      <c r="N17" t="n">
        <v>2920</v>
      </c>
      <c r="O17" t="n">
        <v>42405</v>
      </c>
      <c r="P17" t="n">
        <v>13107</v>
      </c>
      <c r="Q17" t="n">
        <v>6439</v>
      </c>
    </row>
    <row r="18">
      <c r="A18" t="inlineStr">
        <is>
          <t>1993-94</t>
        </is>
      </c>
      <c r="B18" t="n">
        <v>203</v>
      </c>
      <c r="C18" t="n">
        <v>4693</v>
      </c>
      <c r="D18" t="n">
        <v>354</v>
      </c>
      <c r="E18" t="n">
        <v>89</v>
      </c>
      <c r="F18" t="n">
        <v>1700</v>
      </c>
      <c r="G18" t="n">
        <v>36798</v>
      </c>
      <c r="H18" t="n">
        <v>5402</v>
      </c>
      <c r="I18" t="n">
        <v>1350</v>
      </c>
      <c r="J18" t="n">
        <v>53080</v>
      </c>
      <c r="K18" t="n">
        <v>1621685</v>
      </c>
      <c r="L18" t="n">
        <v>224273</v>
      </c>
      <c r="M18" t="n">
        <v>61506</v>
      </c>
      <c r="N18" t="n">
        <v>2682</v>
      </c>
      <c r="O18" t="n">
        <v>44454</v>
      </c>
      <c r="P18" t="n">
        <v>13621</v>
      </c>
      <c r="Q18" t="n">
        <v>7645</v>
      </c>
    </row>
    <row r="19">
      <c r="A19" t="inlineStr">
        <is>
          <t>1994-95</t>
        </is>
      </c>
      <c r="B19" t="n">
        <v>184</v>
      </c>
      <c r="C19" t="n">
        <v>4744</v>
      </c>
      <c r="D19" t="n">
        <v>363</v>
      </c>
      <c r="E19" t="n">
        <v>90</v>
      </c>
      <c r="F19" t="n">
        <v>1586</v>
      </c>
      <c r="G19" t="n">
        <v>39159</v>
      </c>
      <c r="H19" t="n">
        <v>6001</v>
      </c>
      <c r="I19" t="n">
        <v>1244</v>
      </c>
      <c r="J19" t="n">
        <v>49591</v>
      </c>
      <c r="K19" t="n">
        <v>1703316</v>
      </c>
      <c r="L19" t="n">
        <v>246198</v>
      </c>
      <c r="M19" t="n">
        <v>51357</v>
      </c>
      <c r="N19" t="n">
        <v>2628</v>
      </c>
      <c r="O19" t="n">
        <v>44985</v>
      </c>
      <c r="P19" t="n">
        <v>12179</v>
      </c>
      <c r="Q19" t="n">
        <v>8784</v>
      </c>
    </row>
    <row r="20">
      <c r="A20" t="inlineStr">
        <is>
          <t>1995-96</t>
        </is>
      </c>
      <c r="B20" t="n">
        <v>188</v>
      </c>
      <c r="C20" t="n">
        <v>4845</v>
      </c>
      <c r="D20" t="n">
        <v>350</v>
      </c>
      <c r="E20" t="n">
        <v>92</v>
      </c>
      <c r="F20" t="n">
        <v>1516</v>
      </c>
      <c r="G20" t="n">
        <v>40691</v>
      </c>
      <c r="H20" t="n">
        <v>5851</v>
      </c>
      <c r="I20" t="n">
        <v>1561</v>
      </c>
      <c r="J20" t="n">
        <v>48721</v>
      </c>
      <c r="K20" t="n">
        <v>1805631</v>
      </c>
      <c r="L20" t="n">
        <v>235155</v>
      </c>
      <c r="M20" t="n">
        <v>52920</v>
      </c>
      <c r="N20" t="n">
        <v>2519</v>
      </c>
      <c r="O20" t="n">
        <v>45753</v>
      </c>
      <c r="P20" t="n">
        <v>11315</v>
      </c>
      <c r="Q20" t="n">
        <v>8806</v>
      </c>
    </row>
    <row r="21">
      <c r="A21" t="inlineStr">
        <is>
          <t>1996-97</t>
        </is>
      </c>
      <c r="B21" t="n">
        <v>812</v>
      </c>
      <c r="C21" t="n">
        <v>4899</v>
      </c>
      <c r="D21" t="n">
        <v>351</v>
      </c>
      <c r="E21" t="n">
        <v>106</v>
      </c>
      <c r="F21" t="n">
        <v>1438</v>
      </c>
      <c r="G21" t="n">
        <v>43469</v>
      </c>
      <c r="H21" t="n">
        <v>6304</v>
      </c>
      <c r="I21" t="n">
        <v>1370</v>
      </c>
      <c r="J21" t="n">
        <v>44814</v>
      </c>
      <c r="K21" t="n">
        <v>1918985</v>
      </c>
      <c r="L21" t="n">
        <v>265895</v>
      </c>
      <c r="M21" t="n">
        <v>61671</v>
      </c>
      <c r="N21" t="n">
        <v>2071</v>
      </c>
      <c r="O21" t="n">
        <v>47147</v>
      </c>
      <c r="P21" t="n">
        <v>17459</v>
      </c>
      <c r="Q21" t="n">
        <v>3246</v>
      </c>
    </row>
    <row r="22">
      <c r="A22" t="inlineStr">
        <is>
          <t>1997-98</t>
        </is>
      </c>
      <c r="B22" t="n">
        <v>793</v>
      </c>
      <c r="C22" t="n">
        <v>5026</v>
      </c>
      <c r="D22" t="n">
        <v>350</v>
      </c>
      <c r="E22" t="n">
        <v>125</v>
      </c>
      <c r="F22" t="n">
        <v>1393</v>
      </c>
      <c r="G22" t="n">
        <v>45443</v>
      </c>
      <c r="H22" t="n">
        <v>5926</v>
      </c>
      <c r="I22" t="n">
        <v>1653</v>
      </c>
      <c r="J22" t="n">
        <v>43358</v>
      </c>
      <c r="K22" t="n">
        <v>2011772</v>
      </c>
      <c r="L22" t="n">
        <v>229102</v>
      </c>
      <c r="M22" t="n">
        <v>73849</v>
      </c>
      <c r="N22" t="n">
        <v>1971</v>
      </c>
      <c r="O22" t="n">
        <v>48460</v>
      </c>
      <c r="P22" t="n">
        <v>17399</v>
      </c>
      <c r="Q22" t="n">
        <v>3825</v>
      </c>
    </row>
    <row r="23">
      <c r="A23" t="inlineStr">
        <is>
          <t>1998-99</t>
        </is>
      </c>
      <c r="B23" t="n">
        <v>806</v>
      </c>
      <c r="C23" t="n">
        <v>5156</v>
      </c>
      <c r="D23" t="n">
        <v>355</v>
      </c>
      <c r="E23" t="n">
        <v>132</v>
      </c>
      <c r="F23" t="n">
        <v>1414</v>
      </c>
      <c r="G23" t="n">
        <v>48370</v>
      </c>
      <c r="H23" t="n">
        <v>5903</v>
      </c>
      <c r="I23" t="n">
        <v>1860</v>
      </c>
      <c r="J23" t="n">
        <v>45068</v>
      </c>
      <c r="K23" t="n">
        <v>2094000</v>
      </c>
      <c r="L23" t="n">
        <v>226057</v>
      </c>
      <c r="M23" t="n">
        <v>82110</v>
      </c>
      <c r="N23" t="n">
        <v>1983</v>
      </c>
      <c r="O23" t="n">
        <v>49400</v>
      </c>
      <c r="P23" t="n">
        <v>17582</v>
      </c>
      <c r="Q23" t="n">
        <v>4561</v>
      </c>
    </row>
    <row r="24">
      <c r="A24" t="inlineStr">
        <is>
          <t>1999-00</t>
        </is>
      </c>
      <c r="B24" t="n">
        <v>874</v>
      </c>
      <c r="C24" t="n">
        <v>5274</v>
      </c>
      <c r="D24" t="n">
        <v>363</v>
      </c>
      <c r="E24" t="n">
        <v>140</v>
      </c>
      <c r="F24" t="n">
        <v>1523</v>
      </c>
      <c r="G24" t="n">
        <v>50960</v>
      </c>
      <c r="H24" t="n">
        <v>5951</v>
      </c>
      <c r="I24" t="n">
        <v>2262</v>
      </c>
      <c r="J24" t="n">
        <v>50597</v>
      </c>
      <c r="K24" t="n">
        <v>2211738</v>
      </c>
      <c r="L24" t="n">
        <v>233278</v>
      </c>
      <c r="M24" t="n">
        <v>108213</v>
      </c>
      <c r="N24" t="n">
        <v>2125</v>
      </c>
      <c r="O24" t="n">
        <v>50188</v>
      </c>
      <c r="P24" t="n">
        <v>18033</v>
      </c>
      <c r="Q24" t="n">
        <v>5083</v>
      </c>
    </row>
    <row r="25">
      <c r="A25" t="inlineStr">
        <is>
          <t>2000-01</t>
        </is>
      </c>
      <c r="B25" t="n">
        <v>915</v>
      </c>
      <c r="C25" t="n">
        <v>5468</v>
      </c>
      <c r="D25" t="n">
        <v>367</v>
      </c>
      <c r="E25" t="n">
        <v>151</v>
      </c>
      <c r="F25" t="n">
        <v>1605</v>
      </c>
      <c r="G25" t="n">
        <v>55448</v>
      </c>
      <c r="H25" t="n">
        <v>6860</v>
      </c>
      <c r="I25" t="n">
        <v>2299</v>
      </c>
      <c r="J25" t="n">
        <v>55798</v>
      </c>
      <c r="K25" t="n">
        <v>2408109</v>
      </c>
      <c r="L25" t="n">
        <v>283578</v>
      </c>
      <c r="M25" t="n">
        <v>105086</v>
      </c>
      <c r="N25" t="n">
        <v>2181</v>
      </c>
      <c r="O25" t="n">
        <v>52168</v>
      </c>
      <c r="P25" t="n">
        <v>18952</v>
      </c>
      <c r="Q25" t="n">
        <v>5000</v>
      </c>
    </row>
    <row r="26">
      <c r="A26" t="inlineStr">
        <is>
          <t>2001-02</t>
        </is>
      </c>
      <c r="B26" t="n">
        <v>1015</v>
      </c>
      <c r="C26" t="n">
        <v>5741</v>
      </c>
      <c r="D26" t="n">
        <v>379</v>
      </c>
      <c r="E26" t="n">
        <v>163</v>
      </c>
      <c r="F26" t="n">
        <v>1772</v>
      </c>
      <c r="G26" t="n">
        <v>60698</v>
      </c>
      <c r="H26" t="n">
        <v>7795</v>
      </c>
      <c r="I26" t="n">
        <v>2443</v>
      </c>
      <c r="J26" t="n">
        <v>63747</v>
      </c>
      <c r="K26" t="n">
        <v>2705453</v>
      </c>
      <c r="L26" t="n">
        <v>351635</v>
      </c>
      <c r="M26" t="n">
        <v>113404</v>
      </c>
      <c r="N26" t="n">
        <v>2346</v>
      </c>
      <c r="O26" t="n">
        <v>54519</v>
      </c>
      <c r="P26" t="n">
        <v>19650</v>
      </c>
      <c r="Q26" t="n">
        <v>5234</v>
      </c>
    </row>
    <row r="27">
      <c r="A27" t="inlineStr">
        <is>
          <t>2002-03</t>
        </is>
      </c>
      <c r="B27" t="n">
        <v>1145</v>
      </c>
      <c r="C27" t="n">
        <v>5915</v>
      </c>
      <c r="D27" t="n">
        <v>411</v>
      </c>
      <c r="E27" t="n">
        <v>183</v>
      </c>
      <c r="F27" t="n">
        <v>2041</v>
      </c>
      <c r="G27" t="n">
        <v>59897</v>
      </c>
      <c r="H27" t="n">
        <v>8799</v>
      </c>
      <c r="I27" t="n">
        <v>2721</v>
      </c>
      <c r="J27" t="n">
        <v>64727</v>
      </c>
      <c r="K27" t="n">
        <v>2747411</v>
      </c>
      <c r="L27" t="n">
        <v>415703</v>
      </c>
      <c r="M27" t="n">
        <v>128182</v>
      </c>
      <c r="N27" t="n">
        <v>2538</v>
      </c>
      <c r="O27" t="n">
        <v>57077</v>
      </c>
      <c r="P27" t="n">
        <v>19841</v>
      </c>
      <c r="Q27" t="n">
        <v>6070</v>
      </c>
    </row>
    <row r="28">
      <c r="A28" t="inlineStr">
        <is>
          <t>2003-04</t>
        </is>
      </c>
      <c r="B28" t="n">
        <v>1238</v>
      </c>
      <c r="C28" t="n">
        <v>6063</v>
      </c>
      <c r="D28" t="n">
        <v>486</v>
      </c>
      <c r="E28" t="n">
        <v>212</v>
      </c>
      <c r="F28" t="n">
        <v>2205</v>
      </c>
      <c r="G28" t="n">
        <v>60985</v>
      </c>
      <c r="H28" t="n">
        <v>9566</v>
      </c>
      <c r="I28" t="n">
        <v>3165</v>
      </c>
      <c r="J28" t="n">
        <v>72224</v>
      </c>
      <c r="K28" t="n">
        <v>2747080</v>
      </c>
      <c r="L28" t="n">
        <v>459986</v>
      </c>
      <c r="M28" t="n">
        <v>153758</v>
      </c>
      <c r="N28" t="n">
        <v>2697</v>
      </c>
      <c r="O28" t="n">
        <v>59271</v>
      </c>
      <c r="P28" t="n">
        <v>21307</v>
      </c>
      <c r="Q28" t="n">
        <v>6341</v>
      </c>
    </row>
    <row r="29">
      <c r="A29" t="inlineStr">
        <is>
          <t>2004-05</t>
        </is>
      </c>
      <c r="B29" t="n">
        <v>1345</v>
      </c>
      <c r="C29" t="n">
        <v>6180</v>
      </c>
      <c r="D29" t="n">
        <v>578</v>
      </c>
      <c r="E29" t="n">
        <v>232</v>
      </c>
      <c r="F29" t="n">
        <v>2316</v>
      </c>
      <c r="G29" t="n">
        <v>61648</v>
      </c>
      <c r="H29" t="n">
        <v>10744</v>
      </c>
      <c r="I29" t="n">
        <v>3513</v>
      </c>
      <c r="J29" t="n">
        <v>72214</v>
      </c>
      <c r="K29" t="n">
        <v>2682129</v>
      </c>
      <c r="L29" t="n">
        <v>528940</v>
      </c>
      <c r="M29" t="n">
        <v>177129</v>
      </c>
      <c r="N29" t="n">
        <v>2833</v>
      </c>
      <c r="O29" t="n">
        <v>60841</v>
      </c>
      <c r="P29" t="n">
        <v>21985</v>
      </c>
      <c r="Q29" t="n">
        <v>6829</v>
      </c>
    </row>
    <row r="30">
      <c r="A30" t="inlineStr">
        <is>
          <t>2005-06</t>
        </is>
      </c>
      <c r="B30" t="n">
        <v>1429</v>
      </c>
      <c r="C30" t="n">
        <v>6277</v>
      </c>
      <c r="D30" t="n">
        <v>670</v>
      </c>
      <c r="E30" t="n">
        <v>252</v>
      </c>
      <c r="F30" t="n">
        <v>2413</v>
      </c>
      <c r="G30" t="n">
        <v>61901</v>
      </c>
      <c r="H30" t="n">
        <v>11783</v>
      </c>
      <c r="I30" t="n">
        <v>3996</v>
      </c>
      <c r="J30" t="n">
        <v>75669</v>
      </c>
      <c r="K30" t="n">
        <v>2558467</v>
      </c>
      <c r="L30" t="n">
        <v>588333</v>
      </c>
      <c r="M30" t="n">
        <v>204925</v>
      </c>
      <c r="N30" t="n">
        <v>2882</v>
      </c>
      <c r="O30" t="n">
        <v>61657</v>
      </c>
      <c r="P30" t="n">
        <v>21729</v>
      </c>
      <c r="Q30" t="n">
        <v>7981</v>
      </c>
    </row>
    <row r="31">
      <c r="A31" t="inlineStr">
        <is>
          <t>2006-07</t>
        </is>
      </c>
      <c r="B31" t="n">
        <v>1524</v>
      </c>
      <c r="C31" t="n">
        <v>6365</v>
      </c>
      <c r="D31" t="n">
        <v>846</v>
      </c>
      <c r="E31" t="n">
        <v>283</v>
      </c>
      <c r="F31" t="n">
        <v>2548</v>
      </c>
      <c r="G31" t="n">
        <v>61249</v>
      </c>
      <c r="H31" t="n">
        <v>12633</v>
      </c>
      <c r="I31" t="n">
        <v>4303</v>
      </c>
      <c r="J31" t="n">
        <v>77899</v>
      </c>
      <c r="K31" t="n">
        <v>2461135</v>
      </c>
      <c r="L31" t="n">
        <v>626005</v>
      </c>
      <c r="M31" t="n">
        <v>222271</v>
      </c>
      <c r="N31" t="n">
        <v>2978</v>
      </c>
      <c r="O31" t="n">
        <v>59889</v>
      </c>
      <c r="P31" t="n">
        <v>24052</v>
      </c>
      <c r="Q31" t="n">
        <v>7722</v>
      </c>
    </row>
    <row r="32">
      <c r="A32" t="inlineStr">
        <is>
          <t>2007-08</t>
        </is>
      </c>
      <c r="B32" t="n">
        <v>1634</v>
      </c>
      <c r="C32" t="n">
        <v>6476</v>
      </c>
      <c r="D32" t="n">
        <v>1006</v>
      </c>
      <c r="E32" t="n">
        <v>315</v>
      </c>
      <c r="F32" t="n">
        <v>2678</v>
      </c>
      <c r="G32" t="n">
        <v>60384</v>
      </c>
      <c r="H32" t="n">
        <v>13300</v>
      </c>
      <c r="I32" t="n">
        <v>4968</v>
      </c>
      <c r="J32" t="n">
        <v>79585</v>
      </c>
      <c r="K32" t="n">
        <v>2311107</v>
      </c>
      <c r="L32" t="n">
        <v>637629</v>
      </c>
      <c r="M32" t="n">
        <v>260965</v>
      </c>
      <c r="N32" t="n">
        <v>3130</v>
      </c>
      <c r="O32" t="n">
        <v>58776</v>
      </c>
      <c r="P32" t="n">
        <v>27240</v>
      </c>
      <c r="Q32" t="n">
        <v>7857</v>
      </c>
    </row>
    <row r="33">
      <c r="A33" t="inlineStr">
        <is>
          <t>2008-09</t>
        </is>
      </c>
      <c r="B33" t="n">
        <v>1798</v>
      </c>
      <c r="C33" t="n">
        <v>6565</v>
      </c>
      <c r="D33" t="n">
        <v>1122</v>
      </c>
      <c r="E33" t="n">
        <v>349</v>
      </c>
      <c r="F33" t="n">
        <v>2916</v>
      </c>
      <c r="G33" t="n">
        <v>60227</v>
      </c>
      <c r="H33" t="n">
        <v>13281</v>
      </c>
      <c r="I33" t="n">
        <v>5604</v>
      </c>
      <c r="J33" t="n">
        <v>90036</v>
      </c>
      <c r="K33" t="n">
        <v>2262834</v>
      </c>
      <c r="L33" t="n">
        <v>605707</v>
      </c>
      <c r="M33" t="n">
        <v>292423</v>
      </c>
      <c r="N33" t="n">
        <v>3247</v>
      </c>
      <c r="O33" t="n">
        <v>56978</v>
      </c>
      <c r="P33" t="n">
        <v>27784</v>
      </c>
      <c r="Q33" t="n">
        <v>10681</v>
      </c>
    </row>
    <row r="34">
      <c r="A34" t="inlineStr">
        <is>
          <t>2009-10</t>
        </is>
      </c>
      <c r="B34" t="n">
        <v>1895</v>
      </c>
      <c r="C34" t="n">
        <v>6665</v>
      </c>
      <c r="D34" t="n">
        <v>1172</v>
      </c>
      <c r="E34" t="n">
        <v>383</v>
      </c>
      <c r="F34" t="n">
        <v>3111</v>
      </c>
      <c r="G34" t="n">
        <v>58062</v>
      </c>
      <c r="H34" t="n">
        <v>13024</v>
      </c>
      <c r="I34" t="n">
        <v>6311</v>
      </c>
      <c r="J34" t="n">
        <v>99130</v>
      </c>
      <c r="K34" t="n">
        <v>2240651</v>
      </c>
      <c r="L34" t="n">
        <v>585115</v>
      </c>
      <c r="M34" t="n">
        <v>323583</v>
      </c>
      <c r="N34" t="n">
        <v>3353</v>
      </c>
      <c r="O34" t="n">
        <v>56670</v>
      </c>
      <c r="P34" t="n">
        <v>28252</v>
      </c>
      <c r="Q34" t="n">
        <v>11680</v>
      </c>
    </row>
    <row r="35">
      <c r="A35" t="inlineStr">
        <is>
          <t>2010-11</t>
        </is>
      </c>
      <c r="B35" t="n">
        <v>2092</v>
      </c>
      <c r="C35" t="n">
        <v>6767</v>
      </c>
      <c r="D35" t="n">
        <v>1189</v>
      </c>
      <c r="E35" t="n">
        <v>407</v>
      </c>
      <c r="F35" t="n">
        <v>3343</v>
      </c>
      <c r="G35" t="n">
        <v>57697</v>
      </c>
      <c r="H35" t="n">
        <v>12504</v>
      </c>
      <c r="I35" t="n">
        <v>6786</v>
      </c>
      <c r="J35" t="n">
        <v>103315</v>
      </c>
      <c r="K35" t="n">
        <v>2191192</v>
      </c>
      <c r="L35" t="n">
        <v>560868</v>
      </c>
      <c r="M35" t="n">
        <v>334734</v>
      </c>
      <c r="N35" t="n">
        <v>3711</v>
      </c>
      <c r="O35" t="n">
        <v>56339</v>
      </c>
      <c r="P35" t="n">
        <v>30012</v>
      </c>
      <c r="Q35" t="n">
        <v>11686</v>
      </c>
    </row>
    <row r="36">
      <c r="A36" t="inlineStr">
        <is>
          <t>2011-12</t>
        </is>
      </c>
      <c r="B36" t="n">
        <v>2575</v>
      </c>
      <c r="C36" t="n">
        <v>6849</v>
      </c>
      <c r="D36" t="n">
        <v>1196</v>
      </c>
      <c r="E36" t="n">
        <v>426</v>
      </c>
      <c r="F36" t="n">
        <v>4006</v>
      </c>
      <c r="G36" t="n">
        <v>58594</v>
      </c>
      <c r="H36" t="n">
        <v>12251</v>
      </c>
      <c r="I36" t="n">
        <v>6750</v>
      </c>
      <c r="J36" t="n">
        <v>121306</v>
      </c>
      <c r="K36" t="n">
        <v>2142464</v>
      </c>
      <c r="L36" t="n">
        <v>541147</v>
      </c>
      <c r="M36" t="n">
        <v>318165</v>
      </c>
      <c r="N36" t="n">
        <v>4032</v>
      </c>
      <c r="O36" t="n">
        <v>56344</v>
      </c>
      <c r="P36" t="n">
        <v>31698</v>
      </c>
      <c r="Q36" t="n">
        <v>11706</v>
      </c>
    </row>
    <row r="37">
      <c r="A37" t="inlineStr">
        <is>
          <t>2012-13</t>
        </is>
      </c>
      <c r="B37" t="n">
        <v>2813</v>
      </c>
      <c r="C37" t="n">
        <v>6910</v>
      </c>
      <c r="D37" t="n">
        <v>1214</v>
      </c>
      <c r="E37" t="n">
        <v>433</v>
      </c>
      <c r="F37" t="n">
        <v>4248</v>
      </c>
      <c r="G37" t="n">
        <v>58837</v>
      </c>
      <c r="H37" t="n">
        <v>12184</v>
      </c>
      <c r="I37" t="n">
        <v>6361</v>
      </c>
      <c r="J37" t="n">
        <v>128257</v>
      </c>
      <c r="K37" t="n">
        <v>2173384</v>
      </c>
      <c r="L37" t="n">
        <v>534710</v>
      </c>
      <c r="M37" t="n">
        <v>288789</v>
      </c>
      <c r="N37" t="n">
        <v>4309</v>
      </c>
      <c r="O37" t="n">
        <v>56108</v>
      </c>
      <c r="P37" t="n">
        <v>31815</v>
      </c>
      <c r="Q37" t="n">
        <v>12880</v>
      </c>
    </row>
    <row r="38">
      <c r="A38" t="inlineStr">
        <is>
          <t>2013-14</t>
        </is>
      </c>
      <c r="B38" t="n">
        <v>3184</v>
      </c>
      <c r="C38" t="n">
        <v>6993</v>
      </c>
      <c r="D38" t="n">
        <v>1244</v>
      </c>
      <c r="E38" t="n">
        <v>444</v>
      </c>
      <c r="F38" t="n">
        <v>4929</v>
      </c>
      <c r="G38" t="n">
        <v>59454</v>
      </c>
      <c r="H38" t="n">
        <v>12281</v>
      </c>
      <c r="I38" t="n">
        <v>6031</v>
      </c>
      <c r="J38" t="n">
        <v>157288</v>
      </c>
      <c r="K38" t="n">
        <v>2073811</v>
      </c>
      <c r="L38" t="n">
        <v>538626</v>
      </c>
      <c r="M38" t="n">
        <v>266293</v>
      </c>
      <c r="N38" t="n">
        <v>4717</v>
      </c>
      <c r="O38" t="n">
        <v>55958</v>
      </c>
      <c r="P38" t="n">
        <v>32616</v>
      </c>
      <c r="Q38" t="n">
        <v>13330</v>
      </c>
    </row>
    <row r="39">
      <c r="A39" t="inlineStr">
        <is>
          <t>2014-15</t>
        </is>
      </c>
      <c r="B39" t="n">
        <v>3443</v>
      </c>
      <c r="C39" t="n">
        <v>7051</v>
      </c>
      <c r="D39" t="n">
        <v>1249</v>
      </c>
      <c r="E39" t="n">
        <v>455</v>
      </c>
      <c r="F39" t="n">
        <v>5261</v>
      </c>
      <c r="G39" t="n">
        <v>59654</v>
      </c>
      <c r="H39" t="n">
        <v>12390</v>
      </c>
      <c r="I39" t="n">
        <v>5933</v>
      </c>
      <c r="J39" t="n">
        <v>163468</v>
      </c>
      <c r="K39" t="n">
        <v>2012175</v>
      </c>
      <c r="L39" t="n">
        <v>546864</v>
      </c>
      <c r="M39" t="n">
        <v>262072</v>
      </c>
      <c r="N39" t="n">
        <v>5027</v>
      </c>
      <c r="O39" t="n">
        <v>55788</v>
      </c>
      <c r="P39" t="n">
        <v>32525</v>
      </c>
      <c r="Q39" t="n">
        <v>14055</v>
      </c>
    </row>
    <row r="40">
      <c r="A40" t="inlineStr">
        <is>
          <t>2015-16</t>
        </is>
      </c>
      <c r="B40" t="n">
        <v>3706</v>
      </c>
      <c r="C40" t="n">
        <v>7085</v>
      </c>
      <c r="D40" t="n">
        <v>1251</v>
      </c>
      <c r="E40" t="n">
        <v>463</v>
      </c>
      <c r="F40" t="n">
        <v>5974</v>
      </c>
      <c r="G40" t="n">
        <v>60224</v>
      </c>
      <c r="H40" t="n">
        <v>12590</v>
      </c>
      <c r="I40" t="n">
        <v>6020</v>
      </c>
      <c r="J40" t="n">
        <v>173893</v>
      </c>
      <c r="K40" t="n">
        <v>2010673</v>
      </c>
      <c r="L40" t="n">
        <v>558621</v>
      </c>
      <c r="M40" t="n">
        <v>266449</v>
      </c>
      <c r="N40" t="n">
        <v>4722</v>
      </c>
      <c r="O40" t="n">
        <v>56421</v>
      </c>
      <c r="P40" t="n">
        <v>33164</v>
      </c>
      <c r="Q40" t="n">
        <v>14434</v>
      </c>
    </row>
    <row r="41">
      <c r="A41" t="inlineStr">
        <is>
          <t>2016-17</t>
        </is>
      </c>
      <c r="B41" t="n">
        <v>4014</v>
      </c>
      <c r="C41" t="n">
        <v>7144</v>
      </c>
      <c r="D41" t="n">
        <v>1245</v>
      </c>
      <c r="E41" t="n">
        <v>486</v>
      </c>
      <c r="F41" t="n">
        <v>6403</v>
      </c>
      <c r="G41" t="n">
        <v>61255</v>
      </c>
      <c r="H41" t="n">
        <v>12838</v>
      </c>
      <c r="I41" t="n">
        <v>6217</v>
      </c>
      <c r="J41" t="n">
        <v>190148</v>
      </c>
      <c r="K41" t="n">
        <v>2022061</v>
      </c>
      <c r="L41" t="n">
        <v>585971</v>
      </c>
      <c r="M41" t="n">
        <v>279480</v>
      </c>
      <c r="N41" t="n">
        <v>5084</v>
      </c>
      <c r="O41" t="n">
        <v>57844</v>
      </c>
      <c r="P41" t="n">
        <v>33763</v>
      </c>
      <c r="Q41" t="n">
        <v>14457</v>
      </c>
    </row>
    <row r="42">
      <c r="A42" t="inlineStr">
        <is>
          <t>2017-18</t>
        </is>
      </c>
      <c r="B42" t="n">
        <v>4176</v>
      </c>
      <c r="C42" t="n">
        <v>7189</v>
      </c>
      <c r="D42" t="n">
        <v>1237</v>
      </c>
      <c r="E42" t="n">
        <v>510</v>
      </c>
      <c r="F42" t="n">
        <v>6825</v>
      </c>
      <c r="G42" t="n">
        <v>61635</v>
      </c>
      <c r="H42" t="n">
        <v>13215</v>
      </c>
      <c r="I42" t="n">
        <v>6684</v>
      </c>
      <c r="J42" t="n">
        <v>205492</v>
      </c>
      <c r="K42" t="n">
        <v>2028694</v>
      </c>
      <c r="L42" t="n">
        <v>605067</v>
      </c>
      <c r="M42" t="n">
        <v>303871</v>
      </c>
      <c r="N42" t="n">
        <v>5398</v>
      </c>
      <c r="O42" t="n">
        <v>57915</v>
      </c>
      <c r="P42" t="n">
        <v>33171</v>
      </c>
      <c r="Q42" t="n">
        <v>15172</v>
      </c>
    </row>
    <row r="43">
      <c r="A43" t="inlineStr">
        <is>
          <t>2018-19</t>
        </is>
      </c>
      <c r="B43" t="n">
        <v>4301</v>
      </c>
      <c r="C43" t="n">
        <v>7228</v>
      </c>
      <c r="D43" t="n">
        <v>1246</v>
      </c>
      <c r="E43" t="n">
        <v>525</v>
      </c>
      <c r="F43" t="n">
        <v>7122</v>
      </c>
      <c r="G43" t="n">
        <v>62208</v>
      </c>
      <c r="H43" t="n">
        <v>13388</v>
      </c>
      <c r="I43" t="n">
        <v>7179</v>
      </c>
      <c r="J43" t="n">
        <v>217509</v>
      </c>
      <c r="K43" t="n">
        <v>2040257</v>
      </c>
      <c r="L43" t="n">
        <v>610261</v>
      </c>
      <c r="M43" t="n">
        <v>321145</v>
      </c>
      <c r="N43" t="n">
        <v>5559</v>
      </c>
      <c r="O43" t="n">
        <v>57811</v>
      </c>
      <c r="P43" t="n">
        <v>33638</v>
      </c>
      <c r="Q43" t="n">
        <v>15761</v>
      </c>
    </row>
    <row r="44">
      <c r="A44" t="inlineStr">
        <is>
          <t>2019-20</t>
        </is>
      </c>
      <c r="B44" t="n">
        <v>4409</v>
      </c>
      <c r="C44" t="n">
        <v>7282</v>
      </c>
      <c r="D44" t="n">
        <v>1247</v>
      </c>
      <c r="E44" t="n">
        <v>544</v>
      </c>
      <c r="F44" t="n">
        <v>7761</v>
      </c>
      <c r="G44" t="n">
        <v>62402</v>
      </c>
      <c r="H44" t="n">
        <v>13690</v>
      </c>
      <c r="I44" t="n">
        <v>7406</v>
      </c>
      <c r="J44" t="n">
        <v>233132</v>
      </c>
      <c r="K44" t="n">
        <v>2023473</v>
      </c>
      <c r="L44" t="n">
        <v>618968</v>
      </c>
      <c r="M44" t="n">
        <v>334712</v>
      </c>
      <c r="N44" t="n">
        <v>5678</v>
      </c>
      <c r="O44" t="n">
        <v>57347</v>
      </c>
      <c r="P44" t="n">
        <v>32620</v>
      </c>
      <c r="Q44" t="n">
        <v>17442</v>
      </c>
    </row>
    <row r="45">
      <c r="A45" t="inlineStr">
        <is>
          <t>2020-21</t>
        </is>
      </c>
      <c r="B45" t="n">
        <v>4493</v>
      </c>
      <c r="C45" t="n">
        <v>7304</v>
      </c>
      <c r="D45" t="n">
        <v>1246</v>
      </c>
      <c r="E45" t="n">
        <v>554</v>
      </c>
      <c r="F45" t="n">
        <v>8687</v>
      </c>
      <c r="G45" t="n">
        <v>62936</v>
      </c>
      <c r="H45" t="n">
        <v>14305</v>
      </c>
      <c r="I45" t="n">
        <v>8026</v>
      </c>
      <c r="J45" t="n">
        <v>229092</v>
      </c>
      <c r="K45" t="n">
        <v>2010286</v>
      </c>
      <c r="L45" t="n">
        <v>632303</v>
      </c>
      <c r="M45" t="n">
        <v>351794</v>
      </c>
      <c r="N45" t="n">
        <v>5717</v>
      </c>
      <c r="O45" t="n">
        <v>57300</v>
      </c>
      <c r="P45" t="n">
        <v>33274</v>
      </c>
      <c r="Q45" t="n">
        <v>17879</v>
      </c>
    </row>
    <row r="46">
      <c r="A46" t="inlineStr">
        <is>
          <t>2021-22</t>
        </is>
      </c>
      <c r="B46" t="n">
        <v>4563</v>
      </c>
      <c r="C46" t="n">
        <v>7306</v>
      </c>
      <c r="D46" t="n">
        <v>1253</v>
      </c>
      <c r="E46" t="n">
        <v>559</v>
      </c>
      <c r="F46" t="n">
        <v>8482</v>
      </c>
      <c r="G46" t="n">
        <v>63263</v>
      </c>
      <c r="H46" t="n">
        <v>15307</v>
      </c>
      <c r="I46" t="n">
        <v>8857</v>
      </c>
      <c r="J46" t="n">
        <v>217787</v>
      </c>
      <c r="K46" t="n">
        <v>2036566</v>
      </c>
      <c r="L46" t="n">
        <v>662106</v>
      </c>
      <c r="M46" t="n">
        <v>360617</v>
      </c>
      <c r="N46" t="n">
        <v>5934</v>
      </c>
      <c r="O46" t="n">
        <v>58040</v>
      </c>
      <c r="P46" t="n">
        <v>33386</v>
      </c>
      <c r="Q46" t="n">
        <v>18189</v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2026-03-11T06:53:41Z</dcterms:created>
  <dcterms:modified xmlns:dcterms="http://purl.org/dc/terms/" xmlns:xsi="http://www.w3.org/2001/XMLSchema-instance" xsi:type="dcterms:W3CDTF">2026-03-11T06:53:42Z</dcterms:modified>
</cp:coreProperties>
</file>