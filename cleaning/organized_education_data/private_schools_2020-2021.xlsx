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" sheetId="1" state="visible" r:id="rId1"/>
    <sheet xmlns:r="http://schemas.openxmlformats.org/officeDocument/2006/relationships" name="National Summary - Schools, Cla" sheetId="2" state="visible" r:id="rId2"/>
    <sheet xmlns:r="http://schemas.openxmlformats.org/officeDocument/2006/relationships" name="Schools, Classes &amp; Staff by Pro" sheetId="3" state="visible" r:id="rId3"/>
    <sheet xmlns:r="http://schemas.openxmlformats.org/officeDocument/2006/relationships" name="Colleges by Province" sheetId="4" state="visible" r:id="rId4"/>
    <sheet xmlns:r="http://schemas.openxmlformats.org/officeDocument/2006/relationships" name="Lycees by Province" sheetId="5" state="visible" r:id="rId5"/>
    <sheet xmlns:r="http://schemas.openxmlformats.org/officeDocument/2006/relationships" name="Pre-Schools by Province" sheetId="6" state="visible" r:id="rId6"/>
    <sheet xmlns:r="http://schemas.openxmlformats.org/officeDocument/2006/relationships" name="Primary Schools by Province" sheetId="7" state="visible" r:id="rId7"/>
    <sheet xmlns:r="http://schemas.openxmlformats.org/officeDocument/2006/relationships" name="Secondary Schools by Province" sheetId="8" state="visible" r:id="rId8"/>
    <sheet xmlns:r="http://schemas.openxmlformats.org/officeDocument/2006/relationships" name="Schools by Highest Grade Taught" sheetId="9" state="visible" r:id="rId9"/>
    <sheet xmlns:r="http://schemas.openxmlformats.org/officeDocument/2006/relationships" name="Enrollment &amp; Repeaters by Grade" sheetId="10" state="visible" r:id="rId10"/>
    <sheet xmlns:r="http://schemas.openxmlformats.org/officeDocument/2006/relationships" name="Enrollment by Level (incl. Priv" sheetId="11" state="visible" r:id="rId11"/>
    <sheet xmlns:r="http://schemas.openxmlformats.org/officeDocument/2006/relationships" name="Enrollment by Level 2020-2021" sheetId="12" state="visible" r:id="rId12"/>
    <sheet xmlns:r="http://schemas.openxmlformats.org/officeDocument/2006/relationships" name="New Intake &amp; Enrollment by Age " sheetId="13" state="visible" r:id="rId13"/>
    <sheet xmlns:r="http://schemas.openxmlformats.org/officeDocument/2006/relationships" name="New Intake &amp; Enrollment by Ag 1" sheetId="14" state="visible" r:id="rId14"/>
    <sheet xmlns:r="http://schemas.openxmlformats.org/officeDocument/2006/relationships" name="Pre-School Enrollment by Age (3" sheetId="15" state="visible" r:id="rId15"/>
    <sheet xmlns:r="http://schemas.openxmlformats.org/officeDocument/2006/relationships" name="Pre-School Enrollment by Step" sheetId="16" state="visible" r:id="rId16"/>
    <sheet xmlns:r="http://schemas.openxmlformats.org/officeDocument/2006/relationships" name="Non-Teaching Staff by Education" sheetId="17" state="visible" r:id="rId17"/>
    <sheet xmlns:r="http://schemas.openxmlformats.org/officeDocument/2006/relationships" name="Teaching Staff by Education Lev" sheetId="18" state="visible" r:id="rId18"/>
    <sheet xmlns:r="http://schemas.openxmlformats.org/officeDocument/2006/relationships" name="Learning Facilities (Computers," sheetId="19" state="visible" r:id="rId19"/>
    <sheet xmlns:r="http://schemas.openxmlformats.org/officeDocument/2006/relationships" name="School Building Conditions" sheetId="20" state="visible" r:id="rId20"/>
    <sheet xmlns:r="http://schemas.openxmlformats.org/officeDocument/2006/relationships" name="School Space &amp; Sports Facilitie" sheetId="21" state="visible" r:id="rId21"/>
    <sheet xmlns:r="http://schemas.openxmlformats.org/officeDocument/2006/relationships" name="School Fees - Pre-School (by St" sheetId="22" state="visible" r:id="rId22"/>
    <sheet xmlns:r="http://schemas.openxmlformats.org/officeDocument/2006/relationships" name="School Fees - Primary (by Grade" sheetId="23" state="visible" r:id="rId23"/>
    <sheet xmlns:r="http://schemas.openxmlformats.org/officeDocument/2006/relationships" name="School Fees - Secondary (by Gra" sheetId="24" state="visible" r:id="rId24"/>
    <sheet xmlns:r="http://schemas.openxmlformats.org/officeDocument/2006/relationships" name="Access &amp; Admission Rate Indicat" sheetId="25" state="visible" r:id="rId25"/>
    <sheet xmlns:r="http://schemas.openxmlformats.org/officeDocument/2006/relationships" name="Completion Rate 2021-2022" sheetId="26" state="visible" r:id="rId26"/>
    <sheet xmlns:r="http://schemas.openxmlformats.org/officeDocument/2006/relationships" name="Gender Parity Index 2020-2021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color rgb="00888888"/>
      <sz val="9"/>
    </font>
    <font>
      <name val="Arial"/>
      <sz val="10"/>
    </font>
    <font>
      <name val="Arial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FFC000"/>
      </patternFill>
    </fill>
    <fill>
      <patternFill patternType="solid">
        <fgColor rgb="00A9D18E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FF66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2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2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2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2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2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2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2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2" fillId="14" borderId="1" applyAlignment="1" pivotButton="0" quotePrefix="0" xfId="0">
      <alignment horizontal="left" vertical="center"/>
    </xf>
    <xf numFmtId="0" fontId="0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D4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48" customWidth="1" min="3" max="3"/>
    <col width="34" customWidth="1" min="4" max="4"/>
  </cols>
  <sheetData>
    <row r="2" ht="32" customHeight="1">
      <c r="B2" s="1" t="inlineStr">
        <is>
          <t>Cambodia Education — Private Schools 2020-2021</t>
        </is>
      </c>
    </row>
    <row r="4" ht="20" customHeight="1">
      <c r="B4" s="2" t="inlineStr">
        <is>
          <t>Category</t>
        </is>
      </c>
      <c r="C4" s="2" t="inlineStr">
        <is>
          <t>Sheet Description</t>
        </is>
      </c>
      <c r="D4" s="2" t="inlineStr">
        <is>
          <t>Open Sheet →</t>
        </is>
      </c>
    </row>
    <row r="5" ht="17" customHeight="1">
      <c r="B5" s="3" t="inlineStr">
        <is>
          <t xml:space="preserve">  ▸  Overview</t>
        </is>
      </c>
      <c r="C5" s="4" t="n"/>
      <c r="D5" s="4" t="n"/>
    </row>
    <row r="6" ht="15" customHeight="1">
      <c r="B6" s="5" t="inlineStr">
        <is>
          <t>Overview</t>
        </is>
      </c>
      <c r="C6" s="6" t="inlineStr">
        <is>
          <t>National Summary - Schools, Classes &amp; Staff</t>
        </is>
      </c>
      <c r="D6" s="7">
        <f>HYPERLINK("#'National Summary - Schools, Cla'!A1","National Summary - Schools, Cla")</f>
        <v/>
      </c>
    </row>
    <row r="7" ht="15" customHeight="1">
      <c r="B7" s="8" t="inlineStr">
        <is>
          <t>Overview</t>
        </is>
      </c>
      <c r="C7" s="9" t="inlineStr">
        <is>
          <t>Schools, Classes &amp; Staff by Province</t>
        </is>
      </c>
      <c r="D7" s="10">
        <f>HYPERLINK("#'Schools, Classes &amp; Staff by Pro'!A1","Schools, Classes &amp; Staff by Pro")</f>
        <v/>
      </c>
    </row>
    <row r="8" ht="17" customHeight="1">
      <c r="B8" s="11" t="inlineStr">
        <is>
          <t xml:space="preserve">  ▸  School Types</t>
        </is>
      </c>
      <c r="C8" s="12" t="n"/>
      <c r="D8" s="12" t="n"/>
    </row>
    <row r="9" ht="15" customHeight="1">
      <c r="B9" s="8" t="inlineStr">
        <is>
          <t>School Types</t>
        </is>
      </c>
      <c r="C9" s="9" t="inlineStr">
        <is>
          <t>Colleges by Province</t>
        </is>
      </c>
      <c r="D9" s="10">
        <f>HYPERLINK("#'Colleges by Province'!A1","Colleges by Province")</f>
        <v/>
      </c>
    </row>
    <row r="10" ht="15" customHeight="1">
      <c r="B10" s="5" t="inlineStr">
        <is>
          <t>School Types</t>
        </is>
      </c>
      <c r="C10" s="6" t="inlineStr">
        <is>
          <t>Lycees by Province</t>
        </is>
      </c>
      <c r="D10" s="7">
        <f>HYPERLINK("#'Lycees by Province'!A1","Lycees by Province")</f>
        <v/>
      </c>
    </row>
    <row r="11" ht="15" customHeight="1">
      <c r="B11" s="8" t="inlineStr">
        <is>
          <t>School Types</t>
        </is>
      </c>
      <c r="C11" s="9" t="inlineStr">
        <is>
          <t>Pre-Schools by Province</t>
        </is>
      </c>
      <c r="D11" s="10">
        <f>HYPERLINK("#'Pre-Schools by Province'!A1","Pre-Schools by Province")</f>
        <v/>
      </c>
    </row>
    <row r="12" ht="15" customHeight="1">
      <c r="B12" s="5" t="inlineStr">
        <is>
          <t>School Types</t>
        </is>
      </c>
      <c r="C12" s="6" t="inlineStr">
        <is>
          <t>Primary Schools by Province</t>
        </is>
      </c>
      <c r="D12" s="7">
        <f>HYPERLINK("#'Primary Schools by Province'!A1","Primary Schools by Province")</f>
        <v/>
      </c>
    </row>
    <row r="13" ht="15" customHeight="1">
      <c r="B13" s="8" t="inlineStr">
        <is>
          <t>School Types</t>
        </is>
      </c>
      <c r="C13" s="9" t="inlineStr">
        <is>
          <t>Secondary Schools by Province</t>
        </is>
      </c>
      <c r="D13" s="10">
        <f>HYPERLINK("#'Secondary Schools by Province'!A1","Secondary Schools by Province")</f>
        <v/>
      </c>
    </row>
    <row r="14" ht="17" customHeight="1">
      <c r="B14" s="13" t="inlineStr">
        <is>
          <t xml:space="preserve">  ▸  School Info</t>
        </is>
      </c>
      <c r="C14" s="14" t="n"/>
      <c r="D14" s="14" t="n"/>
    </row>
    <row r="15" ht="15" customHeight="1">
      <c r="B15" s="8" t="inlineStr">
        <is>
          <t>School Info</t>
        </is>
      </c>
      <c r="C15" s="9" t="inlineStr">
        <is>
          <t>Schools by Highest Grade Taught</t>
        </is>
      </c>
      <c r="D15" s="10">
        <f>HYPERLINK("#'Schools by Highest Grade Taught'!A1","Schools by Highest Grade Taught")</f>
        <v/>
      </c>
    </row>
    <row r="16" ht="17" customHeight="1">
      <c r="B16" s="15" t="inlineStr">
        <is>
          <t xml:space="preserve">  ▸  Enrollment</t>
        </is>
      </c>
      <c r="C16" s="16" t="n"/>
      <c r="D16" s="16" t="n"/>
    </row>
    <row r="17" ht="15" customHeight="1">
      <c r="B17" s="8" t="inlineStr">
        <is>
          <t>Enrollment</t>
        </is>
      </c>
      <c r="C17" s="9" t="inlineStr">
        <is>
          <t>Enrollment &amp; Repeaters by Grade</t>
        </is>
      </c>
      <c r="D17" s="10">
        <f>HYPERLINK("#'Enrollment &amp; Repeaters by Grade'!A1","Enrollment &amp; Repeaters by Grade")</f>
        <v/>
      </c>
    </row>
    <row r="18" ht="15" customHeight="1">
      <c r="B18" s="5" t="inlineStr">
        <is>
          <t>Enrollment</t>
        </is>
      </c>
      <c r="C18" s="6" t="inlineStr">
        <is>
          <t>Enrollment by Level (incl. Private)</t>
        </is>
      </c>
      <c r="D18" s="7">
        <f>HYPERLINK("#'Enrollment by Level (incl. Priv'!A1","Enrollment by Level (incl. Priv")</f>
        <v/>
      </c>
    </row>
    <row r="19" ht="15" customHeight="1">
      <c r="B19" s="8" t="inlineStr">
        <is>
          <t>Enrollment</t>
        </is>
      </c>
      <c r="C19" s="9" t="inlineStr">
        <is>
          <t>Enrollment by Level 2020-2021</t>
        </is>
      </c>
      <c r="D19" s="10">
        <f>HYPERLINK("#'Enrollment by Level 2020-2021'!A1","Enrollment by Level 2020-2021")</f>
        <v/>
      </c>
    </row>
    <row r="20" ht="15" customHeight="1">
      <c r="B20" s="5" t="inlineStr">
        <is>
          <t>Enrollment</t>
        </is>
      </c>
      <c r="C20" s="6" t="inlineStr">
        <is>
          <t>New Intake &amp; Enrollment by Age (Both)</t>
        </is>
      </c>
      <c r="D20" s="7">
        <f>HYPERLINK("#'New Intake &amp; Enrollment by Age '!A1","New Intake &amp; Enrollment by Age ")</f>
        <v/>
      </c>
    </row>
    <row r="21" ht="15" customHeight="1">
      <c r="B21" s="8" t="inlineStr">
        <is>
          <t>Enrollment</t>
        </is>
      </c>
      <c r="C21" s="9" t="inlineStr">
        <is>
          <t>New Intake &amp; Enrollment by Age (Female)</t>
        </is>
      </c>
      <c r="D21" s="10">
        <f>HYPERLINK("#'New Intake &amp; Enrollment by Ag 1'!A1","New Intake &amp; Enrollment by Ag 1")</f>
        <v/>
      </c>
    </row>
    <row r="22" ht="15" customHeight="1">
      <c r="B22" s="5" t="inlineStr">
        <is>
          <t>Enrollment</t>
        </is>
      </c>
      <c r="C22" s="6" t="inlineStr">
        <is>
          <t>Pre-School Enrollment by Age (3-5 yrs)</t>
        </is>
      </c>
      <c r="D22" s="7">
        <f>HYPERLINK("#'Pre-School Enrollment by Age (3'!A1","Pre-School Enrollment by Age (3")</f>
        <v/>
      </c>
    </row>
    <row r="23" ht="15" customHeight="1">
      <c r="B23" s="8" t="inlineStr">
        <is>
          <t>Enrollment</t>
        </is>
      </c>
      <c r="C23" s="9" t="inlineStr">
        <is>
          <t>Pre-School Enrollment by Step</t>
        </is>
      </c>
      <c r="D23" s="10">
        <f>HYPERLINK("#'Pre-School Enrollment by Step'!A1","Pre-School Enrollment by Step")</f>
        <v/>
      </c>
    </row>
    <row r="24" ht="17" customHeight="1">
      <c r="B24" s="17" t="inlineStr">
        <is>
          <t xml:space="preserve">  ▸  Staff</t>
        </is>
      </c>
      <c r="C24" s="18" t="n"/>
      <c r="D24" s="18" t="n"/>
    </row>
    <row r="25" ht="15" customHeight="1">
      <c r="B25" s="8" t="inlineStr">
        <is>
          <t>Staff</t>
        </is>
      </c>
      <c r="C25" s="9" t="inlineStr">
        <is>
          <t>Non-Teaching Staff by Education Level</t>
        </is>
      </c>
      <c r="D25" s="10">
        <f>HYPERLINK("#'Non-Teaching Staff by Education'!A1","Non-Teaching Staff by Education")</f>
        <v/>
      </c>
    </row>
    <row r="26" ht="15" customHeight="1">
      <c r="B26" s="5" t="inlineStr">
        <is>
          <t>Staff</t>
        </is>
      </c>
      <c r="C26" s="6" t="inlineStr">
        <is>
          <t>Teaching Staff by Education Level</t>
        </is>
      </c>
      <c r="D26" s="7">
        <f>HYPERLINK("#'Teaching Staff by Education Lev'!A1","Teaching Staff by Education Lev")</f>
        <v/>
      </c>
    </row>
    <row r="27" ht="17" customHeight="1">
      <c r="B27" s="19" t="inlineStr">
        <is>
          <t xml:space="preserve">  ▸  Facilities</t>
        </is>
      </c>
      <c r="C27" s="20" t="n"/>
      <c r="D27" s="20" t="n"/>
    </row>
    <row r="28" ht="15" customHeight="1">
      <c r="B28" s="5" t="inlineStr">
        <is>
          <t>Facilities</t>
        </is>
      </c>
      <c r="C28" s="6" t="inlineStr">
        <is>
          <t>Learning Facilities (Computers, Library etc.)</t>
        </is>
      </c>
      <c r="D28" s="7">
        <f>HYPERLINK("#'Learning Facilities (Computers,'!A1","Learning Facilities (Computers,")</f>
        <v/>
      </c>
    </row>
    <row r="29" ht="15" customHeight="1">
      <c r="B29" s="8" t="inlineStr">
        <is>
          <t>Facilities</t>
        </is>
      </c>
      <c r="C29" s="9" t="inlineStr">
        <is>
          <t>School Building Conditions</t>
        </is>
      </c>
      <c r="D29" s="10">
        <f>HYPERLINK("#'School Building Conditions'!A1","School Building Conditions")</f>
        <v/>
      </c>
    </row>
    <row r="30" ht="15" customHeight="1">
      <c r="B30" s="5" t="inlineStr">
        <is>
          <t>Facilities</t>
        </is>
      </c>
      <c r="C30" s="6" t="inlineStr">
        <is>
          <t>School Space &amp; Sports Facilities</t>
        </is>
      </c>
      <c r="D30" s="7">
        <f>HYPERLINK("#'School Space &amp; Sports Facilitie'!A1","School Space &amp; Sports Facilitie")</f>
        <v/>
      </c>
    </row>
    <row r="31" ht="17" customHeight="1">
      <c r="B31" s="21" t="inlineStr">
        <is>
          <t xml:space="preserve">  ▸  Fees</t>
        </is>
      </c>
      <c r="C31" s="22" t="n"/>
      <c r="D31" s="22" t="n"/>
    </row>
    <row r="32" ht="15" customHeight="1">
      <c r="B32" s="5" t="inlineStr">
        <is>
          <t>Fees</t>
        </is>
      </c>
      <c r="C32" s="6" t="inlineStr">
        <is>
          <t>School Fees - Pre-School (by Step)</t>
        </is>
      </c>
      <c r="D32" s="7">
        <f>HYPERLINK("#'School Fees - Pre-School (by St'!A1","School Fees - Pre-School (by St")</f>
        <v/>
      </c>
    </row>
    <row r="33" ht="15" customHeight="1">
      <c r="B33" s="8" t="inlineStr">
        <is>
          <t>Fees</t>
        </is>
      </c>
      <c r="C33" s="9" t="inlineStr">
        <is>
          <t>School Fees - Primary (by Grade)</t>
        </is>
      </c>
      <c r="D33" s="10">
        <f>HYPERLINK("#'School Fees - Primary (by Grade'!A1","School Fees - Primary (by Grade")</f>
        <v/>
      </c>
    </row>
    <row r="34" ht="15" customHeight="1">
      <c r="B34" s="5" t="inlineStr">
        <is>
          <t>Fees</t>
        </is>
      </c>
      <c r="C34" s="6" t="inlineStr">
        <is>
          <t>School Fees - Secondary (by Grade)</t>
        </is>
      </c>
      <c r="D34" s="7">
        <f>HYPERLINK("#'School Fees - Secondary (by Gra'!A1","School Fees - Secondary (by Gra")</f>
        <v/>
      </c>
    </row>
    <row r="35" ht="17" customHeight="1">
      <c r="B35" s="23" t="inlineStr">
        <is>
          <t xml:space="preserve">  ▸  Indicators</t>
        </is>
      </c>
      <c r="C35" s="24" t="n"/>
      <c r="D35" s="24" t="n"/>
    </row>
    <row r="36" ht="15" customHeight="1">
      <c r="B36" s="5" t="inlineStr">
        <is>
          <t>Indicators</t>
        </is>
      </c>
      <c r="C36" s="6" t="inlineStr">
        <is>
          <t>Access &amp; Admission Rate Indicators</t>
        </is>
      </c>
      <c r="D36" s="7">
        <f>HYPERLINK("#'Access &amp; Admission Rate Indicat'!A1","Access &amp; Admission Rate Indicat")</f>
        <v/>
      </c>
    </row>
    <row r="37" ht="17" customHeight="1">
      <c r="B37" s="25" t="inlineStr">
        <is>
          <t xml:space="preserve">  ▸  Student Flow</t>
        </is>
      </c>
      <c r="C37" s="26" t="n"/>
      <c r="D37" s="26" t="n"/>
    </row>
    <row r="38" ht="15" customHeight="1">
      <c r="B38" s="5" t="inlineStr">
        <is>
          <t>Student Flow</t>
        </is>
      </c>
      <c r="C38" s="6" t="inlineStr">
        <is>
          <t>Completion Rate 2021-2022</t>
        </is>
      </c>
      <c r="D38" s="7">
        <f>HYPERLINK("#'Completion Rate 2021-2022'!A1","Completion Rate 2021-2022")</f>
        <v/>
      </c>
    </row>
    <row r="39" ht="17" customHeight="1">
      <c r="B39" s="27" t="inlineStr">
        <is>
          <t xml:space="preserve">  ▸  Gender &amp; Equity</t>
        </is>
      </c>
      <c r="C39" s="28" t="n"/>
      <c r="D39" s="28" t="n"/>
    </row>
    <row r="40" ht="15" customHeight="1">
      <c r="B40" s="5" t="inlineStr">
        <is>
          <t>Gender &amp; Equity</t>
        </is>
      </c>
      <c r="C40" s="6" t="inlineStr">
        <is>
          <t>Gender Parity Index 2020-2021</t>
        </is>
      </c>
      <c r="D40" s="7">
        <f>HYPERLINK("#'Gender Parity Index 2020-2021'!A1","Gender Parity Index 2020-2021")</f>
        <v/>
      </c>
    </row>
  </sheetData>
  <mergeCells count="11">
    <mergeCell ref="B5:D5"/>
    <mergeCell ref="B14:D14"/>
    <mergeCell ref="B37:D37"/>
    <mergeCell ref="B31:D31"/>
    <mergeCell ref="B8:D8"/>
    <mergeCell ref="B35:D35"/>
    <mergeCell ref="B2:D2"/>
    <mergeCell ref="B27:D27"/>
    <mergeCell ref="B39:D39"/>
    <mergeCell ref="B24:D24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cols>
    <col width="16.1640625" customWidth="1" min="1" max="1"/>
    <col width="8.6640625" customWidth="1" min="2" max="2"/>
    <col width="7.33203125" customWidth="1" min="4" max="4"/>
    <col width="8.1640625" customWidth="1" min="5" max="5"/>
    <col width="7.33203125" customWidth="1" min="6" max="6"/>
    <col width="7.5" customWidth="1" min="7" max="7"/>
    <col width="10.1640625" customWidth="1" min="9" max="9"/>
    <col width="7.33203125" customWidth="1" min="10" max="10"/>
    <col width="7.5" customWidth="1" min="11" max="11"/>
    <col width="7.33203125" customWidth="1" min="12" max="12"/>
    <col width="8.1640625" customWidth="1" min="13" max="13"/>
    <col width="7.33203125" customWidth="1" min="15" max="15"/>
    <col width="7.1640625" customWidth="1" min="16" max="16"/>
    <col width="8.1640625" customWidth="1" min="17" max="17"/>
    <col width="7.1640625" customWidth="1" min="18" max="18"/>
    <col width="8.5" customWidth="1" min="19" max="19"/>
    <col width="9.33203125" customWidth="1" min="20" max="20"/>
    <col width="6.5" customWidth="1" min="21" max="21"/>
    <col width="6.6640625" customWidth="1" min="22" max="22"/>
    <col width="6.1640625" customWidth="1" min="23" max="23"/>
  </cols>
  <sheetData>
    <row r="1">
      <c r="A1" t="inlineStr">
        <is>
          <t>Table 1: Schools, Classes, Students and Staff</t>
        </is>
      </c>
    </row>
    <row r="2">
      <c r="A2" t="inlineStr">
        <is>
          <t>Particulars</t>
        </is>
      </c>
      <c r="B2" t="inlineStr">
        <is>
          <t>Number of Schools</t>
        </is>
      </c>
      <c r="C2" t="inlineStr">
        <is>
          <t>Number of Classes</t>
        </is>
      </c>
      <c r="D2" t="inlineStr">
        <is>
          <t>Schools</t>
        </is>
      </c>
      <c r="M2" t="inlineStr">
        <is>
          <t>Enrollment</t>
        </is>
      </c>
      <c r="O2" t="inlineStr">
        <is>
          <t>Repeaters</t>
        </is>
      </c>
      <c r="Q2" t="inlineStr">
        <is>
          <t>Teaching Staff</t>
        </is>
      </c>
      <c r="S2" t="inlineStr">
        <is>
          <t>Non-Teaching Staff</t>
        </is>
      </c>
      <c r="U2" t="inlineStr">
        <is>
          <t>Foreigner
Teaching Staff</t>
        </is>
      </c>
    </row>
    <row r="3">
      <c r="D3" t="inlineStr">
        <is>
          <t>khmer</t>
        </is>
      </c>
      <c r="E3" t="inlineStr">
        <is>
          <t>Chinesse</t>
        </is>
      </c>
      <c r="F3" t="inlineStr">
        <is>
          <t>Muslim</t>
        </is>
      </c>
      <c r="G3" t="inlineStr">
        <is>
          <t>French</t>
        </is>
      </c>
      <c r="H3" t="inlineStr">
        <is>
          <t>English</t>
        </is>
      </c>
      <c r="I3" t="inlineStr">
        <is>
          <t>Vietnamese</t>
        </is>
      </c>
      <c r="J3" t="inlineStr">
        <is>
          <t>Korean</t>
        </is>
      </c>
      <c r="K3" t="inlineStr">
        <is>
          <t>Japanese</t>
        </is>
      </c>
      <c r="L3" t="inlineStr">
        <is>
          <t>Other</t>
        </is>
      </c>
      <c r="M3" t="inlineStr">
        <is>
          <t>Total</t>
        </is>
      </c>
      <c r="N3" t="inlineStr">
        <is>
          <t>Girl</t>
        </is>
      </c>
      <c r="O3" t="inlineStr">
        <is>
          <t>Total</t>
        </is>
      </c>
      <c r="P3" t="inlineStr">
        <is>
          <t>Girl</t>
        </is>
      </c>
      <c r="Q3" t="inlineStr">
        <is>
          <t>Total</t>
        </is>
      </c>
      <c r="R3" t="inlineStr">
        <is>
          <t>Female</t>
        </is>
      </c>
      <c r="S3" t="inlineStr">
        <is>
          <t>Total</t>
        </is>
      </c>
      <c r="T3" t="inlineStr">
        <is>
          <t>Female</t>
        </is>
      </c>
      <c r="U3" t="inlineStr">
        <is>
          <t>Total</t>
        </is>
      </c>
      <c r="V3" t="inlineStr">
        <is>
          <t>Female</t>
        </is>
      </c>
    </row>
    <row r="4">
      <c r="A4" t="inlineStr">
        <is>
          <t>Whole Kingdom</t>
        </is>
      </c>
      <c r="B4" t="n">
        <v>1666</v>
      </c>
      <c r="C4" t="n">
        <v>11895</v>
      </c>
      <c r="D4" t="n">
        <v>1385</v>
      </c>
      <c r="E4" t="n">
        <v>31</v>
      </c>
      <c r="F4" t="n">
        <v>42</v>
      </c>
      <c r="G4" t="n">
        <v>3</v>
      </c>
      <c r="H4" t="n">
        <v>195</v>
      </c>
      <c r="I4" t="n">
        <v>0</v>
      </c>
      <c r="J4" t="n">
        <v>3</v>
      </c>
      <c r="K4" t="n">
        <v>2</v>
      </c>
      <c r="L4" t="n">
        <v>5</v>
      </c>
      <c r="M4" t="n">
        <v>240550</v>
      </c>
      <c r="N4" t="n">
        <v>118049</v>
      </c>
      <c r="O4" t="n">
        <v>2832</v>
      </c>
      <c r="P4" t="n">
        <v>1331</v>
      </c>
      <c r="Q4" t="n">
        <v>15302</v>
      </c>
      <c r="R4" t="n">
        <v>9179</v>
      </c>
      <c r="S4" t="n">
        <v>6880</v>
      </c>
      <c r="T4" t="n">
        <v>4167</v>
      </c>
      <c r="U4" t="n">
        <v>1917</v>
      </c>
      <c r="V4" t="n">
        <v>1917</v>
      </c>
    </row>
    <row r="5">
      <c r="A5" t="inlineStr">
        <is>
          <t>- Pre School</t>
        </is>
      </c>
      <c r="B5" t="n">
        <v>688</v>
      </c>
      <c r="C5" t="n">
        <v>2358</v>
      </c>
      <c r="D5" t="n">
        <v>528</v>
      </c>
      <c r="E5" t="n">
        <v>4</v>
      </c>
      <c r="F5" t="n">
        <v>21</v>
      </c>
      <c r="G5" t="n">
        <v>2</v>
      </c>
      <c r="H5" t="n">
        <v>128</v>
      </c>
      <c r="I5" t="n">
        <v>0</v>
      </c>
      <c r="J5" t="n">
        <v>1</v>
      </c>
      <c r="K5" t="n">
        <v>1</v>
      </c>
      <c r="L5" t="n">
        <v>3</v>
      </c>
      <c r="M5" t="n">
        <v>41570</v>
      </c>
      <c r="N5" t="n">
        <v>18570</v>
      </c>
      <c r="O5" t="n">
        <v>0</v>
      </c>
      <c r="P5" t="n">
        <v>0</v>
      </c>
      <c r="Q5" t="n">
        <v>2631</v>
      </c>
      <c r="R5" t="n">
        <v>2283</v>
      </c>
      <c r="S5" t="n">
        <v>1790</v>
      </c>
      <c r="T5" t="n">
        <v>1292</v>
      </c>
      <c r="U5" t="n">
        <v>677</v>
      </c>
      <c r="V5" t="n">
        <v>677</v>
      </c>
    </row>
    <row r="6">
      <c r="A6" t="inlineStr">
        <is>
          <t>- Primary School</t>
        </is>
      </c>
      <c r="B6" t="n">
        <v>655</v>
      </c>
      <c r="C6" t="n">
        <v>6654</v>
      </c>
      <c r="D6" t="n">
        <v>534</v>
      </c>
      <c r="E6" t="n">
        <v>27</v>
      </c>
      <c r="F6" t="n">
        <v>21</v>
      </c>
      <c r="G6" t="n">
        <v>1</v>
      </c>
      <c r="H6" t="n">
        <v>67</v>
      </c>
      <c r="I6" t="n">
        <v>0</v>
      </c>
      <c r="J6" t="n">
        <v>2</v>
      </c>
      <c r="K6" t="n">
        <v>1</v>
      </c>
      <c r="L6" t="n">
        <v>2</v>
      </c>
      <c r="M6" t="n">
        <v>130586</v>
      </c>
      <c r="N6" t="n">
        <v>64643</v>
      </c>
      <c r="O6" t="n">
        <v>2414</v>
      </c>
      <c r="P6" t="n">
        <v>1134</v>
      </c>
      <c r="Q6" t="n">
        <v>6063</v>
      </c>
      <c r="R6" t="n">
        <v>4261</v>
      </c>
      <c r="S6" t="n">
        <v>2977</v>
      </c>
      <c r="T6" t="n">
        <v>1788</v>
      </c>
      <c r="U6" t="n">
        <v>803</v>
      </c>
      <c r="V6" t="n">
        <v>803</v>
      </c>
    </row>
    <row r="7">
      <c r="A7" t="inlineStr">
        <is>
          <t>- Collage</t>
        </is>
      </c>
      <c r="B7" t="n">
        <v>112</v>
      </c>
      <c r="C7" t="n">
        <v>496</v>
      </c>
      <c r="D7" t="n">
        <v>112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9298</v>
      </c>
      <c r="N7" t="n">
        <v>4503</v>
      </c>
      <c r="O7" t="n">
        <v>43</v>
      </c>
      <c r="P7" t="n">
        <v>9</v>
      </c>
      <c r="Q7" t="n">
        <v>1246</v>
      </c>
      <c r="R7" t="n">
        <v>548</v>
      </c>
      <c r="S7" t="n">
        <v>331</v>
      </c>
      <c r="T7" t="n">
        <v>171</v>
      </c>
      <c r="U7" t="n">
        <v>128</v>
      </c>
      <c r="V7" t="n">
        <v>128</v>
      </c>
    </row>
    <row r="8">
      <c r="A8" t="inlineStr">
        <is>
          <t>- Lycee 10-12</t>
        </is>
      </c>
      <c r="B8" t="n">
        <v>5</v>
      </c>
      <c r="C8" t="n">
        <v>30</v>
      </c>
      <c r="D8" t="n">
        <v>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812</v>
      </c>
      <c r="N8" t="n">
        <v>464</v>
      </c>
      <c r="O8" t="n">
        <v>4</v>
      </c>
      <c r="P8" t="n">
        <v>1</v>
      </c>
      <c r="Q8" t="n">
        <v>108</v>
      </c>
      <c r="R8" t="n">
        <v>33</v>
      </c>
      <c r="S8" t="n">
        <v>23</v>
      </c>
      <c r="T8" t="n">
        <v>12</v>
      </c>
      <c r="U8" t="n">
        <v>3</v>
      </c>
      <c r="V8" t="n">
        <v>3</v>
      </c>
    </row>
    <row r="9">
      <c r="A9" t="inlineStr">
        <is>
          <t>- Lycee 7-12</t>
        </is>
      </c>
      <c r="B9" t="n">
        <v>206</v>
      </c>
      <c r="C9" t="n">
        <v>2357</v>
      </c>
      <c r="D9" t="n">
        <v>206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58284</v>
      </c>
      <c r="N9" t="n">
        <v>29869</v>
      </c>
      <c r="O9" t="n">
        <v>371</v>
      </c>
      <c r="P9" t="n">
        <v>187</v>
      </c>
      <c r="Q9" t="n">
        <v>5254</v>
      </c>
      <c r="R9" t="n">
        <v>2054</v>
      </c>
      <c r="S9" t="n">
        <v>1759</v>
      </c>
      <c r="T9" t="n">
        <v>904</v>
      </c>
      <c r="U9" t="n">
        <v>306</v>
      </c>
      <c r="V9" t="n">
        <v>306</v>
      </c>
    </row>
    <row r="10">
      <c r="A10" t="inlineStr">
        <is>
          <t>- Lower secondary</t>
        </is>
      </c>
      <c r="B10" t="n">
        <v>323</v>
      </c>
      <c r="C10" t="n">
        <v>1695</v>
      </c>
      <c r="D10" t="n">
        <v>323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40899</v>
      </c>
      <c r="N10" t="n">
        <v>20714</v>
      </c>
      <c r="O10" t="n">
        <v>295</v>
      </c>
      <c r="P10" t="n">
        <v>139</v>
      </c>
    </row>
    <row r="11">
      <c r="A11" t="inlineStr">
        <is>
          <t>- Upper secondary</t>
        </is>
      </c>
      <c r="B11" t="n">
        <v>211</v>
      </c>
      <c r="C11" t="n">
        <v>1076</v>
      </c>
      <c r="D11" t="n">
        <v>211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25171</v>
      </c>
      <c r="N11" t="n">
        <v>13034</v>
      </c>
      <c r="O11" t="n">
        <v>120</v>
      </c>
      <c r="P11" t="n">
        <v>56</v>
      </c>
    </row>
    <row r="12">
      <c r="A12" t="inlineStr">
        <is>
          <t>- Urban Area</t>
        </is>
      </c>
      <c r="B12" t="n">
        <v>1320</v>
      </c>
      <c r="C12" t="n">
        <v>9799</v>
      </c>
      <c r="D12" t="n">
        <v>1125</v>
      </c>
      <c r="E12" t="n">
        <v>4</v>
      </c>
      <c r="F12" t="n">
        <v>26</v>
      </c>
      <c r="G12" t="n">
        <v>3</v>
      </c>
      <c r="H12" t="n">
        <v>157</v>
      </c>
      <c r="I12" t="n">
        <v>0</v>
      </c>
      <c r="J12" t="n">
        <v>1</v>
      </c>
      <c r="K12" t="n">
        <v>2</v>
      </c>
      <c r="L12" t="n">
        <v>2</v>
      </c>
      <c r="M12" t="n">
        <v>196707</v>
      </c>
      <c r="N12" t="n">
        <v>96293</v>
      </c>
      <c r="O12" t="n">
        <v>2079</v>
      </c>
      <c r="P12" t="n">
        <v>995</v>
      </c>
      <c r="Q12" t="n">
        <v>12631</v>
      </c>
      <c r="R12" t="n">
        <v>7655</v>
      </c>
      <c r="S12" t="n">
        <v>6196</v>
      </c>
      <c r="T12" t="n">
        <v>3844</v>
      </c>
      <c r="U12" t="n">
        <v>1801</v>
      </c>
      <c r="V12" t="n">
        <v>1801</v>
      </c>
    </row>
    <row r="13">
      <c r="A13" t="inlineStr">
        <is>
          <t>- Rural Area</t>
        </is>
      </c>
      <c r="B13" t="n">
        <v>346</v>
      </c>
      <c r="C13" t="n">
        <v>2096</v>
      </c>
      <c r="D13" t="n">
        <v>260</v>
      </c>
      <c r="E13" t="n">
        <v>27</v>
      </c>
      <c r="F13" t="n">
        <v>16</v>
      </c>
      <c r="G13" t="n">
        <v>0</v>
      </c>
      <c r="H13" t="n">
        <v>38</v>
      </c>
      <c r="I13" t="n">
        <v>0</v>
      </c>
      <c r="J13" t="n">
        <v>2</v>
      </c>
      <c r="K13" t="n">
        <v>0</v>
      </c>
      <c r="L13" t="n">
        <v>3</v>
      </c>
      <c r="M13" t="n">
        <v>43843</v>
      </c>
      <c r="N13" t="n">
        <v>21756</v>
      </c>
      <c r="O13" t="n">
        <v>753</v>
      </c>
      <c r="P13" t="n">
        <v>336</v>
      </c>
      <c r="Q13" t="n">
        <v>2671</v>
      </c>
      <c r="R13" t="n">
        <v>1524</v>
      </c>
      <c r="S13" t="n">
        <v>684</v>
      </c>
      <c r="T13" t="n">
        <v>323</v>
      </c>
      <c r="U13" t="n">
        <v>116</v>
      </c>
      <c r="V13" t="n">
        <v>116</v>
      </c>
    </row>
    <row r="14">
      <c r="A14" t="inlineStr">
        <is>
          <t>Page 1                                                                                                                                                           Whole Kingdom                                                                                                                    Summary Statistics, 2021-2022</t>
        </is>
      </c>
    </row>
    <row r="15">
      <c r="A15" t="inlineStr">
        <is>
          <t xml:space="preserve">       :                    </t>
        </is>
      </c>
    </row>
  </sheetData>
  <mergeCells count="12">
    <mergeCell ref="A14:W14"/>
    <mergeCell ref="D2:L2"/>
    <mergeCell ref="M2:N2"/>
    <mergeCell ref="O2:P2"/>
    <mergeCell ref="Q2:R2"/>
    <mergeCell ref="S2:T2"/>
    <mergeCell ref="U2:V2"/>
    <mergeCell ref="A1:V1"/>
    <mergeCell ref="A15:W15"/>
    <mergeCell ref="B2:B3"/>
    <mergeCell ref="A2:A3"/>
    <mergeCell ref="C2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9.33203125" customWidth="1" min="1" max="1"/>
    <col width="12" customWidth="1" min="2" max="2"/>
    <col width="12.1640625" customWidth="1" min="4" max="4"/>
    <col width="12" customWidth="1" min="5" max="5"/>
    <col width="12.1640625" customWidth="1" min="9" max="9"/>
    <col width="12" customWidth="1" min="10" max="10"/>
    <col width="12.1640625" customWidth="1" min="14" max="14"/>
    <col width="12.5" customWidth="1" min="15" max="15"/>
  </cols>
  <sheetData>
    <row r="1">
      <c r="A1" t="inlineStr">
        <is>
          <t>Table 1: Schools, Classes, Students and Staff</t>
        </is>
      </c>
    </row>
    <row r="2">
      <c r="A2" t="inlineStr">
        <is>
          <t>Province</t>
        </is>
      </c>
      <c r="B2" t="inlineStr">
        <is>
          <t>Number of
Schools</t>
        </is>
      </c>
      <c r="C2" t="inlineStr">
        <is>
          <t>Number of
Classes</t>
        </is>
      </c>
      <c r="D2" t="inlineStr">
        <is>
          <t>Enrollment</t>
        </is>
      </c>
      <c r="F2" t="inlineStr">
        <is>
          <t>Teaching Staff</t>
        </is>
      </c>
      <c r="H2" t="inlineStr">
        <is>
          <t>Non-Teaching Staff</t>
        </is>
      </c>
      <c r="J2" t="inlineStr">
        <is>
          <t>Foreigner Teaching Staff</t>
        </is>
      </c>
      <c r="L2" t="inlineStr">
        <is>
          <t>Buildings</t>
        </is>
      </c>
      <c r="M2" t="inlineStr">
        <is>
          <t>Rooms</t>
        </is>
      </c>
      <c r="N2" t="inlineStr">
        <is>
          <t>Classrooms</t>
        </is>
      </c>
    </row>
    <row r="3">
      <c r="D3" t="inlineStr">
        <is>
          <t>Total</t>
        </is>
      </c>
      <c r="E3" t="inlineStr">
        <is>
          <t>Girl</t>
        </is>
      </c>
      <c r="F3" t="inlineStr">
        <is>
          <t>Total</t>
        </is>
      </c>
      <c r="G3" t="inlineStr">
        <is>
          <t>Female</t>
        </is>
      </c>
      <c r="H3" t="inlineStr">
        <is>
          <t>Total</t>
        </is>
      </c>
      <c r="I3" t="inlineStr">
        <is>
          <t>Female</t>
        </is>
      </c>
      <c r="J3" t="inlineStr">
        <is>
          <t>Total</t>
        </is>
      </c>
      <c r="K3" t="inlineStr">
        <is>
          <t>Female</t>
        </is>
      </c>
    </row>
    <row r="4">
      <c r="A4" t="inlineStr">
        <is>
          <t>Banteay Meanchey</t>
        </is>
      </c>
      <c r="B4" t="n">
        <v>140</v>
      </c>
      <c r="C4" t="n">
        <v>908</v>
      </c>
      <c r="D4" t="n">
        <v>20437</v>
      </c>
      <c r="E4" t="n">
        <v>10067</v>
      </c>
      <c r="F4" t="n">
        <v>1261</v>
      </c>
      <c r="G4" t="n">
        <v>714</v>
      </c>
      <c r="H4" t="n">
        <v>246</v>
      </c>
      <c r="I4" t="n">
        <v>131</v>
      </c>
      <c r="J4" t="n">
        <v>89</v>
      </c>
      <c r="K4" t="n">
        <v>48</v>
      </c>
      <c r="L4" t="n">
        <v>248</v>
      </c>
      <c r="M4" t="n">
        <v>2220</v>
      </c>
      <c r="N4" t="n">
        <v>768</v>
      </c>
    </row>
    <row r="5">
      <c r="A5" t="inlineStr">
        <is>
          <t>Battambang</t>
        </is>
      </c>
      <c r="B5" t="n">
        <v>61</v>
      </c>
      <c r="C5" t="n">
        <v>484</v>
      </c>
      <c r="D5" t="n">
        <v>9270</v>
      </c>
      <c r="E5" t="n">
        <v>4563</v>
      </c>
      <c r="F5" t="n">
        <v>939</v>
      </c>
      <c r="G5" t="n">
        <v>569</v>
      </c>
      <c r="H5" t="n">
        <v>351</v>
      </c>
      <c r="I5" t="n">
        <v>216</v>
      </c>
      <c r="J5" t="n">
        <v>63</v>
      </c>
      <c r="K5" t="n">
        <v>37</v>
      </c>
      <c r="L5" t="n">
        <v>90</v>
      </c>
      <c r="M5" t="n">
        <v>1182</v>
      </c>
      <c r="N5" t="n">
        <v>456</v>
      </c>
    </row>
    <row r="6">
      <c r="A6" t="inlineStr">
        <is>
          <t>Kampong Cham</t>
        </is>
      </c>
      <c r="B6" t="n">
        <v>36</v>
      </c>
      <c r="C6" t="n">
        <v>246</v>
      </c>
      <c r="D6" t="n">
        <v>4195</v>
      </c>
      <c r="E6" t="n">
        <v>2144</v>
      </c>
      <c r="F6" t="n">
        <v>284</v>
      </c>
      <c r="G6" t="n">
        <v>176</v>
      </c>
      <c r="H6" t="n">
        <v>71</v>
      </c>
      <c r="I6" t="n">
        <v>33</v>
      </c>
      <c r="J6" t="n">
        <v>8</v>
      </c>
      <c r="K6" t="n">
        <v>2</v>
      </c>
      <c r="L6" t="n">
        <v>62</v>
      </c>
      <c r="M6" t="n">
        <v>291</v>
      </c>
      <c r="N6" t="n">
        <v>190</v>
      </c>
    </row>
    <row r="7">
      <c r="A7" t="inlineStr">
        <is>
          <t>Kampong Chhnang</t>
        </is>
      </c>
      <c r="B7" t="n">
        <v>28</v>
      </c>
      <c r="C7" t="n">
        <v>175</v>
      </c>
      <c r="D7" t="n">
        <v>3706</v>
      </c>
      <c r="E7" t="n">
        <v>1640</v>
      </c>
      <c r="F7" t="n">
        <v>328</v>
      </c>
      <c r="G7" t="n">
        <v>205</v>
      </c>
      <c r="H7" t="n">
        <v>87</v>
      </c>
      <c r="I7" t="n">
        <v>60</v>
      </c>
      <c r="J7" t="n">
        <v>26</v>
      </c>
      <c r="K7" t="n">
        <v>19</v>
      </c>
      <c r="L7" t="n">
        <v>67</v>
      </c>
      <c r="M7" t="n">
        <v>443</v>
      </c>
      <c r="N7" t="n">
        <v>172</v>
      </c>
    </row>
    <row r="8">
      <c r="A8" t="inlineStr">
        <is>
          <t>Kampong Speu</t>
        </is>
      </c>
      <c r="B8" t="n">
        <v>64</v>
      </c>
      <c r="C8" t="n">
        <v>460</v>
      </c>
      <c r="D8" t="n">
        <v>7781</v>
      </c>
      <c r="E8" t="n">
        <v>3746</v>
      </c>
      <c r="F8" t="n">
        <v>591</v>
      </c>
      <c r="G8" t="n">
        <v>378</v>
      </c>
      <c r="H8" t="n">
        <v>133</v>
      </c>
      <c r="I8" t="n">
        <v>59</v>
      </c>
      <c r="J8" t="n">
        <v>48</v>
      </c>
      <c r="K8" t="n">
        <v>32</v>
      </c>
      <c r="L8" t="n">
        <v>129</v>
      </c>
      <c r="M8" t="n">
        <v>862</v>
      </c>
      <c r="N8" t="n">
        <v>381</v>
      </c>
    </row>
    <row r="9">
      <c r="A9" t="inlineStr">
        <is>
          <t>Kampong Thom</t>
        </is>
      </c>
      <c r="B9" t="n">
        <v>55</v>
      </c>
      <c r="C9" t="n">
        <v>204</v>
      </c>
      <c r="D9" t="n">
        <v>4551</v>
      </c>
      <c r="E9" t="n">
        <v>2205</v>
      </c>
      <c r="F9" t="n">
        <v>309</v>
      </c>
      <c r="G9" t="n">
        <v>174</v>
      </c>
      <c r="H9" t="n">
        <v>74</v>
      </c>
      <c r="I9" t="n">
        <v>39</v>
      </c>
      <c r="J9" t="n">
        <v>31</v>
      </c>
      <c r="K9" t="n">
        <v>22</v>
      </c>
      <c r="L9" t="n">
        <v>82</v>
      </c>
      <c r="M9" t="n">
        <v>502</v>
      </c>
      <c r="N9" t="n">
        <v>187</v>
      </c>
    </row>
    <row r="10">
      <c r="A10" t="inlineStr">
        <is>
          <t>Kampot</t>
        </is>
      </c>
      <c r="B10" t="n">
        <v>42</v>
      </c>
      <c r="C10" t="n">
        <v>327</v>
      </c>
      <c r="D10" t="n">
        <v>8698</v>
      </c>
      <c r="E10" t="n">
        <v>4592</v>
      </c>
      <c r="F10" t="n">
        <v>568</v>
      </c>
      <c r="G10" t="n">
        <v>292</v>
      </c>
      <c r="H10" t="n">
        <v>94</v>
      </c>
      <c r="I10" t="n">
        <v>59</v>
      </c>
      <c r="J10" t="n">
        <v>14</v>
      </c>
      <c r="K10" t="n">
        <v>12</v>
      </c>
      <c r="L10" t="n">
        <v>97</v>
      </c>
      <c r="M10" t="n">
        <v>688</v>
      </c>
      <c r="N10" t="n">
        <v>301</v>
      </c>
    </row>
    <row r="11">
      <c r="A11" t="inlineStr">
        <is>
          <t>Kandal</t>
        </is>
      </c>
      <c r="B11" t="n">
        <v>88</v>
      </c>
      <c r="C11" t="n">
        <v>620</v>
      </c>
      <c r="D11" t="n">
        <v>14542</v>
      </c>
      <c r="E11" t="n">
        <v>7164</v>
      </c>
      <c r="F11" t="n">
        <v>753</v>
      </c>
      <c r="G11" t="n">
        <v>455</v>
      </c>
      <c r="H11" t="n">
        <v>326</v>
      </c>
      <c r="I11" t="n">
        <v>168</v>
      </c>
      <c r="J11" t="n">
        <v>86</v>
      </c>
      <c r="K11" t="n">
        <v>31</v>
      </c>
      <c r="L11" t="n">
        <v>176</v>
      </c>
      <c r="M11" t="n">
        <v>1578</v>
      </c>
      <c r="N11" t="n">
        <v>571</v>
      </c>
    </row>
    <row r="12">
      <c r="A12" t="inlineStr">
        <is>
          <t>Kep</t>
        </is>
      </c>
      <c r="B12" t="n">
        <v>3</v>
      </c>
      <c r="C12" t="n">
        <v>18</v>
      </c>
      <c r="D12" t="n">
        <v>536</v>
      </c>
      <c r="E12" t="n">
        <v>300</v>
      </c>
      <c r="F12" t="n">
        <v>25</v>
      </c>
      <c r="G12" t="n">
        <v>19</v>
      </c>
      <c r="H12" t="n">
        <v>4</v>
      </c>
      <c r="I12" t="n">
        <v>3</v>
      </c>
      <c r="J12" t="n">
        <v>18</v>
      </c>
      <c r="K12" t="n">
        <v>13</v>
      </c>
      <c r="L12" t="n">
        <v>4</v>
      </c>
      <c r="M12" t="n">
        <v>21</v>
      </c>
      <c r="N12" t="n">
        <v>18</v>
      </c>
    </row>
    <row r="13">
      <c r="A13" t="inlineStr">
        <is>
          <t>Koh Kong</t>
        </is>
      </c>
      <c r="B13" t="n">
        <v>18</v>
      </c>
      <c r="C13" t="n">
        <v>91</v>
      </c>
      <c r="D13" t="n">
        <v>2307</v>
      </c>
      <c r="E13" t="n">
        <v>1189</v>
      </c>
      <c r="F13" t="n">
        <v>119</v>
      </c>
      <c r="G13" t="n">
        <v>78</v>
      </c>
      <c r="H13" t="n">
        <v>25</v>
      </c>
      <c r="I13" t="n">
        <v>7</v>
      </c>
      <c r="J13" t="n">
        <v>3</v>
      </c>
      <c r="K13" t="n">
        <v>2</v>
      </c>
      <c r="L13" t="n">
        <v>42</v>
      </c>
      <c r="M13" t="n">
        <v>188</v>
      </c>
      <c r="N13" t="n">
        <v>86</v>
      </c>
    </row>
    <row r="14">
      <c r="A14" t="inlineStr">
        <is>
          <t>Kratie</t>
        </is>
      </c>
      <c r="B14" t="n">
        <v>9</v>
      </c>
      <c r="C14" t="n">
        <v>61</v>
      </c>
      <c r="D14" t="n">
        <v>1192</v>
      </c>
      <c r="E14" t="n">
        <v>662</v>
      </c>
      <c r="F14" t="n">
        <v>87</v>
      </c>
      <c r="G14" t="n">
        <v>68</v>
      </c>
      <c r="H14" t="n">
        <v>74</v>
      </c>
      <c r="I14" t="n">
        <v>47</v>
      </c>
      <c r="J14" t="n">
        <v>0</v>
      </c>
      <c r="K14" t="n">
        <v>4</v>
      </c>
      <c r="L14" t="n">
        <v>16</v>
      </c>
      <c r="M14" t="n">
        <v>113</v>
      </c>
      <c r="N14" t="n">
        <v>53</v>
      </c>
    </row>
    <row r="15">
      <c r="A15" t="inlineStr">
        <is>
          <t>Mondul Kiri</t>
        </is>
      </c>
      <c r="B15" t="n">
        <v>9</v>
      </c>
      <c r="C15" t="n">
        <v>34</v>
      </c>
      <c r="D15" t="n">
        <v>550</v>
      </c>
      <c r="E15" t="n">
        <v>251</v>
      </c>
      <c r="F15" t="n">
        <v>60</v>
      </c>
      <c r="G15" t="n">
        <v>34</v>
      </c>
      <c r="H15" t="n">
        <v>30</v>
      </c>
      <c r="I15" t="n">
        <v>12</v>
      </c>
      <c r="J15" t="n">
        <v>7</v>
      </c>
      <c r="K15" t="n">
        <v>5</v>
      </c>
      <c r="L15" t="n">
        <v>12</v>
      </c>
      <c r="M15" t="n">
        <v>46</v>
      </c>
      <c r="N15" t="n">
        <v>34</v>
      </c>
    </row>
    <row r="16">
      <c r="A16" t="inlineStr">
        <is>
          <t>Otdar Meanchey</t>
        </is>
      </c>
      <c r="B16" t="n">
        <v>12</v>
      </c>
      <c r="C16" t="n">
        <v>75</v>
      </c>
      <c r="D16" t="n">
        <v>2008</v>
      </c>
      <c r="E16" t="n">
        <v>930</v>
      </c>
      <c r="F16" t="n">
        <v>81</v>
      </c>
      <c r="G16" t="n">
        <v>55</v>
      </c>
      <c r="H16" t="n">
        <v>10</v>
      </c>
      <c r="I16" t="n">
        <v>4</v>
      </c>
      <c r="J16" t="n">
        <v>0</v>
      </c>
      <c r="K16" t="n">
        <v>0</v>
      </c>
      <c r="L16" t="n">
        <v>26</v>
      </c>
      <c r="M16" t="n">
        <v>106</v>
      </c>
      <c r="N16" t="n">
        <v>56</v>
      </c>
    </row>
    <row r="17">
      <c r="A17" t="inlineStr">
        <is>
          <t>Pailin</t>
        </is>
      </c>
      <c r="B17" t="n">
        <v>17</v>
      </c>
      <c r="C17" t="n">
        <v>96</v>
      </c>
      <c r="D17" t="n">
        <v>1721</v>
      </c>
      <c r="E17" t="n">
        <v>835</v>
      </c>
      <c r="F17" t="n">
        <v>79</v>
      </c>
      <c r="G17" t="n">
        <v>66</v>
      </c>
      <c r="H17" t="n">
        <v>24</v>
      </c>
      <c r="I17" t="n">
        <v>12</v>
      </c>
      <c r="J17" t="n">
        <v>0</v>
      </c>
      <c r="K17" t="n">
        <v>0</v>
      </c>
      <c r="L17" t="n">
        <v>31</v>
      </c>
      <c r="M17" t="n">
        <v>207</v>
      </c>
      <c r="N17" t="n">
        <v>83</v>
      </c>
    </row>
    <row r="18">
      <c r="A18" t="inlineStr">
        <is>
          <t>Phnom Penh</t>
        </is>
      </c>
      <c r="B18" t="n">
        <v>776</v>
      </c>
      <c r="C18" t="n">
        <v>6072</v>
      </c>
      <c r="D18" t="n">
        <v>117304</v>
      </c>
      <c r="E18" t="n">
        <v>59085</v>
      </c>
      <c r="F18" t="n">
        <v>6847</v>
      </c>
      <c r="G18" t="n">
        <v>4067</v>
      </c>
      <c r="H18" t="n">
        <v>4358</v>
      </c>
      <c r="I18" t="n">
        <v>2731</v>
      </c>
      <c r="J18" t="n">
        <v>2550</v>
      </c>
      <c r="K18" t="n">
        <v>1454</v>
      </c>
      <c r="L18" t="n">
        <v>981</v>
      </c>
      <c r="M18" t="n">
        <v>17049</v>
      </c>
      <c r="N18" t="n">
        <v>5551</v>
      </c>
    </row>
    <row r="19">
      <c r="A19" t="inlineStr">
        <is>
          <t>Preah Sihanouk</t>
        </is>
      </c>
      <c r="B19" t="n">
        <v>61</v>
      </c>
      <c r="C19" t="n">
        <v>506</v>
      </c>
      <c r="D19" t="n">
        <v>8573</v>
      </c>
      <c r="E19" t="n">
        <v>4126</v>
      </c>
      <c r="F19" t="n">
        <v>533</v>
      </c>
      <c r="G19" t="n">
        <v>294</v>
      </c>
      <c r="H19" t="n">
        <v>109</v>
      </c>
      <c r="I19" t="n">
        <v>59</v>
      </c>
      <c r="J19" t="n">
        <v>86</v>
      </c>
      <c r="K19" t="n">
        <v>63</v>
      </c>
      <c r="L19" t="n">
        <v>103</v>
      </c>
      <c r="M19" t="n">
        <v>1012</v>
      </c>
      <c r="N19" t="n">
        <v>325</v>
      </c>
    </row>
    <row r="20">
      <c r="A20" t="inlineStr">
        <is>
          <t>Preah Vihear</t>
        </is>
      </c>
      <c r="B20" t="n">
        <v>4</v>
      </c>
      <c r="C20" t="n">
        <v>13</v>
      </c>
      <c r="D20" t="n">
        <v>180</v>
      </c>
      <c r="E20" t="n">
        <v>83</v>
      </c>
      <c r="F20" t="n">
        <v>14</v>
      </c>
      <c r="G20" t="n">
        <v>11</v>
      </c>
      <c r="H20" t="n">
        <v>10</v>
      </c>
      <c r="I20" t="n">
        <v>8</v>
      </c>
      <c r="J20" t="n">
        <v>0</v>
      </c>
      <c r="K20" t="n">
        <v>0</v>
      </c>
      <c r="L20" t="n">
        <v>5</v>
      </c>
      <c r="M20" t="n">
        <v>43</v>
      </c>
      <c r="N20" t="n">
        <v>13</v>
      </c>
    </row>
    <row r="21">
      <c r="A21" t="inlineStr">
        <is>
          <t>Prey Veng</t>
        </is>
      </c>
      <c r="B21" t="n">
        <v>5</v>
      </c>
      <c r="C21" t="n">
        <v>14</v>
      </c>
      <c r="D21" t="n">
        <v>247</v>
      </c>
      <c r="E21" t="n">
        <v>145</v>
      </c>
      <c r="F21" t="n">
        <v>33</v>
      </c>
      <c r="G21" t="n">
        <v>19</v>
      </c>
      <c r="H21" t="n">
        <v>5</v>
      </c>
      <c r="I21" t="n">
        <v>3</v>
      </c>
      <c r="J21" t="n">
        <v>0</v>
      </c>
      <c r="K21" t="n">
        <v>0</v>
      </c>
      <c r="L21" t="n">
        <v>8</v>
      </c>
      <c r="M21" t="n">
        <v>54</v>
      </c>
      <c r="N21" t="n">
        <v>14</v>
      </c>
    </row>
    <row r="22">
      <c r="A22" t="inlineStr">
        <is>
          <t>Pursat</t>
        </is>
      </c>
      <c r="B22" t="n">
        <v>6</v>
      </c>
      <c r="C22" t="n">
        <v>33</v>
      </c>
      <c r="D22" t="n">
        <v>710</v>
      </c>
      <c r="E22" t="n">
        <v>366</v>
      </c>
      <c r="F22" t="n">
        <v>45</v>
      </c>
      <c r="G22" t="n">
        <v>39</v>
      </c>
      <c r="H22" t="n">
        <v>22</v>
      </c>
      <c r="I22" t="n">
        <v>14</v>
      </c>
      <c r="J22" t="n">
        <v>2</v>
      </c>
      <c r="K22" t="n">
        <v>0</v>
      </c>
      <c r="L22" t="n">
        <v>12</v>
      </c>
      <c r="M22" t="n">
        <v>59</v>
      </c>
      <c r="N22" t="n">
        <v>33</v>
      </c>
    </row>
    <row r="23">
      <c r="A23" t="inlineStr">
        <is>
          <t>Ratanak Kiri</t>
        </is>
      </c>
      <c r="B23" t="n">
        <v>12</v>
      </c>
      <c r="C23" t="n">
        <v>122</v>
      </c>
      <c r="D23" t="n">
        <v>2197</v>
      </c>
      <c r="E23" t="n">
        <v>1041</v>
      </c>
      <c r="F23" t="n">
        <v>151</v>
      </c>
      <c r="G23" t="n">
        <v>85</v>
      </c>
      <c r="H23" t="n">
        <v>33</v>
      </c>
      <c r="I23" t="n">
        <v>21</v>
      </c>
      <c r="J23" t="n">
        <v>0</v>
      </c>
      <c r="K23" t="n">
        <v>0</v>
      </c>
      <c r="L23" t="n">
        <v>14</v>
      </c>
      <c r="M23" t="n">
        <v>97</v>
      </c>
      <c r="N23" t="n">
        <v>86</v>
      </c>
    </row>
    <row r="24">
      <c r="A24" t="inlineStr">
        <is>
          <t>Siemreap</t>
        </is>
      </c>
      <c r="B24" t="n">
        <v>123</v>
      </c>
      <c r="C24" t="n">
        <v>823</v>
      </c>
      <c r="D24" t="n">
        <v>18412</v>
      </c>
      <c r="E24" t="n">
        <v>6934</v>
      </c>
      <c r="F24" t="n">
        <v>1397</v>
      </c>
      <c r="G24" t="n">
        <v>915</v>
      </c>
      <c r="H24" t="n">
        <v>546</v>
      </c>
      <c r="I24" t="n">
        <v>347</v>
      </c>
      <c r="J24" t="n">
        <v>203</v>
      </c>
      <c r="K24" t="n">
        <v>131</v>
      </c>
      <c r="L24" t="n">
        <v>223</v>
      </c>
      <c r="M24" t="n">
        <v>1687</v>
      </c>
      <c r="N24" t="n">
        <v>700</v>
      </c>
    </row>
    <row r="25">
      <c r="A25" t="inlineStr">
        <is>
          <t>Stung Treng</t>
        </is>
      </c>
      <c r="B25" t="n">
        <v>10</v>
      </c>
      <c r="C25" t="n">
        <v>49</v>
      </c>
      <c r="D25" t="n">
        <v>671</v>
      </c>
      <c r="E25" t="n">
        <v>347</v>
      </c>
      <c r="F25" t="n">
        <v>43</v>
      </c>
      <c r="G25" t="n">
        <v>32</v>
      </c>
      <c r="H25" t="n">
        <v>14</v>
      </c>
      <c r="I25" t="n">
        <v>10</v>
      </c>
      <c r="J25" t="n">
        <v>0</v>
      </c>
      <c r="K25" t="n">
        <v>0</v>
      </c>
      <c r="L25" t="n">
        <v>14</v>
      </c>
      <c r="M25" t="n">
        <v>70</v>
      </c>
      <c r="N25" t="n">
        <v>38</v>
      </c>
    </row>
    <row r="26">
      <c r="A26" t="inlineStr">
        <is>
          <t>Svay Rieng</t>
        </is>
      </c>
      <c r="B26" t="n">
        <v>8</v>
      </c>
      <c r="C26" t="n">
        <v>26</v>
      </c>
      <c r="D26" t="n">
        <v>373</v>
      </c>
      <c r="E26" t="n">
        <v>166</v>
      </c>
      <c r="F26" t="n">
        <v>44</v>
      </c>
      <c r="G26" t="n">
        <v>38</v>
      </c>
      <c r="H26" t="n">
        <v>19</v>
      </c>
      <c r="I26" t="n">
        <v>14</v>
      </c>
      <c r="J26" t="n">
        <v>14</v>
      </c>
      <c r="K26" t="n">
        <v>12</v>
      </c>
      <c r="L26" t="n">
        <v>8</v>
      </c>
      <c r="M26" t="n">
        <v>59</v>
      </c>
      <c r="N26" t="n">
        <v>25</v>
      </c>
    </row>
    <row r="27">
      <c r="A27" t="inlineStr">
        <is>
          <t>Takeo</t>
        </is>
      </c>
      <c r="B27" t="n">
        <v>52</v>
      </c>
      <c r="C27" t="n">
        <v>274</v>
      </c>
      <c r="D27" t="n">
        <v>5697</v>
      </c>
      <c r="E27" t="n">
        <v>2797</v>
      </c>
      <c r="F27" t="n">
        <v>468</v>
      </c>
      <c r="G27" t="n">
        <v>241</v>
      </c>
      <c r="H27" t="n">
        <v>181</v>
      </c>
      <c r="I27" t="n">
        <v>91</v>
      </c>
      <c r="J27" t="n">
        <v>22</v>
      </c>
      <c r="K27" t="n">
        <v>12</v>
      </c>
      <c r="L27" t="n">
        <v>170</v>
      </c>
      <c r="M27" t="n">
        <v>593</v>
      </c>
      <c r="N27" t="n">
        <v>268</v>
      </c>
    </row>
    <row r="28">
      <c r="A28" t="inlineStr">
        <is>
          <t>Tbaung Khmum</t>
        </is>
      </c>
      <c r="B28" t="n">
        <v>27</v>
      </c>
      <c r="C28" t="n">
        <v>164</v>
      </c>
      <c r="D28" t="n">
        <v>4692</v>
      </c>
      <c r="E28" t="n">
        <v>2671</v>
      </c>
      <c r="F28" t="n">
        <v>243</v>
      </c>
      <c r="G28" t="n">
        <v>155</v>
      </c>
      <c r="H28" t="n">
        <v>34</v>
      </c>
      <c r="I28" t="n">
        <v>19</v>
      </c>
      <c r="J28" t="n">
        <v>28</v>
      </c>
      <c r="K28" t="n">
        <v>18</v>
      </c>
      <c r="L28" t="n">
        <v>43</v>
      </c>
      <c r="M28" t="n">
        <v>401</v>
      </c>
      <c r="N28" t="n">
        <v>164</v>
      </c>
    </row>
    <row r="29">
      <c r="A29" t="inlineStr">
        <is>
          <t>Whole Kingdom</t>
        </is>
      </c>
      <c r="B29" t="n">
        <v>1666</v>
      </c>
      <c r="C29" t="n">
        <v>11895</v>
      </c>
      <c r="D29" t="n">
        <v>240550</v>
      </c>
      <c r="E29" t="n">
        <v>118049</v>
      </c>
      <c r="F29" t="n">
        <v>15302</v>
      </c>
      <c r="G29" t="n">
        <v>9179</v>
      </c>
      <c r="H29" t="n">
        <v>6880</v>
      </c>
      <c r="I29" t="n">
        <v>4167</v>
      </c>
      <c r="J29" t="n">
        <v>3298</v>
      </c>
      <c r="K29" t="n">
        <v>1917</v>
      </c>
      <c r="L29" t="n">
        <v>2663</v>
      </c>
      <c r="M29" t="n">
        <v>29571</v>
      </c>
      <c r="N29" t="n">
        <v>10573</v>
      </c>
    </row>
    <row r="30">
      <c r="A30" t="inlineStr">
        <is>
          <t>- Urban Area</t>
        </is>
      </c>
      <c r="B30" t="n">
        <v>346</v>
      </c>
      <c r="C30" t="n">
        <v>2096</v>
      </c>
      <c r="D30" t="n">
        <v>43843</v>
      </c>
      <c r="E30" t="n">
        <v>21756</v>
      </c>
      <c r="F30" t="n">
        <v>2671</v>
      </c>
      <c r="G30" t="n">
        <v>1524</v>
      </c>
      <c r="H30" t="n">
        <v>684</v>
      </c>
      <c r="I30" t="n">
        <v>323</v>
      </c>
      <c r="J30" t="n">
        <v>191</v>
      </c>
      <c r="K30" t="n">
        <v>116</v>
      </c>
      <c r="L30" t="n">
        <v>730</v>
      </c>
      <c r="M30" t="n">
        <v>3902</v>
      </c>
      <c r="N30" t="n">
        <v>1774</v>
      </c>
    </row>
    <row r="31">
      <c r="A31" t="inlineStr">
        <is>
          <t>- Rural Area</t>
        </is>
      </c>
      <c r="B31" t="n">
        <v>1320</v>
      </c>
      <c r="C31" t="n">
        <v>9799</v>
      </c>
      <c r="D31" t="n">
        <v>196707</v>
      </c>
      <c r="E31" t="n">
        <v>96293</v>
      </c>
      <c r="F31" t="n">
        <v>12631</v>
      </c>
      <c r="G31" t="n">
        <v>7655</v>
      </c>
      <c r="H31" t="n">
        <v>6196</v>
      </c>
      <c r="I31" t="n">
        <v>3844</v>
      </c>
      <c r="J31" t="n">
        <v>3107</v>
      </c>
      <c r="K31" t="n">
        <v>1801</v>
      </c>
      <c r="L31" t="n">
        <v>1933</v>
      </c>
      <c r="M31" t="n">
        <v>25669</v>
      </c>
      <c r="N31" t="n">
        <v>8799</v>
      </c>
    </row>
  </sheetData>
  <mergeCells count="11">
    <mergeCell ref="F2:G2"/>
    <mergeCell ref="H2:I2"/>
    <mergeCell ref="D2:E2"/>
    <mergeCell ref="J2:K2"/>
    <mergeCell ref="A1:O1"/>
    <mergeCell ref="M2:M3"/>
    <mergeCell ref="B2:B3"/>
    <mergeCell ref="A2:A3"/>
    <mergeCell ref="N2:N3"/>
    <mergeCell ref="C2:C3"/>
    <mergeCell ref="L2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9.83203125" customWidth="1" min="1" max="1"/>
    <col width="12" customWidth="1" min="2" max="2"/>
    <col width="12.1640625" customWidth="1" min="5" max="5"/>
    <col width="12" customWidth="1" min="6" max="6"/>
    <col width="12.1640625" customWidth="1" min="10" max="10"/>
    <col width="12" customWidth="1" min="11" max="11"/>
  </cols>
  <sheetData>
    <row r="1">
      <c r="A1" t="inlineStr">
        <is>
          <t>Table 1: Schools, Classes, Students and Staff</t>
        </is>
      </c>
      <c r="B1" t="inlineStr">
        <is>
          <t>Number of
Schools</t>
        </is>
      </c>
      <c r="C1" t="inlineStr">
        <is>
          <t>Number of
Classes</t>
        </is>
      </c>
      <c r="D1" t="inlineStr">
        <is>
          <t>Enrollment</t>
        </is>
      </c>
      <c r="F1" t="inlineStr">
        <is>
          <t>Teaching Staff</t>
        </is>
      </c>
      <c r="H1" t="inlineStr">
        <is>
          <t>Non-Teaching Staff</t>
        </is>
      </c>
      <c r="J1" t="inlineStr">
        <is>
          <t>Foreigner Teaching Staff</t>
        </is>
      </c>
      <c r="L1" t="inlineStr">
        <is>
          <t>Buildings</t>
        </is>
      </c>
      <c r="M1" t="inlineStr">
        <is>
          <t>Rooms</t>
        </is>
      </c>
      <c r="N1" t="inlineStr">
        <is>
          <t>Classrooms</t>
        </is>
      </c>
    </row>
    <row r="2">
      <c r="D2" t="inlineStr">
        <is>
          <t>Total</t>
        </is>
      </c>
      <c r="E2" t="inlineStr">
        <is>
          <t>Girl</t>
        </is>
      </c>
      <c r="F2" t="inlineStr">
        <is>
          <t>Total</t>
        </is>
      </c>
      <c r="G2" t="inlineStr">
        <is>
          <t>Female</t>
        </is>
      </c>
      <c r="H2" t="inlineStr">
        <is>
          <t>Total</t>
        </is>
      </c>
      <c r="I2" t="inlineStr">
        <is>
          <t>Female</t>
        </is>
      </c>
      <c r="J2" t="inlineStr">
        <is>
          <t>Total</t>
        </is>
      </c>
      <c r="K2" t="inlineStr">
        <is>
          <t>Female</t>
        </is>
      </c>
    </row>
    <row r="3">
      <c r="A3" t="inlineStr">
        <is>
          <t>Banteay Meanchey</t>
        </is>
      </c>
      <c r="B3" t="n">
        <v>14</v>
      </c>
      <c r="C3" t="n">
        <v>49</v>
      </c>
      <c r="D3" t="n">
        <v>1060</v>
      </c>
      <c r="E3" t="n">
        <v>522</v>
      </c>
      <c r="F3" t="n">
        <v>160</v>
      </c>
      <c r="G3" t="n">
        <v>73</v>
      </c>
      <c r="H3" t="n">
        <v>21</v>
      </c>
      <c r="I3" t="n">
        <v>8</v>
      </c>
      <c r="J3" t="n">
        <v>5</v>
      </c>
      <c r="K3" t="n">
        <v>5</v>
      </c>
      <c r="L3" t="n">
        <v>26</v>
      </c>
      <c r="M3" t="n">
        <v>199</v>
      </c>
      <c r="N3" t="n">
        <v>49</v>
      </c>
    </row>
    <row r="4">
      <c r="A4" t="inlineStr">
        <is>
          <t>Battambang</t>
        </is>
      </c>
      <c r="B4" t="n">
        <v>1</v>
      </c>
      <c r="C4" t="n">
        <v>3</v>
      </c>
      <c r="D4" t="n">
        <v>24</v>
      </c>
      <c r="E4" t="n">
        <v>13</v>
      </c>
      <c r="F4" t="n">
        <v>12</v>
      </c>
      <c r="G4" t="n">
        <v>7</v>
      </c>
      <c r="H4" t="n">
        <v>14</v>
      </c>
      <c r="I4" t="n">
        <v>7</v>
      </c>
      <c r="J4" t="n">
        <v>2</v>
      </c>
      <c r="K4" t="n">
        <v>1</v>
      </c>
      <c r="L4" t="n">
        <v>4</v>
      </c>
      <c r="M4" t="n">
        <v>7</v>
      </c>
      <c r="N4" t="n">
        <v>3</v>
      </c>
    </row>
    <row r="5">
      <c r="A5" t="inlineStr">
        <is>
          <t>Kampong Cham</t>
        </is>
      </c>
      <c r="B5" t="n">
        <v>3</v>
      </c>
      <c r="C5" t="n">
        <v>14</v>
      </c>
      <c r="D5" t="n">
        <v>328</v>
      </c>
      <c r="E5" t="n">
        <v>156</v>
      </c>
      <c r="F5" t="n">
        <v>18</v>
      </c>
      <c r="G5" t="n">
        <v>6</v>
      </c>
      <c r="H5" t="n">
        <v>5</v>
      </c>
      <c r="I5" t="n">
        <v>2</v>
      </c>
      <c r="J5" t="n">
        <v>1</v>
      </c>
      <c r="K5" t="n">
        <v>0</v>
      </c>
      <c r="L5" t="n">
        <v>3</v>
      </c>
      <c r="M5" t="n">
        <v>14</v>
      </c>
      <c r="N5" t="n">
        <v>14</v>
      </c>
    </row>
    <row r="6">
      <c r="A6" t="inlineStr">
        <is>
          <t>Kampong Chhnang</t>
        </is>
      </c>
      <c r="B6" t="n">
        <v>3</v>
      </c>
      <c r="C6" t="n">
        <v>12</v>
      </c>
      <c r="D6" t="n">
        <v>343</v>
      </c>
      <c r="E6" t="n">
        <v>152</v>
      </c>
      <c r="F6" t="n">
        <v>45</v>
      </c>
      <c r="G6" t="n">
        <v>16</v>
      </c>
      <c r="H6" t="n">
        <v>5</v>
      </c>
      <c r="I6" t="n">
        <v>3</v>
      </c>
      <c r="J6" t="n">
        <v>1</v>
      </c>
      <c r="K6" t="n">
        <v>0</v>
      </c>
      <c r="L6" t="n">
        <v>1</v>
      </c>
      <c r="M6" t="n">
        <v>23</v>
      </c>
      <c r="N6" t="n">
        <v>12</v>
      </c>
    </row>
    <row r="7">
      <c r="A7" t="inlineStr">
        <is>
          <t>Kampong Speu</t>
        </is>
      </c>
      <c r="B7" t="n">
        <v>7</v>
      </c>
      <c r="C7" t="n">
        <v>18</v>
      </c>
      <c r="D7" t="n">
        <v>302</v>
      </c>
      <c r="E7" t="n">
        <v>155</v>
      </c>
      <c r="F7" t="n">
        <v>84</v>
      </c>
      <c r="G7" t="n">
        <v>37</v>
      </c>
      <c r="H7" t="n">
        <v>2</v>
      </c>
      <c r="I7" t="n">
        <v>1</v>
      </c>
      <c r="J7" t="n">
        <v>8</v>
      </c>
      <c r="K7" t="n">
        <v>5</v>
      </c>
      <c r="L7" t="n">
        <v>13</v>
      </c>
      <c r="M7" t="n">
        <v>73</v>
      </c>
      <c r="N7" t="n">
        <v>17</v>
      </c>
    </row>
    <row r="8">
      <c r="A8" t="inlineStr">
        <is>
          <t>Kampong Thom</t>
        </is>
      </c>
      <c r="B8" t="n">
        <v>6</v>
      </c>
      <c r="C8" t="n">
        <v>20</v>
      </c>
      <c r="D8" t="n">
        <v>311</v>
      </c>
      <c r="E8" t="n">
        <v>165</v>
      </c>
      <c r="F8" t="n">
        <v>69</v>
      </c>
      <c r="G8" t="n">
        <v>35</v>
      </c>
      <c r="H8" t="n">
        <v>13</v>
      </c>
      <c r="I8" t="n">
        <v>7</v>
      </c>
      <c r="J8" t="n">
        <v>6</v>
      </c>
      <c r="K8" t="n">
        <v>4</v>
      </c>
      <c r="L8" t="n">
        <v>9</v>
      </c>
      <c r="M8" t="n">
        <v>111</v>
      </c>
      <c r="N8" t="n">
        <v>20</v>
      </c>
    </row>
    <row r="9">
      <c r="A9" t="inlineStr">
        <is>
          <t>Kampot</t>
        </is>
      </c>
      <c r="B9" t="n">
        <v>6</v>
      </c>
      <c r="C9" t="n">
        <v>36</v>
      </c>
      <c r="D9" t="n">
        <v>741</v>
      </c>
      <c r="E9" t="n">
        <v>215</v>
      </c>
      <c r="F9" t="n">
        <v>95</v>
      </c>
      <c r="G9" t="n">
        <v>24</v>
      </c>
      <c r="H9" t="n">
        <v>16</v>
      </c>
      <c r="I9" t="n">
        <v>6</v>
      </c>
      <c r="J9" t="n">
        <v>3</v>
      </c>
      <c r="K9" t="n">
        <v>2</v>
      </c>
      <c r="L9" t="n">
        <v>18</v>
      </c>
      <c r="M9" t="n">
        <v>112</v>
      </c>
      <c r="N9" t="n">
        <v>26</v>
      </c>
    </row>
    <row r="10">
      <c r="A10" t="inlineStr">
        <is>
          <t>Kandal</t>
        </is>
      </c>
      <c r="B10" t="n">
        <v>4</v>
      </c>
      <c r="C10" t="n">
        <v>11</v>
      </c>
      <c r="D10" t="n">
        <v>173</v>
      </c>
      <c r="E10" t="n">
        <v>88</v>
      </c>
      <c r="F10" t="n">
        <v>34</v>
      </c>
      <c r="G10" t="n">
        <v>21</v>
      </c>
      <c r="H10" t="n">
        <v>9</v>
      </c>
      <c r="I10" t="n">
        <v>5</v>
      </c>
      <c r="J10" t="n">
        <v>3</v>
      </c>
      <c r="K10" t="n">
        <v>3</v>
      </c>
      <c r="L10" t="n">
        <v>5</v>
      </c>
      <c r="M10" t="n">
        <v>44</v>
      </c>
      <c r="N10" t="n">
        <v>11</v>
      </c>
    </row>
    <row r="11">
      <c r="A11" t="inlineStr">
        <is>
          <t>Koh Kong</t>
        </is>
      </c>
      <c r="B11" t="n">
        <v>1</v>
      </c>
      <c r="C11" t="n">
        <v>1</v>
      </c>
      <c r="D11" t="n">
        <v>9</v>
      </c>
      <c r="E11" t="n">
        <v>6</v>
      </c>
      <c r="F11" t="n">
        <v>6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n">
        <v>20</v>
      </c>
      <c r="N11" t="n">
        <v>1</v>
      </c>
    </row>
    <row r="12">
      <c r="A12" t="inlineStr">
        <is>
          <t>Mondul Kiri</t>
        </is>
      </c>
      <c r="B12" t="n">
        <v>1</v>
      </c>
      <c r="C12" t="n">
        <v>3</v>
      </c>
      <c r="D12" t="n">
        <v>39</v>
      </c>
      <c r="E12" t="n">
        <v>15</v>
      </c>
      <c r="F12" t="n">
        <v>6</v>
      </c>
      <c r="G12" t="n">
        <v>4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3</v>
      </c>
      <c r="N12" t="n">
        <v>3</v>
      </c>
    </row>
    <row r="13">
      <c r="A13" t="inlineStr">
        <is>
          <t>Phnom Penh</t>
        </is>
      </c>
      <c r="B13" t="n">
        <v>49</v>
      </c>
      <c r="C13" t="n">
        <v>269</v>
      </c>
      <c r="D13" t="n">
        <v>5040</v>
      </c>
      <c r="E13" t="n">
        <v>2583</v>
      </c>
      <c r="F13" t="n">
        <v>527</v>
      </c>
      <c r="G13" t="n">
        <v>235</v>
      </c>
      <c r="H13" t="n">
        <v>210</v>
      </c>
      <c r="I13" t="n">
        <v>110</v>
      </c>
      <c r="J13" t="n">
        <v>198</v>
      </c>
      <c r="K13" t="n">
        <v>88</v>
      </c>
      <c r="L13" t="n">
        <v>80</v>
      </c>
      <c r="M13" t="n">
        <v>1212</v>
      </c>
      <c r="N13" t="n">
        <v>249</v>
      </c>
    </row>
    <row r="14">
      <c r="A14" t="inlineStr">
        <is>
          <t>Preah Sihanouk</t>
        </is>
      </c>
      <c r="B14" t="n">
        <v>6</v>
      </c>
      <c r="C14" t="n">
        <v>18</v>
      </c>
      <c r="D14" t="n">
        <v>223</v>
      </c>
      <c r="E14" t="n">
        <v>114</v>
      </c>
      <c r="F14" t="n">
        <v>55</v>
      </c>
      <c r="G14" t="n">
        <v>14</v>
      </c>
      <c r="H14" t="n">
        <v>6</v>
      </c>
      <c r="I14" t="n">
        <v>4</v>
      </c>
      <c r="J14" t="n">
        <v>11</v>
      </c>
      <c r="K14" t="n">
        <v>9</v>
      </c>
      <c r="L14" t="n">
        <v>12</v>
      </c>
      <c r="M14" t="n">
        <v>132</v>
      </c>
      <c r="N14" t="n">
        <v>17</v>
      </c>
    </row>
    <row r="15">
      <c r="A15" t="inlineStr">
        <is>
          <t>Ratanak Kiri</t>
        </is>
      </c>
      <c r="B15" t="n">
        <v>1</v>
      </c>
      <c r="C15" t="n">
        <v>7</v>
      </c>
      <c r="D15" t="n">
        <v>63</v>
      </c>
      <c r="E15" t="n">
        <v>20</v>
      </c>
      <c r="F15" t="n">
        <v>20</v>
      </c>
      <c r="G15" t="n">
        <v>11</v>
      </c>
      <c r="H15" t="n">
        <v>2</v>
      </c>
      <c r="I15" t="n">
        <v>0</v>
      </c>
      <c r="J15" t="n">
        <v>0</v>
      </c>
      <c r="K15" t="n">
        <v>0</v>
      </c>
      <c r="L15" t="n">
        <v>1</v>
      </c>
      <c r="M15" t="n">
        <v>6</v>
      </c>
      <c r="N15" t="n">
        <v>6</v>
      </c>
    </row>
    <row r="16">
      <c r="A16" t="inlineStr">
        <is>
          <t>Siemreap</t>
        </is>
      </c>
      <c r="B16" t="n">
        <v>6</v>
      </c>
      <c r="C16" t="n">
        <v>16</v>
      </c>
      <c r="D16" t="n">
        <v>190</v>
      </c>
      <c r="E16" t="n">
        <v>92</v>
      </c>
      <c r="F16" t="n">
        <v>58</v>
      </c>
      <c r="G16" t="n">
        <v>32</v>
      </c>
      <c r="H16" t="n">
        <v>21</v>
      </c>
      <c r="I16" t="n">
        <v>15</v>
      </c>
      <c r="J16" t="n">
        <v>18</v>
      </c>
      <c r="K16" t="n">
        <v>10</v>
      </c>
      <c r="L16" t="n">
        <v>18</v>
      </c>
      <c r="M16" t="n">
        <v>79</v>
      </c>
      <c r="N16" t="n">
        <v>16</v>
      </c>
    </row>
    <row r="17">
      <c r="A17" t="inlineStr">
        <is>
          <t>Stung Treng</t>
        </is>
      </c>
      <c r="B17" t="n">
        <v>1</v>
      </c>
      <c r="C17" t="n">
        <v>5</v>
      </c>
      <c r="D17" t="n">
        <v>95</v>
      </c>
      <c r="E17" t="n">
        <v>52</v>
      </c>
      <c r="F17" t="n">
        <v>10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6</v>
      </c>
      <c r="N17" t="n">
        <v>5</v>
      </c>
    </row>
    <row r="18">
      <c r="A18" t="inlineStr">
        <is>
          <t>Tbaung Khmum</t>
        </is>
      </c>
      <c r="B18" t="n">
        <v>3</v>
      </c>
      <c r="C18" t="n">
        <v>14</v>
      </c>
      <c r="D18" t="n">
        <v>357</v>
      </c>
      <c r="E18" t="n">
        <v>155</v>
      </c>
      <c r="F18" t="n">
        <v>47</v>
      </c>
      <c r="G18" t="n">
        <v>24</v>
      </c>
      <c r="H18" t="n">
        <v>7</v>
      </c>
      <c r="I18" t="n">
        <v>3</v>
      </c>
      <c r="J18" t="n">
        <v>1</v>
      </c>
      <c r="K18" t="n">
        <v>0</v>
      </c>
      <c r="L18" t="n">
        <v>4</v>
      </c>
      <c r="M18" t="n">
        <v>49</v>
      </c>
      <c r="N18" t="n">
        <v>14</v>
      </c>
    </row>
    <row r="19">
      <c r="A19" t="inlineStr">
        <is>
          <t>Whole Kingdom</t>
        </is>
      </c>
      <c r="B19" t="n">
        <v>112</v>
      </c>
      <c r="C19" t="n">
        <v>496</v>
      </c>
      <c r="D19" t="n">
        <v>9298</v>
      </c>
      <c r="E19" t="n">
        <v>4503</v>
      </c>
      <c r="F19" t="n">
        <v>1246</v>
      </c>
      <c r="G19" t="n">
        <v>548</v>
      </c>
      <c r="H19" t="n">
        <v>331</v>
      </c>
      <c r="I19" t="n">
        <v>171</v>
      </c>
      <c r="J19" t="n">
        <v>258</v>
      </c>
      <c r="K19" t="n">
        <v>128</v>
      </c>
      <c r="L19" t="n">
        <v>199</v>
      </c>
      <c r="M19" t="n">
        <v>2090</v>
      </c>
      <c r="N19" t="n">
        <v>463</v>
      </c>
    </row>
    <row r="20">
      <c r="A20" t="inlineStr">
        <is>
          <t>- Urban Area</t>
        </is>
      </c>
      <c r="B20" t="n">
        <v>83</v>
      </c>
      <c r="C20" t="n">
        <v>386</v>
      </c>
      <c r="D20" t="n">
        <v>6866</v>
      </c>
      <c r="E20" t="n">
        <v>3451</v>
      </c>
      <c r="F20" t="n">
        <v>904</v>
      </c>
      <c r="G20" t="n">
        <v>405</v>
      </c>
      <c r="H20" t="n">
        <v>273</v>
      </c>
      <c r="I20" t="n">
        <v>143</v>
      </c>
      <c r="J20" t="n">
        <v>242</v>
      </c>
      <c r="K20" t="n">
        <v>115</v>
      </c>
      <c r="L20" t="n">
        <v>135</v>
      </c>
      <c r="M20" t="n">
        <v>1650</v>
      </c>
      <c r="N20" t="n">
        <v>365</v>
      </c>
    </row>
    <row r="21">
      <c r="A21" t="inlineStr">
        <is>
          <t>- Rural Area</t>
        </is>
      </c>
      <c r="B21" t="n">
        <v>29</v>
      </c>
      <c r="C21" t="n">
        <v>110</v>
      </c>
      <c r="D21" t="n">
        <v>2432</v>
      </c>
      <c r="E21" t="n">
        <v>1052</v>
      </c>
      <c r="F21" t="n">
        <v>342</v>
      </c>
      <c r="G21" t="n">
        <v>143</v>
      </c>
      <c r="H21" t="n">
        <v>58</v>
      </c>
      <c r="I21" t="n">
        <v>28</v>
      </c>
      <c r="J21" t="n">
        <v>16</v>
      </c>
      <c r="K21" t="n">
        <v>13</v>
      </c>
      <c r="L21" t="n">
        <v>64</v>
      </c>
      <c r="M21" t="n">
        <v>440</v>
      </c>
      <c r="N21" t="n">
        <v>98</v>
      </c>
    </row>
  </sheetData>
  <mergeCells count="10">
    <mergeCell ref="D1:E1"/>
    <mergeCell ref="H1:I1"/>
    <mergeCell ref="J1:K1"/>
    <mergeCell ref="C1:C2"/>
    <mergeCell ref="B1:B2"/>
    <mergeCell ref="M1:M2"/>
    <mergeCell ref="L1:L2"/>
    <mergeCell ref="F1:G1"/>
    <mergeCell ref="N1:N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20.1640625" customWidth="1" min="1" max="1"/>
    <col width="12" customWidth="1" min="2" max="2"/>
    <col width="12.1640625" customWidth="1" min="6" max="6"/>
    <col width="12" customWidth="1" min="7" max="7"/>
    <col width="12.1640625" customWidth="1" min="11" max="11"/>
    <col width="12" customWidth="1" min="12" max="12"/>
  </cols>
  <sheetData>
    <row r="1">
      <c r="A1" t="inlineStr">
        <is>
          <t>Table 1: Schools, Classes, Students and Staff</t>
        </is>
      </c>
      <c r="B1" t="inlineStr">
        <is>
          <t>Number of
Schools</t>
        </is>
      </c>
      <c r="C1" t="inlineStr">
        <is>
          <t>Number of
Classes</t>
        </is>
      </c>
      <c r="D1" t="inlineStr">
        <is>
          <t>Enrollment</t>
        </is>
      </c>
      <c r="F1" t="inlineStr">
        <is>
          <t>Teaching Staff</t>
        </is>
      </c>
      <c r="H1" t="inlineStr">
        <is>
          <t>Non-Teaching Staff</t>
        </is>
      </c>
      <c r="J1" t="inlineStr">
        <is>
          <t>Foreigner Teaching Staff</t>
        </is>
      </c>
      <c r="L1" t="inlineStr">
        <is>
          <t>Buildings</t>
        </is>
      </c>
      <c r="M1" t="inlineStr">
        <is>
          <t>Rooms</t>
        </is>
      </c>
      <c r="N1" t="inlineStr">
        <is>
          <t>Classrooms</t>
        </is>
      </c>
    </row>
    <row r="2">
      <c r="D2" t="inlineStr">
        <is>
          <t>Total</t>
        </is>
      </c>
      <c r="E2" t="inlineStr">
        <is>
          <t>Girl</t>
        </is>
      </c>
      <c r="F2" t="inlineStr">
        <is>
          <t>Total</t>
        </is>
      </c>
      <c r="G2" t="inlineStr">
        <is>
          <t>Female</t>
        </is>
      </c>
      <c r="H2" t="inlineStr">
        <is>
          <t>Total</t>
        </is>
      </c>
      <c r="I2" t="inlineStr">
        <is>
          <t>Female</t>
        </is>
      </c>
      <c r="J2" t="inlineStr">
        <is>
          <t>Total</t>
        </is>
      </c>
      <c r="K2" t="inlineStr">
        <is>
          <t>Female</t>
        </is>
      </c>
    </row>
    <row r="3">
      <c r="A3" t="inlineStr">
        <is>
          <t>Banteay Meanchey</t>
        </is>
      </c>
      <c r="B3" t="n">
        <v>14</v>
      </c>
      <c r="C3" t="n">
        <v>167</v>
      </c>
      <c r="D3" t="n">
        <v>5001</v>
      </c>
      <c r="E3" t="n">
        <v>2561</v>
      </c>
      <c r="F3" t="n">
        <v>422</v>
      </c>
      <c r="G3" t="n">
        <v>146</v>
      </c>
      <c r="H3" t="n">
        <v>53</v>
      </c>
      <c r="I3" t="n">
        <v>22</v>
      </c>
      <c r="J3" t="n">
        <v>34</v>
      </c>
      <c r="K3" t="n">
        <v>11</v>
      </c>
      <c r="L3" t="n">
        <v>57</v>
      </c>
      <c r="M3" t="n">
        <v>412</v>
      </c>
      <c r="N3" t="n">
        <v>147</v>
      </c>
    </row>
    <row r="4">
      <c r="A4" t="inlineStr">
        <is>
          <t>Battambang</t>
        </is>
      </c>
      <c r="B4" t="n">
        <v>13</v>
      </c>
      <c r="C4" t="n">
        <v>146</v>
      </c>
      <c r="D4" t="n">
        <v>3655</v>
      </c>
      <c r="E4" t="n">
        <v>1928</v>
      </c>
      <c r="F4" t="n">
        <v>541</v>
      </c>
      <c r="G4" t="n">
        <v>234</v>
      </c>
      <c r="H4" t="n">
        <v>160</v>
      </c>
      <c r="I4" t="n">
        <v>95</v>
      </c>
      <c r="J4" t="n">
        <v>9</v>
      </c>
      <c r="K4" t="n">
        <v>4</v>
      </c>
      <c r="L4" t="n">
        <v>17</v>
      </c>
      <c r="M4" t="n">
        <v>430</v>
      </c>
      <c r="N4" t="n">
        <v>142</v>
      </c>
    </row>
    <row r="5">
      <c r="A5" t="inlineStr">
        <is>
          <t>Kampong Cham</t>
        </is>
      </c>
      <c r="B5" t="n">
        <v>5</v>
      </c>
      <c r="C5" t="n">
        <v>44</v>
      </c>
      <c r="D5" t="n">
        <v>787</v>
      </c>
      <c r="E5" t="n">
        <v>399</v>
      </c>
      <c r="F5" t="n">
        <v>91</v>
      </c>
      <c r="G5" t="n">
        <v>47</v>
      </c>
      <c r="H5" t="n">
        <v>12</v>
      </c>
      <c r="I5" t="n">
        <v>7</v>
      </c>
      <c r="J5" t="n">
        <v>1</v>
      </c>
      <c r="K5" t="n">
        <v>0</v>
      </c>
      <c r="L5" t="n">
        <v>5</v>
      </c>
      <c r="M5" t="n">
        <v>49</v>
      </c>
      <c r="N5" t="n">
        <v>36</v>
      </c>
    </row>
    <row r="6">
      <c r="A6" t="inlineStr">
        <is>
          <t>Kampong Chhnang</t>
        </is>
      </c>
      <c r="B6" t="n">
        <v>4</v>
      </c>
      <c r="C6" t="n">
        <v>29</v>
      </c>
      <c r="D6" t="n">
        <v>670</v>
      </c>
      <c r="E6" t="n">
        <v>219</v>
      </c>
      <c r="F6" t="n">
        <v>101</v>
      </c>
      <c r="G6" t="n">
        <v>43</v>
      </c>
      <c r="H6" t="n">
        <v>11</v>
      </c>
      <c r="I6" t="n">
        <v>7</v>
      </c>
      <c r="J6" t="n">
        <v>1</v>
      </c>
      <c r="K6" t="n">
        <v>0</v>
      </c>
      <c r="L6" t="n">
        <v>7</v>
      </c>
      <c r="M6" t="n">
        <v>88</v>
      </c>
      <c r="N6" t="n">
        <v>28</v>
      </c>
    </row>
    <row r="7">
      <c r="A7" t="inlineStr">
        <is>
          <t>Kampong Speu</t>
        </is>
      </c>
      <c r="B7" t="n">
        <v>5</v>
      </c>
      <c r="C7" t="n">
        <v>29</v>
      </c>
      <c r="D7" t="n">
        <v>652</v>
      </c>
      <c r="E7" t="n">
        <v>315</v>
      </c>
      <c r="F7" t="n">
        <v>86</v>
      </c>
      <c r="G7" t="n">
        <v>36</v>
      </c>
      <c r="H7" t="n">
        <v>18</v>
      </c>
      <c r="I7" t="n">
        <v>7</v>
      </c>
      <c r="J7" t="n">
        <v>9</v>
      </c>
      <c r="K7" t="n">
        <v>4</v>
      </c>
      <c r="L7" t="n">
        <v>8</v>
      </c>
      <c r="M7" t="n">
        <v>91</v>
      </c>
      <c r="N7" t="n">
        <v>29</v>
      </c>
    </row>
    <row r="8">
      <c r="A8" t="inlineStr">
        <is>
          <t>Kampong Thom</t>
        </is>
      </c>
      <c r="B8" t="n">
        <v>3</v>
      </c>
      <c r="C8" t="n">
        <v>19</v>
      </c>
      <c r="D8" t="n">
        <v>478</v>
      </c>
      <c r="E8" t="n">
        <v>231</v>
      </c>
      <c r="F8" t="n">
        <v>58</v>
      </c>
      <c r="G8" t="n">
        <v>15</v>
      </c>
      <c r="H8" t="n">
        <v>12</v>
      </c>
      <c r="I8" t="n">
        <v>8</v>
      </c>
      <c r="J8" t="n">
        <v>2</v>
      </c>
      <c r="K8" t="n">
        <v>1</v>
      </c>
      <c r="L8" t="n">
        <v>14</v>
      </c>
      <c r="M8" t="n">
        <v>44</v>
      </c>
      <c r="N8" t="n">
        <v>19</v>
      </c>
    </row>
    <row r="9">
      <c r="A9" t="inlineStr">
        <is>
          <t>Kampot</t>
        </is>
      </c>
      <c r="B9" t="n">
        <v>7</v>
      </c>
      <c r="C9" t="n">
        <v>72</v>
      </c>
      <c r="D9" t="n">
        <v>1972</v>
      </c>
      <c r="E9" t="n">
        <v>1182</v>
      </c>
      <c r="F9" t="n">
        <v>190</v>
      </c>
      <c r="G9" t="n">
        <v>83</v>
      </c>
      <c r="H9" t="n">
        <v>33</v>
      </c>
      <c r="I9" t="n">
        <v>20</v>
      </c>
      <c r="J9" t="n">
        <v>1</v>
      </c>
      <c r="K9" t="n">
        <v>1</v>
      </c>
      <c r="L9" t="n">
        <v>19</v>
      </c>
      <c r="M9" t="n">
        <v>212</v>
      </c>
      <c r="N9" t="n">
        <v>64</v>
      </c>
    </row>
    <row r="10">
      <c r="A10" t="inlineStr">
        <is>
          <t>Kandal</t>
        </is>
      </c>
      <c r="B10" t="n">
        <v>6</v>
      </c>
      <c r="C10" t="n">
        <v>139</v>
      </c>
      <c r="D10" t="n">
        <v>3953</v>
      </c>
      <c r="E10" t="n">
        <v>1829</v>
      </c>
      <c r="F10" t="n">
        <v>241</v>
      </c>
      <c r="G10" t="n">
        <v>60</v>
      </c>
      <c r="H10" t="n">
        <v>37</v>
      </c>
      <c r="I10" t="n">
        <v>7</v>
      </c>
      <c r="J10" t="n">
        <v>2</v>
      </c>
      <c r="K10" t="n">
        <v>1</v>
      </c>
      <c r="L10" t="n">
        <v>23</v>
      </c>
      <c r="M10" t="n">
        <v>316</v>
      </c>
      <c r="N10" t="n">
        <v>120</v>
      </c>
    </row>
    <row r="11">
      <c r="A11" t="inlineStr">
        <is>
          <t>Koh Kong</t>
        </is>
      </c>
      <c r="B11" t="n">
        <v>1</v>
      </c>
      <c r="C11" t="n">
        <v>7</v>
      </c>
      <c r="D11" t="n">
        <v>150</v>
      </c>
      <c r="E11" t="n">
        <v>75</v>
      </c>
      <c r="F11" t="n">
        <v>25</v>
      </c>
      <c r="G11" t="n">
        <v>11</v>
      </c>
      <c r="H11" t="n">
        <v>5</v>
      </c>
      <c r="I11" t="n">
        <v>1</v>
      </c>
      <c r="J11" t="n">
        <v>0</v>
      </c>
      <c r="K11" t="n">
        <v>0</v>
      </c>
      <c r="L11" t="n">
        <v>2</v>
      </c>
      <c r="M11" t="n">
        <v>11</v>
      </c>
      <c r="N11" t="n">
        <v>7</v>
      </c>
    </row>
    <row r="12">
      <c r="A12" t="inlineStr">
        <is>
          <t>Kratie</t>
        </is>
      </c>
      <c r="B12" t="n">
        <v>1</v>
      </c>
      <c r="C12" t="n">
        <v>7</v>
      </c>
      <c r="D12" t="n">
        <v>118</v>
      </c>
      <c r="E12" t="n">
        <v>61</v>
      </c>
      <c r="F12" t="n">
        <v>29</v>
      </c>
      <c r="G12" t="n">
        <v>15</v>
      </c>
      <c r="H12" t="n">
        <v>22</v>
      </c>
      <c r="I12" t="n">
        <v>14</v>
      </c>
      <c r="J12" t="n">
        <v>0</v>
      </c>
      <c r="K12" t="n">
        <v>0</v>
      </c>
      <c r="L12" t="n">
        <v>1</v>
      </c>
      <c r="M12" t="n">
        <v>21</v>
      </c>
      <c r="N12" t="n">
        <v>7</v>
      </c>
    </row>
    <row r="13">
      <c r="A13" t="inlineStr">
        <is>
          <t>Mondul Kiri</t>
        </is>
      </c>
      <c r="B13" t="n">
        <v>1</v>
      </c>
      <c r="C13" t="n">
        <v>6</v>
      </c>
      <c r="D13" t="n">
        <v>110</v>
      </c>
      <c r="E13" t="n">
        <v>46</v>
      </c>
      <c r="F13" t="n">
        <v>14</v>
      </c>
      <c r="G13" t="n">
        <v>2</v>
      </c>
      <c r="H13" t="n">
        <v>9</v>
      </c>
      <c r="I13" t="n">
        <v>0</v>
      </c>
      <c r="J13" t="n">
        <v>0</v>
      </c>
      <c r="K13" t="n">
        <v>0</v>
      </c>
      <c r="L13" t="n">
        <v>1</v>
      </c>
      <c r="M13" t="n">
        <v>6</v>
      </c>
      <c r="N13" t="n">
        <v>6</v>
      </c>
    </row>
    <row r="14">
      <c r="A14" t="inlineStr">
        <is>
          <t>Phnom Penh</t>
        </is>
      </c>
      <c r="B14" t="n">
        <v>114</v>
      </c>
      <c r="C14" t="n">
        <v>1328</v>
      </c>
      <c r="D14" t="n">
        <v>31735</v>
      </c>
      <c r="E14" t="n">
        <v>16386</v>
      </c>
      <c r="F14" t="n">
        <v>2510</v>
      </c>
      <c r="G14" t="n">
        <v>977</v>
      </c>
      <c r="H14" t="n">
        <v>1207</v>
      </c>
      <c r="I14" t="n">
        <v>619</v>
      </c>
      <c r="J14" t="n">
        <v>603</v>
      </c>
      <c r="K14" t="n">
        <v>255</v>
      </c>
      <c r="L14" t="n">
        <v>176</v>
      </c>
      <c r="M14" t="n">
        <v>4332</v>
      </c>
      <c r="N14" t="n">
        <v>1167</v>
      </c>
    </row>
    <row r="15">
      <c r="A15" t="inlineStr">
        <is>
          <t>Preah Sihanouk</t>
        </is>
      </c>
      <c r="B15" t="n">
        <v>5</v>
      </c>
      <c r="C15" t="n">
        <v>67</v>
      </c>
      <c r="D15" t="n">
        <v>1788</v>
      </c>
      <c r="E15" t="n">
        <v>825</v>
      </c>
      <c r="F15" t="n">
        <v>167</v>
      </c>
      <c r="G15" t="n">
        <v>43</v>
      </c>
      <c r="H15" t="n">
        <v>18</v>
      </c>
      <c r="I15" t="n">
        <v>7</v>
      </c>
      <c r="J15" t="n">
        <v>9</v>
      </c>
      <c r="K15" t="n">
        <v>2</v>
      </c>
      <c r="L15" t="n">
        <v>20</v>
      </c>
      <c r="M15" t="n">
        <v>241</v>
      </c>
      <c r="N15" t="n">
        <v>60</v>
      </c>
    </row>
    <row r="16">
      <c r="A16" t="inlineStr">
        <is>
          <t>Prey Veng</t>
        </is>
      </c>
      <c r="B16" t="n">
        <v>1</v>
      </c>
      <c r="C16" t="n">
        <v>3</v>
      </c>
      <c r="D16" t="n">
        <v>135</v>
      </c>
      <c r="E16" t="n">
        <v>86</v>
      </c>
      <c r="F16" t="n">
        <v>20</v>
      </c>
      <c r="G16" t="n">
        <v>6</v>
      </c>
      <c r="H16" t="n">
        <v>3</v>
      </c>
      <c r="I16" t="n">
        <v>2</v>
      </c>
      <c r="J16" t="n">
        <v>0</v>
      </c>
      <c r="K16" t="n">
        <v>0</v>
      </c>
      <c r="L16" t="n">
        <v>4</v>
      </c>
      <c r="M16" t="n">
        <v>9</v>
      </c>
      <c r="N16" t="n">
        <v>3</v>
      </c>
    </row>
    <row r="17">
      <c r="A17" t="inlineStr">
        <is>
          <t>Ratanak Kiri</t>
        </is>
      </c>
      <c r="B17" t="n">
        <v>3</v>
      </c>
      <c r="C17" t="n">
        <v>26</v>
      </c>
      <c r="D17" t="n">
        <v>475</v>
      </c>
      <c r="E17" t="n">
        <v>215</v>
      </c>
      <c r="F17" t="n">
        <v>59</v>
      </c>
      <c r="G17" t="n">
        <v>17</v>
      </c>
      <c r="H17" t="n">
        <v>12</v>
      </c>
      <c r="I17" t="n">
        <v>6</v>
      </c>
      <c r="J17" t="n">
        <v>0</v>
      </c>
      <c r="K17" t="n">
        <v>0</v>
      </c>
      <c r="L17" t="n">
        <v>4</v>
      </c>
      <c r="M17" t="n">
        <v>32</v>
      </c>
      <c r="N17" t="n">
        <v>26</v>
      </c>
    </row>
    <row r="18">
      <c r="A18" t="inlineStr">
        <is>
          <t>Siemreap</t>
        </is>
      </c>
      <c r="B18" t="n">
        <v>17</v>
      </c>
      <c r="C18" t="n">
        <v>192</v>
      </c>
      <c r="D18" t="n">
        <v>4110</v>
      </c>
      <c r="E18" t="n">
        <v>2046</v>
      </c>
      <c r="F18" t="n">
        <v>565</v>
      </c>
      <c r="G18" t="n">
        <v>271</v>
      </c>
      <c r="H18" t="n">
        <v>122</v>
      </c>
      <c r="I18" t="n">
        <v>66</v>
      </c>
      <c r="J18" t="n">
        <v>39</v>
      </c>
      <c r="K18" t="n">
        <v>24</v>
      </c>
      <c r="L18" t="n">
        <v>28</v>
      </c>
      <c r="M18" t="n">
        <v>314</v>
      </c>
      <c r="N18" t="n">
        <v>172</v>
      </c>
    </row>
    <row r="19">
      <c r="A19" t="inlineStr">
        <is>
          <t>Takeo</t>
        </is>
      </c>
      <c r="B19" t="n">
        <v>8</v>
      </c>
      <c r="C19" t="n">
        <v>59</v>
      </c>
      <c r="D19" t="n">
        <v>1240</v>
      </c>
      <c r="E19" t="n">
        <v>616</v>
      </c>
      <c r="F19" t="n">
        <v>189</v>
      </c>
      <c r="G19" t="n">
        <v>54</v>
      </c>
      <c r="H19" t="n">
        <v>46</v>
      </c>
      <c r="I19" t="n">
        <v>26</v>
      </c>
      <c r="J19" t="n">
        <v>4</v>
      </c>
      <c r="K19" t="n">
        <v>3</v>
      </c>
      <c r="L19" t="n">
        <v>54</v>
      </c>
      <c r="M19" t="n">
        <v>133</v>
      </c>
      <c r="N19" t="n">
        <v>59</v>
      </c>
    </row>
    <row r="20">
      <c r="A20" t="inlineStr">
        <is>
          <t>Tbaung Khmum</t>
        </is>
      </c>
      <c r="B20" t="n">
        <v>3</v>
      </c>
      <c r="C20" t="n">
        <v>47</v>
      </c>
      <c r="D20" t="n">
        <v>2067</v>
      </c>
      <c r="E20" t="n">
        <v>1313</v>
      </c>
      <c r="F20" t="n">
        <v>54</v>
      </c>
      <c r="G20" t="n">
        <v>27</v>
      </c>
      <c r="H20" t="n">
        <v>2</v>
      </c>
      <c r="I20" t="n">
        <v>2</v>
      </c>
      <c r="J20" t="n">
        <v>10</v>
      </c>
      <c r="K20" t="n">
        <v>3</v>
      </c>
      <c r="L20" t="n">
        <v>7</v>
      </c>
      <c r="M20" t="n">
        <v>57</v>
      </c>
      <c r="N20" t="n">
        <v>47</v>
      </c>
    </row>
    <row r="21">
      <c r="A21" t="inlineStr">
        <is>
          <t>Whole Kingdom</t>
        </is>
      </c>
      <c r="B21" t="n">
        <v>211</v>
      </c>
      <c r="C21" t="n">
        <v>2387</v>
      </c>
      <c r="D21" t="n">
        <v>59096</v>
      </c>
      <c r="E21" t="n">
        <v>30333</v>
      </c>
      <c r="F21" t="n">
        <v>5362</v>
      </c>
      <c r="G21" t="n">
        <v>2087</v>
      </c>
      <c r="H21" t="n">
        <v>1782</v>
      </c>
      <c r="I21" t="n">
        <v>916</v>
      </c>
      <c r="J21" t="n">
        <v>724</v>
      </c>
      <c r="K21" t="n">
        <v>309</v>
      </c>
      <c r="L21" t="n">
        <v>447</v>
      </c>
      <c r="M21" t="n">
        <v>6798</v>
      </c>
      <c r="N21" t="n">
        <v>2139</v>
      </c>
    </row>
    <row r="22">
      <c r="A22" t="inlineStr">
        <is>
          <t>- Urban Area</t>
        </is>
      </c>
      <c r="B22" t="n">
        <v>184</v>
      </c>
      <c r="C22" t="n">
        <v>2134</v>
      </c>
      <c r="D22" t="n">
        <v>52175</v>
      </c>
      <c r="E22" t="n">
        <v>26876</v>
      </c>
      <c r="F22" t="n">
        <v>4810</v>
      </c>
      <c r="G22" t="n">
        <v>1913</v>
      </c>
      <c r="H22" t="n">
        <v>1672</v>
      </c>
      <c r="I22" t="n">
        <v>871</v>
      </c>
      <c r="J22" t="n">
        <v>697</v>
      </c>
      <c r="K22" t="n">
        <v>297</v>
      </c>
      <c r="L22" t="n">
        <v>363</v>
      </c>
      <c r="M22" t="n">
        <v>6233</v>
      </c>
      <c r="N22" t="n">
        <v>1894</v>
      </c>
    </row>
    <row r="23">
      <c r="A23" t="inlineStr">
        <is>
          <t>- Rural Area</t>
        </is>
      </c>
      <c r="B23" t="n">
        <v>27</v>
      </c>
      <c r="C23" t="n">
        <v>253</v>
      </c>
      <c r="D23" t="n">
        <v>6921</v>
      </c>
      <c r="E23" t="n">
        <v>3457</v>
      </c>
      <c r="F23" t="n">
        <v>552</v>
      </c>
      <c r="G23" t="n">
        <v>174</v>
      </c>
      <c r="H23" t="n">
        <v>110</v>
      </c>
      <c r="I23" t="n">
        <v>45</v>
      </c>
      <c r="J23" t="n">
        <v>27</v>
      </c>
      <c r="K23" t="n">
        <v>12</v>
      </c>
      <c r="L23" t="n">
        <v>84</v>
      </c>
      <c r="M23" t="n">
        <v>565</v>
      </c>
      <c r="N23" t="n">
        <v>245</v>
      </c>
    </row>
  </sheetData>
  <mergeCells count="10">
    <mergeCell ref="D1:E1"/>
    <mergeCell ref="H1:I1"/>
    <mergeCell ref="J1:K1"/>
    <mergeCell ref="C1:C2"/>
    <mergeCell ref="B1:B2"/>
    <mergeCell ref="M1:M2"/>
    <mergeCell ref="L1:L2"/>
    <mergeCell ref="F1:G1"/>
    <mergeCell ref="N1:N2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20.5" customWidth="1" min="1" max="1"/>
    <col width="11.83203125" customWidth="1" min="2" max="2"/>
    <col width="11.5" customWidth="1" min="3" max="3"/>
    <col width="11.83203125" customWidth="1" min="4" max="4"/>
    <col width="11.5" customWidth="1" min="5" max="5"/>
    <col width="11.83203125" customWidth="1" min="7" max="7"/>
    <col width="12" customWidth="1" min="8" max="8"/>
    <col width="13.1640625" customWidth="1" min="10" max="10"/>
    <col width="12" customWidth="1" min="12" max="12"/>
    <col width="12.1640625" customWidth="1" min="13" max="13"/>
    <col width="12" customWidth="1" min="14" max="14"/>
  </cols>
  <sheetData>
    <row r="1">
      <c r="A1" t="inlineStr">
        <is>
          <t>Table 1: Schools, Classes, Students and Staff</t>
        </is>
      </c>
      <c r="B1" t="inlineStr">
        <is>
          <t>Number of
Schools</t>
        </is>
      </c>
      <c r="C1" t="inlineStr">
        <is>
          <t>Number of
Classes</t>
        </is>
      </c>
      <c r="D1" t="inlineStr">
        <is>
          <t>Enrollment</t>
        </is>
      </c>
      <c r="F1" t="inlineStr">
        <is>
          <t>Teaching Staff</t>
        </is>
      </c>
      <c r="H1" t="inlineStr">
        <is>
          <t>Non-Teaching Staff</t>
        </is>
      </c>
      <c r="J1" t="inlineStr">
        <is>
          <t>Foreigner Teaching Staff</t>
        </is>
      </c>
      <c r="L1" t="inlineStr">
        <is>
          <t>Buildings</t>
        </is>
      </c>
      <c r="M1" t="inlineStr">
        <is>
          <t>Rooms</t>
        </is>
      </c>
      <c r="N1" t="inlineStr">
        <is>
          <t>Classrooms</t>
        </is>
      </c>
    </row>
    <row r="2">
      <c r="D2" t="inlineStr">
        <is>
          <t>Total</t>
        </is>
      </c>
      <c r="E2" t="inlineStr">
        <is>
          <t>Girl</t>
        </is>
      </c>
      <c r="F2" t="inlineStr">
        <is>
          <t>Total</t>
        </is>
      </c>
      <c r="G2" t="inlineStr">
        <is>
          <t>Female</t>
        </is>
      </c>
      <c r="H2" t="inlineStr">
        <is>
          <t>Total</t>
        </is>
      </c>
      <c r="I2" t="inlineStr">
        <is>
          <t>Female</t>
        </is>
      </c>
      <c r="J2" t="inlineStr">
        <is>
          <t>Total</t>
        </is>
      </c>
      <c r="K2" t="inlineStr">
        <is>
          <t>Female</t>
        </is>
      </c>
    </row>
    <row r="3">
      <c r="A3" t="inlineStr">
        <is>
          <t>Banteay Meanchey</t>
        </is>
      </c>
      <c r="B3" t="n">
        <v>56</v>
      </c>
      <c r="C3" t="n">
        <v>139</v>
      </c>
      <c r="D3" t="n">
        <v>2503</v>
      </c>
      <c r="E3" t="n">
        <v>1236</v>
      </c>
      <c r="F3" t="n">
        <v>157</v>
      </c>
      <c r="G3" t="n">
        <v>147</v>
      </c>
      <c r="H3" t="n">
        <v>49</v>
      </c>
      <c r="I3" t="n">
        <v>40</v>
      </c>
      <c r="J3" t="n">
        <v>20</v>
      </c>
      <c r="K3" t="n">
        <v>15</v>
      </c>
      <c r="L3" t="n">
        <v>74</v>
      </c>
      <c r="M3" t="n">
        <v>690</v>
      </c>
      <c r="N3" t="n">
        <v>124</v>
      </c>
    </row>
    <row r="4">
      <c r="A4" t="inlineStr">
        <is>
          <t>Battambang</t>
        </is>
      </c>
      <c r="B4" t="n">
        <v>26</v>
      </c>
      <c r="C4" t="n">
        <v>103</v>
      </c>
      <c r="D4" t="n">
        <v>1489</v>
      </c>
      <c r="E4" t="n">
        <v>717</v>
      </c>
      <c r="F4" t="n">
        <v>118</v>
      </c>
      <c r="G4" t="n">
        <v>102</v>
      </c>
      <c r="H4" t="n">
        <v>79</v>
      </c>
      <c r="I4" t="n">
        <v>57</v>
      </c>
      <c r="J4" t="n">
        <v>26</v>
      </c>
      <c r="K4" t="n">
        <v>19</v>
      </c>
      <c r="L4" t="n">
        <v>29</v>
      </c>
      <c r="M4" t="n">
        <v>306</v>
      </c>
      <c r="N4" t="n">
        <v>97</v>
      </c>
    </row>
    <row r="5">
      <c r="A5" t="inlineStr">
        <is>
          <t>Kampong Cham</t>
        </is>
      </c>
      <c r="B5" t="n">
        <v>11</v>
      </c>
      <c r="C5" t="n">
        <v>64</v>
      </c>
      <c r="D5" t="n">
        <v>769</v>
      </c>
      <c r="E5" t="n">
        <v>399</v>
      </c>
      <c r="F5" t="n">
        <v>48</v>
      </c>
      <c r="G5" t="n">
        <v>38</v>
      </c>
      <c r="H5" t="n">
        <v>33</v>
      </c>
      <c r="I5" t="n">
        <v>12</v>
      </c>
      <c r="J5" t="n">
        <v>1</v>
      </c>
      <c r="K5" t="n">
        <v>0</v>
      </c>
      <c r="L5" t="n">
        <v>29</v>
      </c>
      <c r="M5" t="n">
        <v>80</v>
      </c>
      <c r="N5" t="n">
        <v>50</v>
      </c>
    </row>
    <row r="6">
      <c r="A6" t="inlineStr">
        <is>
          <t>Kampong Chhnang</t>
        </is>
      </c>
      <c r="B6" t="n">
        <v>10</v>
      </c>
      <c r="C6" t="n">
        <v>37</v>
      </c>
      <c r="D6" t="n">
        <v>765</v>
      </c>
      <c r="E6" t="n">
        <v>390</v>
      </c>
      <c r="F6" t="n">
        <v>49</v>
      </c>
      <c r="G6" t="n">
        <v>48</v>
      </c>
      <c r="H6" t="n">
        <v>17</v>
      </c>
      <c r="I6" t="n">
        <v>16</v>
      </c>
      <c r="J6" t="n">
        <v>14</v>
      </c>
      <c r="K6" t="n">
        <v>14</v>
      </c>
      <c r="L6" t="n">
        <v>23</v>
      </c>
      <c r="M6" t="n">
        <v>99</v>
      </c>
      <c r="N6" t="n">
        <v>37</v>
      </c>
    </row>
    <row r="7">
      <c r="A7" t="inlineStr">
        <is>
          <t>Kampong Speu</t>
        </is>
      </c>
      <c r="B7" t="n">
        <v>28</v>
      </c>
      <c r="C7" t="n">
        <v>164</v>
      </c>
      <c r="D7" t="n">
        <v>2152</v>
      </c>
      <c r="E7" t="n">
        <v>1043</v>
      </c>
      <c r="F7" t="n">
        <v>162</v>
      </c>
      <c r="G7" t="n">
        <v>130</v>
      </c>
      <c r="H7" t="n">
        <v>36</v>
      </c>
      <c r="I7" t="n">
        <v>16</v>
      </c>
      <c r="J7" t="n">
        <v>18</v>
      </c>
      <c r="K7" t="n">
        <v>12</v>
      </c>
      <c r="L7" t="n">
        <v>48</v>
      </c>
      <c r="M7" t="n">
        <v>342</v>
      </c>
      <c r="N7" t="n">
        <v>143</v>
      </c>
    </row>
    <row r="8">
      <c r="A8" t="inlineStr">
        <is>
          <t>Kampong Thom</t>
        </is>
      </c>
      <c r="B8" t="n">
        <v>21</v>
      </c>
      <c r="C8" t="n">
        <v>41</v>
      </c>
      <c r="D8" t="n">
        <v>668</v>
      </c>
      <c r="E8" t="n">
        <v>322</v>
      </c>
      <c r="F8" t="n">
        <v>42</v>
      </c>
      <c r="G8" t="n">
        <v>42</v>
      </c>
      <c r="H8" t="n">
        <v>9</v>
      </c>
      <c r="I8" t="n">
        <v>5</v>
      </c>
      <c r="J8" t="n">
        <v>1</v>
      </c>
      <c r="K8" t="n">
        <v>0</v>
      </c>
      <c r="L8" t="n">
        <v>20</v>
      </c>
      <c r="M8" t="n">
        <v>124</v>
      </c>
      <c r="N8" t="n">
        <v>31</v>
      </c>
    </row>
    <row r="9">
      <c r="A9" t="inlineStr">
        <is>
          <t>Kampot</t>
        </is>
      </c>
      <c r="B9" t="n">
        <v>12</v>
      </c>
      <c r="C9" t="n">
        <v>40</v>
      </c>
      <c r="D9" t="n">
        <v>809</v>
      </c>
      <c r="E9" t="n">
        <v>426</v>
      </c>
      <c r="F9" t="n">
        <v>51</v>
      </c>
      <c r="G9" t="n">
        <v>50</v>
      </c>
      <c r="H9" t="n">
        <v>17</v>
      </c>
      <c r="I9" t="n">
        <v>14</v>
      </c>
      <c r="J9" t="n">
        <v>2</v>
      </c>
      <c r="K9" t="n">
        <v>2</v>
      </c>
      <c r="L9" t="n">
        <v>13</v>
      </c>
      <c r="M9" t="n">
        <v>116</v>
      </c>
      <c r="N9" t="n">
        <v>38</v>
      </c>
    </row>
    <row r="10">
      <c r="A10" t="inlineStr">
        <is>
          <t>Kandal</t>
        </is>
      </c>
      <c r="B10" t="n">
        <v>44</v>
      </c>
      <c r="C10" t="n">
        <v>149</v>
      </c>
      <c r="D10" t="n">
        <v>2748</v>
      </c>
      <c r="E10" t="n">
        <v>1349</v>
      </c>
      <c r="F10" t="n">
        <v>172</v>
      </c>
      <c r="G10" t="n">
        <v>148</v>
      </c>
      <c r="H10" t="n">
        <v>102</v>
      </c>
      <c r="I10" t="n">
        <v>61</v>
      </c>
      <c r="J10" t="n">
        <v>34</v>
      </c>
      <c r="K10" t="n">
        <v>14</v>
      </c>
      <c r="L10" t="n">
        <v>63</v>
      </c>
      <c r="M10" t="n">
        <v>561</v>
      </c>
      <c r="N10" t="n">
        <v>142</v>
      </c>
    </row>
    <row r="11">
      <c r="A11" t="inlineStr">
        <is>
          <t>Kep</t>
        </is>
      </c>
      <c r="B11" t="n">
        <v>2</v>
      </c>
      <c r="C11" t="n">
        <v>6</v>
      </c>
      <c r="D11" t="n">
        <v>37</v>
      </c>
      <c r="E11" t="n">
        <v>18</v>
      </c>
      <c r="F11" t="n">
        <v>9</v>
      </c>
      <c r="G11" t="n">
        <v>8</v>
      </c>
      <c r="H11" t="n">
        <v>3</v>
      </c>
      <c r="I11" t="n">
        <v>3</v>
      </c>
      <c r="J11" t="n">
        <v>2</v>
      </c>
      <c r="K11" t="n">
        <v>2</v>
      </c>
      <c r="L11" t="n">
        <v>2</v>
      </c>
      <c r="M11" t="n">
        <v>7</v>
      </c>
      <c r="N11" t="n">
        <v>6</v>
      </c>
    </row>
    <row r="12">
      <c r="A12" t="inlineStr">
        <is>
          <t>Koh Kong</t>
        </is>
      </c>
      <c r="B12" t="n">
        <v>8</v>
      </c>
      <c r="C12" t="n">
        <v>18</v>
      </c>
      <c r="D12" t="n">
        <v>527</v>
      </c>
      <c r="E12" t="n">
        <v>270</v>
      </c>
      <c r="F12" t="n">
        <v>21</v>
      </c>
      <c r="G12" t="n">
        <v>18</v>
      </c>
      <c r="H12" t="n">
        <v>6</v>
      </c>
      <c r="I12" t="n">
        <v>1</v>
      </c>
      <c r="J12" t="n">
        <v>3</v>
      </c>
      <c r="K12" t="n">
        <v>2</v>
      </c>
      <c r="L12" t="n">
        <v>13</v>
      </c>
      <c r="M12" t="n">
        <v>58</v>
      </c>
      <c r="N12" t="n">
        <v>18</v>
      </c>
    </row>
    <row r="13">
      <c r="A13" t="inlineStr">
        <is>
          <t>Kratie</t>
        </is>
      </c>
      <c r="B13" t="n">
        <v>4</v>
      </c>
      <c r="C13" t="n">
        <v>9</v>
      </c>
      <c r="D13" t="n">
        <v>179</v>
      </c>
      <c r="E13" t="n">
        <v>83</v>
      </c>
      <c r="F13" t="n">
        <v>15</v>
      </c>
      <c r="G13" t="n">
        <v>14</v>
      </c>
      <c r="H13" t="n">
        <v>23</v>
      </c>
      <c r="I13" t="n">
        <v>14</v>
      </c>
      <c r="J13" t="n">
        <v>0</v>
      </c>
      <c r="K13" t="n">
        <v>0</v>
      </c>
      <c r="L13" t="n">
        <v>4</v>
      </c>
      <c r="M13" t="n">
        <v>17</v>
      </c>
      <c r="N13" t="n">
        <v>9</v>
      </c>
    </row>
    <row r="14">
      <c r="A14" t="inlineStr">
        <is>
          <t>Mondul Kiri</t>
        </is>
      </c>
      <c r="B14" t="n">
        <v>3</v>
      </c>
      <c r="C14" t="n">
        <v>4</v>
      </c>
      <c r="D14" t="n">
        <v>92</v>
      </c>
      <c r="E14" t="n">
        <v>51</v>
      </c>
      <c r="F14" t="n">
        <v>11</v>
      </c>
      <c r="G14" t="n">
        <v>6</v>
      </c>
      <c r="H14" t="n">
        <v>2</v>
      </c>
      <c r="I14" t="n">
        <v>2</v>
      </c>
      <c r="J14" t="n">
        <v>0</v>
      </c>
      <c r="K14" t="n">
        <v>0</v>
      </c>
      <c r="L14" t="n">
        <v>3</v>
      </c>
      <c r="M14" t="n">
        <v>5</v>
      </c>
      <c r="N14" t="n">
        <v>4</v>
      </c>
    </row>
    <row r="15">
      <c r="A15" t="inlineStr">
        <is>
          <t>Otdar Meanchey</t>
        </is>
      </c>
      <c r="B15" t="n">
        <v>6</v>
      </c>
      <c r="C15" t="n">
        <v>11</v>
      </c>
      <c r="D15" t="n">
        <v>276</v>
      </c>
      <c r="E15" t="n">
        <v>143</v>
      </c>
      <c r="F15" t="n">
        <v>21</v>
      </c>
      <c r="G15" t="n">
        <v>16</v>
      </c>
      <c r="H15" t="n">
        <v>1</v>
      </c>
      <c r="I15" t="n">
        <v>1</v>
      </c>
      <c r="J15" t="n">
        <v>0</v>
      </c>
      <c r="K15" t="n">
        <v>0</v>
      </c>
      <c r="L15" t="n">
        <v>11</v>
      </c>
      <c r="M15" t="n">
        <v>45</v>
      </c>
      <c r="N15" t="n">
        <v>9</v>
      </c>
    </row>
    <row r="16">
      <c r="A16" t="inlineStr">
        <is>
          <t>Pailin</t>
        </is>
      </c>
      <c r="B16" t="n">
        <v>9</v>
      </c>
      <c r="C16" t="n">
        <v>25</v>
      </c>
      <c r="D16" t="n">
        <v>465</v>
      </c>
      <c r="E16" t="n">
        <v>220</v>
      </c>
      <c r="F16" t="n">
        <v>26</v>
      </c>
      <c r="G16" t="n">
        <v>26</v>
      </c>
      <c r="H16" t="n">
        <v>8</v>
      </c>
      <c r="I16" t="n">
        <v>5</v>
      </c>
      <c r="J16" t="n">
        <v>0</v>
      </c>
      <c r="K16" t="n">
        <v>0</v>
      </c>
      <c r="L16" t="n">
        <v>13</v>
      </c>
      <c r="M16" t="n">
        <v>83</v>
      </c>
      <c r="N16" t="n">
        <v>24</v>
      </c>
    </row>
    <row r="17">
      <c r="A17" t="inlineStr">
        <is>
          <t>Phnom Penh</t>
        </is>
      </c>
      <c r="B17" t="n">
        <v>312</v>
      </c>
      <c r="C17" t="n">
        <v>1041</v>
      </c>
      <c r="D17" t="n">
        <v>15570</v>
      </c>
      <c r="E17" t="n">
        <v>7844</v>
      </c>
      <c r="F17" t="n">
        <v>1079</v>
      </c>
      <c r="G17" t="n">
        <v>937</v>
      </c>
      <c r="H17" t="n">
        <v>1077</v>
      </c>
      <c r="I17" t="n">
        <v>831</v>
      </c>
      <c r="J17" t="n">
        <v>648</v>
      </c>
      <c r="K17" t="n">
        <v>491</v>
      </c>
      <c r="L17" t="n">
        <v>339</v>
      </c>
      <c r="M17" t="n">
        <v>4384</v>
      </c>
      <c r="N17" t="n">
        <v>1113</v>
      </c>
    </row>
    <row r="18">
      <c r="A18" t="inlineStr">
        <is>
          <t>Preah Sihanouk</t>
        </is>
      </c>
      <c r="B18" t="n">
        <v>26</v>
      </c>
      <c r="C18" t="n">
        <v>77</v>
      </c>
      <c r="D18" t="n">
        <v>1521</v>
      </c>
      <c r="E18" t="n">
        <v>731</v>
      </c>
      <c r="F18" t="n">
        <v>79</v>
      </c>
      <c r="G18" t="n">
        <v>73</v>
      </c>
      <c r="H18" t="n">
        <v>28</v>
      </c>
      <c r="I18" t="n">
        <v>15</v>
      </c>
      <c r="J18" t="n">
        <v>30</v>
      </c>
      <c r="K18" t="n">
        <v>26</v>
      </c>
      <c r="L18" t="n">
        <v>23</v>
      </c>
      <c r="M18" t="n">
        <v>179</v>
      </c>
      <c r="N18" t="n">
        <v>63</v>
      </c>
    </row>
    <row r="19">
      <c r="A19" t="inlineStr">
        <is>
          <t>Preah Vihear</t>
        </is>
      </c>
      <c r="B19" t="n">
        <v>2</v>
      </c>
      <c r="C19" t="n">
        <v>3</v>
      </c>
      <c r="D19" t="n">
        <v>50</v>
      </c>
      <c r="E19" t="n">
        <v>23</v>
      </c>
      <c r="F19" t="n">
        <v>3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3</v>
      </c>
    </row>
    <row r="20">
      <c r="A20" t="inlineStr">
        <is>
          <t>Prey Veng</t>
        </is>
      </c>
      <c r="B20" t="n">
        <v>3</v>
      </c>
      <c r="C20" t="n">
        <v>6</v>
      </c>
      <c r="D20" t="n">
        <v>75</v>
      </c>
      <c r="E20" t="n">
        <v>40</v>
      </c>
      <c r="F20" t="n">
        <v>8</v>
      </c>
      <c r="G20" t="n">
        <v>8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29</v>
      </c>
      <c r="N20" t="n">
        <v>6</v>
      </c>
    </row>
    <row r="21">
      <c r="A21" t="inlineStr">
        <is>
          <t>Pursat</t>
        </is>
      </c>
      <c r="B21" t="n">
        <v>5</v>
      </c>
      <c r="C21" t="n">
        <v>24</v>
      </c>
      <c r="D21" t="n">
        <v>580</v>
      </c>
      <c r="E21" t="n">
        <v>297</v>
      </c>
      <c r="F21" t="n">
        <v>36</v>
      </c>
      <c r="G21" t="n">
        <v>31</v>
      </c>
      <c r="H21" t="n">
        <v>14</v>
      </c>
      <c r="I21" t="n">
        <v>9</v>
      </c>
      <c r="J21" t="n">
        <v>1</v>
      </c>
      <c r="K21" t="n">
        <v>0</v>
      </c>
      <c r="L21" t="n">
        <v>9</v>
      </c>
      <c r="M21" t="n">
        <v>45</v>
      </c>
      <c r="N21" t="n">
        <v>24</v>
      </c>
    </row>
    <row r="22">
      <c r="A22" t="inlineStr">
        <is>
          <t>Ratanak Kiri</t>
        </is>
      </c>
      <c r="B22" t="n">
        <v>4</v>
      </c>
      <c r="C22" t="n">
        <v>30</v>
      </c>
      <c r="D22" t="n">
        <v>524</v>
      </c>
      <c r="E22" t="n">
        <v>268</v>
      </c>
      <c r="F22" t="n">
        <v>21</v>
      </c>
      <c r="G22" t="n">
        <v>21</v>
      </c>
      <c r="H22" t="n">
        <v>11</v>
      </c>
      <c r="I22" t="n">
        <v>11</v>
      </c>
      <c r="J22" t="n">
        <v>0</v>
      </c>
      <c r="K22" t="n">
        <v>0</v>
      </c>
      <c r="L22" t="n">
        <v>4</v>
      </c>
      <c r="M22" t="n">
        <v>17</v>
      </c>
      <c r="N22" t="n">
        <v>17</v>
      </c>
    </row>
    <row r="23">
      <c r="A23" t="inlineStr">
        <is>
          <t>Siemreap</t>
        </is>
      </c>
      <c r="B23" t="n">
        <v>54</v>
      </c>
      <c r="C23" t="n">
        <v>246</v>
      </c>
      <c r="D23" t="n">
        <v>7732</v>
      </c>
      <c r="E23" t="n">
        <v>1684</v>
      </c>
      <c r="F23" t="n">
        <v>343</v>
      </c>
      <c r="G23" t="n">
        <v>277</v>
      </c>
      <c r="H23" t="n">
        <v>215</v>
      </c>
      <c r="I23" t="n">
        <v>144</v>
      </c>
      <c r="J23" t="n">
        <v>87</v>
      </c>
      <c r="K23" t="n">
        <v>65</v>
      </c>
      <c r="L23" t="n">
        <v>92</v>
      </c>
      <c r="M23" t="n">
        <v>672</v>
      </c>
      <c r="N23" t="n">
        <v>208</v>
      </c>
    </row>
    <row r="24">
      <c r="A24" t="inlineStr">
        <is>
          <t>Stung Treng</t>
        </is>
      </c>
      <c r="B24" t="n">
        <v>5</v>
      </c>
      <c r="C24" t="n">
        <v>17</v>
      </c>
      <c r="D24" t="n">
        <v>232</v>
      </c>
      <c r="E24" t="n">
        <v>120</v>
      </c>
      <c r="F24" t="n">
        <v>15</v>
      </c>
      <c r="G24" t="n">
        <v>15</v>
      </c>
      <c r="H24" t="n">
        <v>3</v>
      </c>
      <c r="I24" t="n">
        <v>3</v>
      </c>
      <c r="J24" t="n">
        <v>0</v>
      </c>
      <c r="K24" t="n">
        <v>0</v>
      </c>
      <c r="L24" t="n">
        <v>7</v>
      </c>
      <c r="M24" t="n">
        <v>24</v>
      </c>
      <c r="N24" t="n">
        <v>13</v>
      </c>
    </row>
    <row r="25">
      <c r="A25" t="inlineStr">
        <is>
          <t>Svay Rieng</t>
        </is>
      </c>
      <c r="B25" t="n">
        <v>4</v>
      </c>
      <c r="C25" t="n">
        <v>10</v>
      </c>
      <c r="D25" t="n">
        <v>157</v>
      </c>
      <c r="E25" t="n">
        <v>77</v>
      </c>
      <c r="F25" t="n">
        <v>20</v>
      </c>
      <c r="G25" t="n">
        <v>17</v>
      </c>
      <c r="H25" t="n">
        <v>4</v>
      </c>
      <c r="I25" t="n">
        <v>3</v>
      </c>
      <c r="J25" t="n">
        <v>8</v>
      </c>
      <c r="K25" t="n">
        <v>6</v>
      </c>
      <c r="L25" t="n">
        <v>5</v>
      </c>
      <c r="M25" t="n">
        <v>24</v>
      </c>
      <c r="N25" t="n">
        <v>10</v>
      </c>
    </row>
    <row r="26">
      <c r="A26" t="inlineStr">
        <is>
          <t>Takeo</t>
        </is>
      </c>
      <c r="B26" t="n">
        <v>23</v>
      </c>
      <c r="C26" t="n">
        <v>66</v>
      </c>
      <c r="D26" t="n">
        <v>1240</v>
      </c>
      <c r="E26" t="n">
        <v>589</v>
      </c>
      <c r="F26" t="n">
        <v>94</v>
      </c>
      <c r="G26" t="n">
        <v>81</v>
      </c>
      <c r="H26" t="n">
        <v>46</v>
      </c>
      <c r="I26" t="n">
        <v>25</v>
      </c>
      <c r="J26" t="n">
        <v>8</v>
      </c>
      <c r="K26" t="n">
        <v>5</v>
      </c>
      <c r="L26" t="n">
        <v>64</v>
      </c>
      <c r="M26" t="n">
        <v>174</v>
      </c>
      <c r="N26" t="n">
        <v>60</v>
      </c>
    </row>
    <row r="27">
      <c r="A27" t="inlineStr">
        <is>
          <t>Tbaung Khmum</t>
        </is>
      </c>
      <c r="B27" t="n">
        <v>10</v>
      </c>
      <c r="C27" t="n">
        <v>28</v>
      </c>
      <c r="D27" t="n">
        <v>410</v>
      </c>
      <c r="E27" t="n">
        <v>230</v>
      </c>
      <c r="F27" t="n">
        <v>31</v>
      </c>
      <c r="G27" t="n">
        <v>27</v>
      </c>
      <c r="H27" t="n">
        <v>7</v>
      </c>
      <c r="I27" t="n">
        <v>4</v>
      </c>
      <c r="J27" t="n">
        <v>5</v>
      </c>
      <c r="K27" t="n">
        <v>4</v>
      </c>
      <c r="L27" t="n">
        <v>11</v>
      </c>
      <c r="M27" t="n">
        <v>107</v>
      </c>
      <c r="N27" t="n">
        <v>28</v>
      </c>
    </row>
    <row r="28">
      <c r="A28" t="inlineStr">
        <is>
          <t>Whole Kingdom</t>
        </is>
      </c>
      <c r="B28" t="n">
        <v>688</v>
      </c>
      <c r="C28" t="n">
        <v>2358</v>
      </c>
      <c r="D28" t="n">
        <v>41570</v>
      </c>
      <c r="E28" t="n">
        <v>18570</v>
      </c>
      <c r="F28" t="n">
        <v>2631</v>
      </c>
      <c r="G28" t="n">
        <v>2283</v>
      </c>
      <c r="H28" t="n">
        <v>1790</v>
      </c>
      <c r="I28" t="n">
        <v>1292</v>
      </c>
      <c r="J28" t="n">
        <v>908</v>
      </c>
      <c r="K28" t="n">
        <v>677</v>
      </c>
      <c r="L28" t="n">
        <v>902</v>
      </c>
      <c r="M28" t="n">
        <v>8190</v>
      </c>
      <c r="N28" t="n">
        <v>2277</v>
      </c>
    </row>
    <row r="29">
      <c r="A29" t="inlineStr">
        <is>
          <t>- Urban Area</t>
        </is>
      </c>
      <c r="B29" t="n">
        <v>542</v>
      </c>
      <c r="C29" t="n">
        <v>1874</v>
      </c>
      <c r="D29" t="n">
        <v>33344</v>
      </c>
      <c r="E29" t="n">
        <v>14398</v>
      </c>
      <c r="F29" t="n">
        <v>2093</v>
      </c>
      <c r="G29" t="n">
        <v>1845</v>
      </c>
      <c r="H29" t="n">
        <v>1592</v>
      </c>
      <c r="I29" t="n">
        <v>1195</v>
      </c>
      <c r="J29" t="n">
        <v>852</v>
      </c>
      <c r="K29" t="n">
        <v>638</v>
      </c>
      <c r="L29" t="n">
        <v>664</v>
      </c>
      <c r="M29" t="n">
        <v>7095</v>
      </c>
      <c r="N29" t="n">
        <v>1849</v>
      </c>
    </row>
    <row r="30">
      <c r="A30" t="inlineStr">
        <is>
          <t>- Rural Area</t>
        </is>
      </c>
      <c r="B30" t="n">
        <v>146</v>
      </c>
      <c r="C30" t="n">
        <v>484</v>
      </c>
      <c r="D30" t="n">
        <v>8226</v>
      </c>
      <c r="E30" t="n">
        <v>4172</v>
      </c>
      <c r="F30" t="n">
        <v>538</v>
      </c>
      <c r="G30" t="n">
        <v>438</v>
      </c>
      <c r="H30" t="n">
        <v>198</v>
      </c>
      <c r="I30" t="n">
        <v>97</v>
      </c>
      <c r="J30" t="n">
        <v>56</v>
      </c>
      <c r="K30" t="n">
        <v>39</v>
      </c>
      <c r="L30" t="n">
        <v>238</v>
      </c>
      <c r="M30" t="n">
        <v>1095</v>
      </c>
      <c r="N30" t="n">
        <v>428</v>
      </c>
    </row>
  </sheetData>
  <mergeCells count="10">
    <mergeCell ref="D1:E1"/>
    <mergeCell ref="H1:I1"/>
    <mergeCell ref="J1:K1"/>
    <mergeCell ref="C1:C2"/>
    <mergeCell ref="B1:B2"/>
    <mergeCell ref="M1:M2"/>
    <mergeCell ref="L1:L2"/>
    <mergeCell ref="F1:G1"/>
    <mergeCell ref="N1:N2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cols>
    <col width="20.5" customWidth="1" min="1" max="1"/>
    <col width="1.83203125" customWidth="1" min="2" max="2"/>
    <col width="10.1640625" customWidth="1" min="3" max="3"/>
    <col width="4.1640625" customWidth="1" min="4" max="4"/>
    <col width="7.5" customWidth="1" min="5" max="5"/>
    <col width="5.1640625" customWidth="1" min="6" max="6"/>
    <col width="6.83203125" customWidth="1" min="7" max="7"/>
    <col width="4.83203125" customWidth="1" min="8" max="8"/>
    <col width="7.33203125" customWidth="1" min="9" max="9"/>
    <col width="4.6640625" customWidth="1" min="10" max="10"/>
    <col width="7.33203125" customWidth="1" min="11" max="11"/>
    <col width="4.1640625" customWidth="1" min="12" max="12"/>
    <col width="7.5" customWidth="1" min="13" max="13"/>
    <col width="4" customWidth="1" min="14" max="14"/>
    <col width="7.83203125" customWidth="1" min="15" max="15"/>
    <col width="3.83203125" customWidth="1" min="16" max="16"/>
    <col width="8" customWidth="1" min="17" max="17"/>
    <col width="3.83203125" customWidth="1" min="18" max="18"/>
    <col width="8.1640625" customWidth="1" min="19" max="19"/>
    <col width="3.33203125" customWidth="1" min="20" max="20"/>
    <col width="8.5" customWidth="1" min="21" max="21"/>
    <col width="3.1640625" customWidth="1" min="22" max="22"/>
    <col width="8.6640625" customWidth="1" min="23" max="23"/>
    <col width="2.83203125" customWidth="1" min="24" max="24"/>
    <col width="8.83203125" customWidth="1" min="25" max="25"/>
    <col width="2.83203125" customWidth="1" min="26" max="26"/>
    <col width="8.83203125" customWidth="1" min="27" max="27"/>
    <col width="2" customWidth="1" min="28" max="28"/>
  </cols>
  <sheetData>
    <row r="1">
      <c r="A1" t="inlineStr">
        <is>
          <t>Table 1: Schools, Classes, Students and Staff</t>
        </is>
      </c>
      <c r="B1" t="inlineStr">
        <is>
          <t>Number of
Schools</t>
        </is>
      </c>
      <c r="D1" t="inlineStr">
        <is>
          <t>Number of
Classes</t>
        </is>
      </c>
      <c r="F1" t="inlineStr">
        <is>
          <t>Enrollment</t>
        </is>
      </c>
      <c r="J1" t="inlineStr">
        <is>
          <t>Teaching Staff</t>
        </is>
      </c>
      <c r="N1" t="inlineStr">
        <is>
          <t>Non-Teaching Staff</t>
        </is>
      </c>
      <c r="R1" t="inlineStr">
        <is>
          <t>Foreigner Teaching Staff</t>
        </is>
      </c>
      <c r="V1" t="inlineStr">
        <is>
          <t>Buildings</t>
        </is>
      </c>
      <c r="X1" t="inlineStr">
        <is>
          <t>Rooms</t>
        </is>
      </c>
      <c r="Z1" t="inlineStr">
        <is>
          <t>Classrooms</t>
        </is>
      </c>
    </row>
    <row r="2">
      <c r="F2" t="inlineStr">
        <is>
          <t>Total</t>
        </is>
      </c>
      <c r="H2" t="inlineStr">
        <is>
          <t>Girl</t>
        </is>
      </c>
      <c r="J2" t="inlineStr">
        <is>
          <t>Total</t>
        </is>
      </c>
      <c r="L2" t="inlineStr">
        <is>
          <t>Female</t>
        </is>
      </c>
      <c r="N2" t="inlineStr">
        <is>
          <t>Total</t>
        </is>
      </c>
      <c r="P2" t="inlineStr">
        <is>
          <t>Female</t>
        </is>
      </c>
      <c r="R2" t="inlineStr">
        <is>
          <t>Total</t>
        </is>
      </c>
      <c r="T2" t="inlineStr">
        <is>
          <t>Female</t>
        </is>
      </c>
    </row>
    <row r="3">
      <c r="A3" t="inlineStr">
        <is>
          <t>Banteay Meanchey</t>
        </is>
      </c>
      <c r="B3" t="n">
        <v>56</v>
      </c>
      <c r="D3" t="n">
        <v>553</v>
      </c>
      <c r="F3" t="n">
        <v>11873</v>
      </c>
      <c r="H3" t="n">
        <v>5748</v>
      </c>
      <c r="J3" t="n">
        <v>522</v>
      </c>
      <c r="L3" t="n">
        <v>348</v>
      </c>
      <c r="N3" t="n">
        <v>123</v>
      </c>
      <c r="P3" t="n">
        <v>61</v>
      </c>
      <c r="R3" t="n">
        <v>30</v>
      </c>
      <c r="T3" t="n">
        <v>17</v>
      </c>
      <c r="V3" t="n">
        <v>91</v>
      </c>
      <c r="X3" t="n">
        <v>919</v>
      </c>
      <c r="Z3" t="n">
        <v>448</v>
      </c>
    </row>
    <row r="4">
      <c r="A4" t="inlineStr">
        <is>
          <t>Battambang</t>
        </is>
      </c>
      <c r="B4" t="n">
        <v>21</v>
      </c>
      <c r="D4" t="n">
        <v>232</v>
      </c>
      <c r="F4" t="n">
        <v>4102</v>
      </c>
      <c r="H4" t="n">
        <v>1905</v>
      </c>
      <c r="J4" t="n">
        <v>268</v>
      </c>
      <c r="L4" t="n">
        <v>226</v>
      </c>
      <c r="N4" t="n">
        <v>98</v>
      </c>
      <c r="P4" t="n">
        <v>57</v>
      </c>
      <c r="R4" t="n">
        <v>26</v>
      </c>
      <c r="T4" t="n">
        <v>13</v>
      </c>
      <c r="V4" t="n">
        <v>40</v>
      </c>
      <c r="X4" t="n">
        <v>439</v>
      </c>
      <c r="Z4" t="n">
        <v>214</v>
      </c>
    </row>
    <row r="5">
      <c r="A5" t="inlineStr">
        <is>
          <t>Kampong Cham</t>
        </is>
      </c>
      <c r="B5" t="n">
        <v>17</v>
      </c>
      <c r="D5" t="n">
        <v>124</v>
      </c>
      <c r="F5" t="n">
        <v>2311</v>
      </c>
      <c r="H5" t="n">
        <v>1190</v>
      </c>
      <c r="J5" t="n">
        <v>127</v>
      </c>
      <c r="L5" t="n">
        <v>85</v>
      </c>
      <c r="N5" t="n">
        <v>21</v>
      </c>
      <c r="P5" t="n">
        <v>12</v>
      </c>
      <c r="R5" t="n">
        <v>5</v>
      </c>
      <c r="T5" t="n">
        <v>2</v>
      </c>
      <c r="V5" t="n">
        <v>25</v>
      </c>
      <c r="X5" t="n">
        <v>148</v>
      </c>
      <c r="Z5" t="n">
        <v>90</v>
      </c>
    </row>
    <row r="6">
      <c r="A6" t="inlineStr">
        <is>
          <t>Kampong Chhnang</t>
        </is>
      </c>
      <c r="B6" t="n">
        <v>11</v>
      </c>
      <c r="D6" t="n">
        <v>97</v>
      </c>
      <c r="F6" t="n">
        <v>1928</v>
      </c>
      <c r="H6" t="n">
        <v>879</v>
      </c>
      <c r="J6" t="n">
        <v>133</v>
      </c>
      <c r="L6" t="n">
        <v>98</v>
      </c>
      <c r="N6" t="n">
        <v>54</v>
      </c>
      <c r="P6" t="n">
        <v>34</v>
      </c>
      <c r="R6" t="n">
        <v>10</v>
      </c>
      <c r="T6" t="n">
        <v>5</v>
      </c>
      <c r="V6" t="n">
        <v>36</v>
      </c>
      <c r="X6" t="n">
        <v>233</v>
      </c>
      <c r="Z6" t="n">
        <v>95</v>
      </c>
    </row>
    <row r="7">
      <c r="A7" t="inlineStr">
        <is>
          <t>Kampong Speu</t>
        </is>
      </c>
      <c r="B7" t="n">
        <v>24</v>
      </c>
      <c r="D7" t="n">
        <v>249</v>
      </c>
      <c r="F7" t="n">
        <v>4675</v>
      </c>
      <c r="H7" t="n">
        <v>2233</v>
      </c>
      <c r="J7" t="n">
        <v>259</v>
      </c>
      <c r="L7" t="n">
        <v>175</v>
      </c>
      <c r="N7" t="n">
        <v>77</v>
      </c>
      <c r="P7" t="n">
        <v>35</v>
      </c>
      <c r="R7" t="n">
        <v>13</v>
      </c>
      <c r="T7" t="n">
        <v>11</v>
      </c>
      <c r="V7" t="n">
        <v>60</v>
      </c>
      <c r="X7" t="n">
        <v>356</v>
      </c>
      <c r="Z7" t="n">
        <v>192</v>
      </c>
    </row>
    <row r="8">
      <c r="A8" t="inlineStr">
        <is>
          <t>Kampong Thom</t>
        </is>
      </c>
      <c r="B8" t="n">
        <v>25</v>
      </c>
      <c r="D8" t="n">
        <v>124</v>
      </c>
      <c r="F8" t="n">
        <v>3094</v>
      </c>
      <c r="H8" t="n">
        <v>1487</v>
      </c>
      <c r="J8" t="n">
        <v>140</v>
      </c>
      <c r="L8" t="n">
        <v>82</v>
      </c>
      <c r="N8" t="n">
        <v>40</v>
      </c>
      <c r="P8" t="n">
        <v>19</v>
      </c>
      <c r="R8" t="n">
        <v>22</v>
      </c>
      <c r="T8" t="n">
        <v>17</v>
      </c>
      <c r="V8" t="n">
        <v>39</v>
      </c>
      <c r="X8" t="n">
        <v>223</v>
      </c>
      <c r="Z8" t="n">
        <v>117</v>
      </c>
    </row>
    <row r="9">
      <c r="A9" t="inlineStr">
        <is>
          <t>Kampot</t>
        </is>
      </c>
      <c r="B9" t="n">
        <v>17</v>
      </c>
      <c r="D9" t="n">
        <v>179</v>
      </c>
      <c r="F9" t="n">
        <v>5176</v>
      </c>
      <c r="H9" t="n">
        <v>2769</v>
      </c>
      <c r="J9" t="n">
        <v>232</v>
      </c>
      <c r="L9" t="n">
        <v>135</v>
      </c>
      <c r="N9" t="n">
        <v>28</v>
      </c>
      <c r="P9" t="n">
        <v>19</v>
      </c>
      <c r="R9" t="n">
        <v>8</v>
      </c>
      <c r="T9" t="n">
        <v>7</v>
      </c>
      <c r="V9" t="n">
        <v>47</v>
      </c>
      <c r="X9" t="n">
        <v>248</v>
      </c>
      <c r="Z9" t="n">
        <v>173</v>
      </c>
    </row>
    <row r="10">
      <c r="A10" t="inlineStr">
        <is>
          <t>Kandal</t>
        </is>
      </c>
      <c r="B10" t="n">
        <v>34</v>
      </c>
      <c r="D10" t="n">
        <v>321</v>
      </c>
      <c r="F10" t="n">
        <v>7668</v>
      </c>
      <c r="H10" t="n">
        <v>3898</v>
      </c>
      <c r="J10" t="n">
        <v>306</v>
      </c>
      <c r="L10" t="n">
        <v>226</v>
      </c>
      <c r="N10" t="n">
        <v>178</v>
      </c>
      <c r="P10" t="n">
        <v>95</v>
      </c>
      <c r="R10" t="n">
        <v>47</v>
      </c>
      <c r="T10" t="n">
        <v>13</v>
      </c>
      <c r="V10" t="n">
        <v>85</v>
      </c>
      <c r="X10" t="n">
        <v>657</v>
      </c>
      <c r="Z10" t="n">
        <v>298</v>
      </c>
    </row>
    <row r="11">
      <c r="A11" t="inlineStr">
        <is>
          <t>Kep</t>
        </is>
      </c>
      <c r="B11" t="n">
        <v>1</v>
      </c>
      <c r="D11" t="n">
        <v>12</v>
      </c>
      <c r="F11" t="n">
        <v>499</v>
      </c>
      <c r="H11" t="n">
        <v>282</v>
      </c>
      <c r="J11" t="n">
        <v>16</v>
      </c>
      <c r="L11" t="n">
        <v>11</v>
      </c>
      <c r="N11" t="n">
        <v>1</v>
      </c>
      <c r="P11" t="n">
        <v>0</v>
      </c>
      <c r="R11" t="n">
        <v>16</v>
      </c>
      <c r="T11" t="n">
        <v>11</v>
      </c>
      <c r="V11" t="n">
        <v>2</v>
      </c>
      <c r="X11" t="n">
        <v>14</v>
      </c>
      <c r="Z11" t="n">
        <v>12</v>
      </c>
    </row>
    <row r="12">
      <c r="A12" t="inlineStr">
        <is>
          <t>Koh Kong</t>
        </is>
      </c>
      <c r="B12" t="n">
        <v>8</v>
      </c>
      <c r="D12" t="n">
        <v>65</v>
      </c>
      <c r="F12" t="n">
        <v>1621</v>
      </c>
      <c r="H12" t="n">
        <v>838</v>
      </c>
      <c r="J12" t="n">
        <v>67</v>
      </c>
      <c r="L12" t="n">
        <v>45</v>
      </c>
      <c r="N12" t="n">
        <v>14</v>
      </c>
      <c r="P12" t="n">
        <v>5</v>
      </c>
      <c r="R12" t="n">
        <v>0</v>
      </c>
      <c r="T12" t="n">
        <v>0</v>
      </c>
      <c r="V12" t="n">
        <v>24</v>
      </c>
      <c r="X12" t="n">
        <v>99</v>
      </c>
      <c r="Z12" t="n">
        <v>60</v>
      </c>
    </row>
    <row r="13">
      <c r="A13" t="inlineStr">
        <is>
          <t>Kratie</t>
        </is>
      </c>
      <c r="B13" t="n">
        <v>4</v>
      </c>
      <c r="D13" t="n">
        <v>45</v>
      </c>
      <c r="F13" t="n">
        <v>895</v>
      </c>
      <c r="H13" t="n">
        <v>518</v>
      </c>
      <c r="J13" t="n">
        <v>43</v>
      </c>
      <c r="L13" t="n">
        <v>39</v>
      </c>
      <c r="N13" t="n">
        <v>29</v>
      </c>
      <c r="P13" t="n">
        <v>19</v>
      </c>
      <c r="R13" t="n">
        <v>0</v>
      </c>
      <c r="T13" t="n">
        <v>4</v>
      </c>
      <c r="V13" t="n">
        <v>11</v>
      </c>
      <c r="X13" t="n">
        <v>75</v>
      </c>
      <c r="Z13" t="n">
        <v>37</v>
      </c>
    </row>
    <row r="14">
      <c r="A14" t="inlineStr">
        <is>
          <t>Mondul Kiri</t>
        </is>
      </c>
      <c r="B14" t="n">
        <v>4</v>
      </c>
      <c r="D14" t="n">
        <v>21</v>
      </c>
      <c r="F14" t="n">
        <v>309</v>
      </c>
      <c r="H14" t="n">
        <v>139</v>
      </c>
      <c r="J14" t="n">
        <v>29</v>
      </c>
      <c r="L14" t="n">
        <v>22</v>
      </c>
      <c r="N14" t="n">
        <v>19</v>
      </c>
      <c r="P14" t="n">
        <v>10</v>
      </c>
      <c r="R14" t="n">
        <v>6</v>
      </c>
      <c r="T14" t="n">
        <v>4</v>
      </c>
      <c r="V14" t="n">
        <v>7</v>
      </c>
      <c r="X14" t="n">
        <v>32</v>
      </c>
      <c r="Z14" t="n">
        <v>21</v>
      </c>
    </row>
    <row r="15">
      <c r="A15" t="inlineStr">
        <is>
          <t>Otdar Meanchey</t>
        </is>
      </c>
      <c r="B15" t="n">
        <v>6</v>
      </c>
      <c r="D15" t="n">
        <v>64</v>
      </c>
      <c r="F15" t="n">
        <v>1732</v>
      </c>
      <c r="H15" t="n">
        <v>787</v>
      </c>
      <c r="J15" t="n">
        <v>60</v>
      </c>
      <c r="L15" t="n">
        <v>39</v>
      </c>
      <c r="N15" t="n">
        <v>9</v>
      </c>
      <c r="P15" t="n">
        <v>3</v>
      </c>
      <c r="R15" t="n">
        <v>0</v>
      </c>
      <c r="T15" t="n">
        <v>0</v>
      </c>
      <c r="V15" t="n">
        <v>15</v>
      </c>
      <c r="X15" t="n">
        <v>61</v>
      </c>
      <c r="Z15" t="n">
        <v>47</v>
      </c>
    </row>
    <row r="16">
      <c r="A16" t="inlineStr">
        <is>
          <t>Pailin</t>
        </is>
      </c>
      <c r="B16" t="n">
        <v>8</v>
      </c>
      <c r="D16" t="n">
        <v>71</v>
      </c>
      <c r="F16" t="n">
        <v>1256</v>
      </c>
      <c r="H16" t="n">
        <v>615</v>
      </c>
      <c r="J16" t="n">
        <v>53</v>
      </c>
      <c r="L16" t="n">
        <v>40</v>
      </c>
      <c r="N16" t="n">
        <v>16</v>
      </c>
      <c r="P16" t="n">
        <v>7</v>
      </c>
      <c r="R16" t="n">
        <v>0</v>
      </c>
      <c r="T16" t="n">
        <v>0</v>
      </c>
      <c r="V16" t="n">
        <v>18</v>
      </c>
      <c r="X16" t="n">
        <v>124</v>
      </c>
      <c r="Z16" t="n">
        <v>59</v>
      </c>
    </row>
    <row r="17">
      <c r="A17" t="inlineStr">
        <is>
          <t>Phnom Penh</t>
        </is>
      </c>
      <c r="B17" t="n">
        <v>301</v>
      </c>
      <c r="D17" t="n">
        <v>3434</v>
      </c>
      <c r="F17" t="n">
        <v>64959</v>
      </c>
      <c r="H17" t="n">
        <v>32272</v>
      </c>
      <c r="J17" t="n">
        <v>2731</v>
      </c>
      <c r="L17" t="n">
        <v>1918</v>
      </c>
      <c r="N17" t="n">
        <v>1864</v>
      </c>
      <c r="P17" t="n">
        <v>1171</v>
      </c>
      <c r="R17" t="n">
        <v>1101</v>
      </c>
      <c r="T17" t="n">
        <v>620</v>
      </c>
      <c r="V17" t="n">
        <v>386</v>
      </c>
      <c r="X17" t="n">
        <v>7121</v>
      </c>
      <c r="Z17" t="n">
        <v>3022</v>
      </c>
    </row>
    <row r="18">
      <c r="A18" t="inlineStr">
        <is>
          <t>Preah Sihanouk</t>
        </is>
      </c>
      <c r="B18" t="n">
        <v>24</v>
      </c>
      <c r="D18" t="n">
        <v>344</v>
      </c>
      <c r="F18" t="n">
        <v>5041</v>
      </c>
      <c r="H18" t="n">
        <v>2456</v>
      </c>
      <c r="J18" t="n">
        <v>232</v>
      </c>
      <c r="L18" t="n">
        <v>164</v>
      </c>
      <c r="N18" t="n">
        <v>57</v>
      </c>
      <c r="P18" t="n">
        <v>33</v>
      </c>
      <c r="R18" t="n">
        <v>36</v>
      </c>
      <c r="T18" t="n">
        <v>26</v>
      </c>
      <c r="V18" t="n">
        <v>48</v>
      </c>
      <c r="X18" t="n">
        <v>460</v>
      </c>
      <c r="Z18" t="n">
        <v>185</v>
      </c>
    </row>
    <row r="19">
      <c r="A19" t="inlineStr">
        <is>
          <t>Preah Vihear</t>
        </is>
      </c>
      <c r="B19" t="n">
        <v>2</v>
      </c>
      <c r="D19" t="n">
        <v>10</v>
      </c>
      <c r="F19" t="n">
        <v>130</v>
      </c>
      <c r="H19" t="n">
        <v>60</v>
      </c>
      <c r="J19" t="n">
        <v>11</v>
      </c>
      <c r="L19" t="n">
        <v>8</v>
      </c>
      <c r="N19" t="n">
        <v>10</v>
      </c>
      <c r="P19" t="n">
        <v>8</v>
      </c>
      <c r="R19" t="n">
        <v>0</v>
      </c>
      <c r="T19" t="n">
        <v>0</v>
      </c>
      <c r="V19" t="n">
        <v>5</v>
      </c>
      <c r="X19" t="n">
        <v>41</v>
      </c>
      <c r="Z19" t="n">
        <v>10</v>
      </c>
    </row>
    <row r="20">
      <c r="A20" t="inlineStr">
        <is>
          <t>Prey Veng</t>
        </is>
      </c>
      <c r="B20" t="n">
        <v>1</v>
      </c>
      <c r="D20" t="n">
        <v>5</v>
      </c>
      <c r="F20" t="n">
        <v>37</v>
      </c>
      <c r="H20" t="n">
        <v>19</v>
      </c>
      <c r="J20" t="n">
        <v>5</v>
      </c>
      <c r="L20" t="n">
        <v>5</v>
      </c>
      <c r="N20" t="n">
        <v>2</v>
      </c>
      <c r="P20" t="n">
        <v>1</v>
      </c>
      <c r="R20" t="n">
        <v>0</v>
      </c>
      <c r="T20" t="n">
        <v>0</v>
      </c>
      <c r="V20" t="n">
        <v>1</v>
      </c>
      <c r="X20" t="n">
        <v>16</v>
      </c>
      <c r="Z20" t="n">
        <v>5</v>
      </c>
    </row>
    <row r="21">
      <c r="A21" t="inlineStr">
        <is>
          <t>Pursat</t>
        </is>
      </c>
      <c r="B21" t="n">
        <v>1</v>
      </c>
      <c r="D21" t="n">
        <v>9</v>
      </c>
      <c r="F21" t="n">
        <v>130</v>
      </c>
      <c r="H21" t="n">
        <v>69</v>
      </c>
      <c r="J21" t="n">
        <v>9</v>
      </c>
      <c r="L21" t="n">
        <v>8</v>
      </c>
      <c r="N21" t="n">
        <v>8</v>
      </c>
      <c r="P21" t="n">
        <v>5</v>
      </c>
      <c r="R21" t="n">
        <v>1</v>
      </c>
      <c r="T21" t="n">
        <v>0</v>
      </c>
      <c r="V21" t="n">
        <v>3</v>
      </c>
      <c r="X21" t="n">
        <v>14</v>
      </c>
      <c r="Z21" t="n">
        <v>9</v>
      </c>
    </row>
    <row r="22">
      <c r="A22" t="inlineStr">
        <is>
          <t>Ratanak Kiri</t>
        </is>
      </c>
      <c r="B22" t="n">
        <v>4</v>
      </c>
      <c r="D22" t="n">
        <v>59</v>
      </c>
      <c r="F22" t="n">
        <v>1135</v>
      </c>
      <c r="H22" t="n">
        <v>538</v>
      </c>
      <c r="J22" t="n">
        <v>51</v>
      </c>
      <c r="L22" t="n">
        <v>36</v>
      </c>
      <c r="N22" t="n">
        <v>8</v>
      </c>
      <c r="P22" t="n">
        <v>4</v>
      </c>
      <c r="R22" t="n">
        <v>0</v>
      </c>
      <c r="T22" t="n">
        <v>0</v>
      </c>
      <c r="V22" t="n">
        <v>5</v>
      </c>
      <c r="X22" t="n">
        <v>42</v>
      </c>
      <c r="Z22" t="n">
        <v>37</v>
      </c>
    </row>
    <row r="23">
      <c r="A23" t="inlineStr">
        <is>
          <t>Siemreap</t>
        </is>
      </c>
      <c r="B23" t="n">
        <v>46</v>
      </c>
      <c r="D23" t="n">
        <v>369</v>
      </c>
      <c r="F23" t="n">
        <v>6380</v>
      </c>
      <c r="H23" t="n">
        <v>3112</v>
      </c>
      <c r="J23" t="n">
        <v>431</v>
      </c>
      <c r="L23" t="n">
        <v>335</v>
      </c>
      <c r="N23" t="n">
        <v>188</v>
      </c>
      <c r="P23" t="n">
        <v>122</v>
      </c>
      <c r="R23" t="n">
        <v>59</v>
      </c>
      <c r="T23" t="n">
        <v>32</v>
      </c>
      <c r="V23" t="n">
        <v>85</v>
      </c>
      <c r="X23" t="n">
        <v>622</v>
      </c>
      <c r="Z23" t="n">
        <v>304</v>
      </c>
    </row>
    <row r="24">
      <c r="A24" t="inlineStr">
        <is>
          <t>Stung Treng</t>
        </is>
      </c>
      <c r="B24" t="n">
        <v>4</v>
      </c>
      <c r="D24" t="n">
        <v>27</v>
      </c>
      <c r="F24" t="n">
        <v>344</v>
      </c>
      <c r="H24" t="n">
        <v>175</v>
      </c>
      <c r="J24" t="n">
        <v>18</v>
      </c>
      <c r="L24" t="n">
        <v>12</v>
      </c>
      <c r="N24" t="n">
        <v>11</v>
      </c>
      <c r="P24" t="n">
        <v>7</v>
      </c>
      <c r="R24" t="n">
        <v>0</v>
      </c>
      <c r="T24" t="n">
        <v>0</v>
      </c>
      <c r="V24" t="n">
        <v>6</v>
      </c>
      <c r="X24" t="n">
        <v>40</v>
      </c>
      <c r="Z24" t="n">
        <v>20</v>
      </c>
    </row>
    <row r="25">
      <c r="A25" t="inlineStr">
        <is>
          <t>Svay Rieng</t>
        </is>
      </c>
      <c r="B25" t="n">
        <v>4</v>
      </c>
      <c r="D25" t="n">
        <v>16</v>
      </c>
      <c r="F25" t="n">
        <v>216</v>
      </c>
      <c r="H25" t="n">
        <v>89</v>
      </c>
      <c r="J25" t="n">
        <v>24</v>
      </c>
      <c r="L25" t="n">
        <v>21</v>
      </c>
      <c r="N25" t="n">
        <v>15</v>
      </c>
      <c r="P25" t="n">
        <v>11</v>
      </c>
      <c r="R25" t="n">
        <v>6</v>
      </c>
      <c r="T25" t="n">
        <v>6</v>
      </c>
      <c r="V25" t="n">
        <v>3</v>
      </c>
      <c r="X25" t="n">
        <v>35</v>
      </c>
      <c r="Z25" t="n">
        <v>15</v>
      </c>
    </row>
    <row r="26">
      <c r="A26" t="inlineStr">
        <is>
          <t>Takeo</t>
        </is>
      </c>
      <c r="B26" t="n">
        <v>21</v>
      </c>
      <c r="D26" t="n">
        <v>149</v>
      </c>
      <c r="F26" t="n">
        <v>3217</v>
      </c>
      <c r="H26" t="n">
        <v>1592</v>
      </c>
      <c r="J26" t="n">
        <v>185</v>
      </c>
      <c r="L26" t="n">
        <v>106</v>
      </c>
      <c r="N26" t="n">
        <v>89</v>
      </c>
      <c r="P26" t="n">
        <v>40</v>
      </c>
      <c r="R26" t="n">
        <v>10</v>
      </c>
      <c r="T26" t="n">
        <v>4</v>
      </c>
      <c r="V26" t="n">
        <v>52</v>
      </c>
      <c r="X26" t="n">
        <v>286</v>
      </c>
      <c r="Z26" t="n">
        <v>149</v>
      </c>
    </row>
    <row r="27">
      <c r="A27" t="inlineStr">
        <is>
          <t>Tbaung Khmum</t>
        </is>
      </c>
      <c r="B27" t="n">
        <v>11</v>
      </c>
      <c r="D27" t="n">
        <v>75</v>
      </c>
      <c r="F27" t="n">
        <v>1858</v>
      </c>
      <c r="H27" t="n">
        <v>973</v>
      </c>
      <c r="J27" t="n">
        <v>111</v>
      </c>
      <c r="L27" t="n">
        <v>77</v>
      </c>
      <c r="N27" t="n">
        <v>18</v>
      </c>
      <c r="P27" t="n">
        <v>10</v>
      </c>
      <c r="R27" t="n">
        <v>12</v>
      </c>
      <c r="T27" t="n">
        <v>11</v>
      </c>
      <c r="V27" t="n">
        <v>21</v>
      </c>
      <c r="X27" t="n">
        <v>188</v>
      </c>
      <c r="Z27" t="n">
        <v>75</v>
      </c>
    </row>
    <row r="28">
      <c r="A28" t="inlineStr">
        <is>
          <t>Whole Kingdom</t>
        </is>
      </c>
      <c r="B28" t="n">
        <v>655</v>
      </c>
      <c r="D28" t="n">
        <v>6654</v>
      </c>
      <c r="F28" t="n">
        <v>130586</v>
      </c>
      <c r="H28" t="n">
        <v>64643</v>
      </c>
      <c r="J28" t="n">
        <v>6063</v>
      </c>
      <c r="L28" t="n">
        <v>4261</v>
      </c>
      <c r="N28" t="n">
        <v>2977</v>
      </c>
      <c r="P28" t="n">
        <v>1788</v>
      </c>
      <c r="R28" t="n">
        <v>1408</v>
      </c>
      <c r="T28" t="n">
        <v>803</v>
      </c>
      <c r="V28" t="n">
        <v>1115</v>
      </c>
      <c r="X28" t="n">
        <v>12493</v>
      </c>
      <c r="Z28" t="n">
        <v>5694</v>
      </c>
    </row>
    <row r="29">
      <c r="A29" t="inlineStr">
        <is>
          <t>- Urban Area</t>
        </is>
      </c>
      <c r="B29" t="n">
        <v>511</v>
      </c>
      <c r="D29" t="n">
        <v>5405</v>
      </c>
      <c r="F29" t="n">
        <v>104322</v>
      </c>
      <c r="H29" t="n">
        <v>51568</v>
      </c>
      <c r="J29" t="n">
        <v>4824</v>
      </c>
      <c r="L29" t="n">
        <v>3492</v>
      </c>
      <c r="N29" t="n">
        <v>2659</v>
      </c>
      <c r="P29" t="n">
        <v>1635</v>
      </c>
      <c r="R29" t="n">
        <v>1316</v>
      </c>
      <c r="T29" t="n">
        <v>751</v>
      </c>
      <c r="V29" t="n">
        <v>771</v>
      </c>
      <c r="X29" t="n">
        <v>10691</v>
      </c>
      <c r="Z29" t="n">
        <v>4691</v>
      </c>
    </row>
    <row r="30">
      <c r="A30" t="inlineStr">
        <is>
          <t>- Rural Area</t>
        </is>
      </c>
      <c r="B30" t="n">
        <v>144</v>
      </c>
      <c r="D30" t="n">
        <v>1249</v>
      </c>
      <c r="F30" t="n">
        <v>26264</v>
      </c>
      <c r="H30" t="n">
        <v>13075</v>
      </c>
      <c r="J30" t="n">
        <v>1239</v>
      </c>
      <c r="L30" t="n">
        <v>769</v>
      </c>
      <c r="N30" t="n">
        <v>318</v>
      </c>
      <c r="P30" t="n">
        <v>153</v>
      </c>
      <c r="R30" t="n">
        <v>92</v>
      </c>
      <c r="T30" t="n">
        <v>52</v>
      </c>
      <c r="V30" t="n">
        <v>344</v>
      </c>
      <c r="X30" t="n">
        <v>1802</v>
      </c>
      <c r="Z30" t="n">
        <v>1003</v>
      </c>
    </row>
  </sheetData>
  <mergeCells count="382">
    <mergeCell ref="F16:G16"/>
    <mergeCell ref="H9:I9"/>
    <mergeCell ref="B12:C12"/>
    <mergeCell ref="J9:K9"/>
    <mergeCell ref="V20:W20"/>
    <mergeCell ref="P6:Q6"/>
    <mergeCell ref="R6:S6"/>
    <mergeCell ref="B14:C14"/>
    <mergeCell ref="B13:C13"/>
    <mergeCell ref="J4:K4"/>
    <mergeCell ref="L29:M29"/>
    <mergeCell ref="D7:E7"/>
    <mergeCell ref="L4:M4"/>
    <mergeCell ref="N29:O29"/>
    <mergeCell ref="V15:W15"/>
    <mergeCell ref="X15:Y15"/>
    <mergeCell ref="D1:E2"/>
    <mergeCell ref="F23:G23"/>
    <mergeCell ref="N24:O24"/>
    <mergeCell ref="P24:Q24"/>
    <mergeCell ref="R18:S18"/>
    <mergeCell ref="N26:O26"/>
    <mergeCell ref="P26:Q26"/>
    <mergeCell ref="B25:C25"/>
    <mergeCell ref="V8:W8"/>
    <mergeCell ref="R19:S19"/>
    <mergeCell ref="X8:Y8"/>
    <mergeCell ref="T10:U10"/>
    <mergeCell ref="V10:W10"/>
    <mergeCell ref="F18:G18"/>
    <mergeCell ref="F17:G17"/>
    <mergeCell ref="X3:Y3"/>
    <mergeCell ref="H17:I17"/>
    <mergeCell ref="Z3:AA3"/>
    <mergeCell ref="H11:I11"/>
    <mergeCell ref="J11:K11"/>
    <mergeCell ref="X5:Y5"/>
    <mergeCell ref="H19:I19"/>
    <mergeCell ref="Z5:AA5"/>
    <mergeCell ref="H12:I12"/>
    <mergeCell ref="B15:C15"/>
    <mergeCell ref="J12:K12"/>
    <mergeCell ref="D15:E15"/>
    <mergeCell ref="P14:Q14"/>
    <mergeCell ref="H14:I14"/>
    <mergeCell ref="R14:S14"/>
    <mergeCell ref="V21:W21"/>
    <mergeCell ref="X21:Y21"/>
    <mergeCell ref="T29:U29"/>
    <mergeCell ref="V23:W23"/>
    <mergeCell ref="X23:Y23"/>
    <mergeCell ref="X16:Y16"/>
    <mergeCell ref="Z16:AA16"/>
    <mergeCell ref="V24:W24"/>
    <mergeCell ref="P27:Q27"/>
    <mergeCell ref="R27:S27"/>
    <mergeCell ref="X18:Y18"/>
    <mergeCell ref="Z18:AA18"/>
    <mergeCell ref="R20:S20"/>
    <mergeCell ref="Z17:AA17"/>
    <mergeCell ref="B28:C28"/>
    <mergeCell ref="J25:K25"/>
    <mergeCell ref="D28:E28"/>
    <mergeCell ref="L25:M25"/>
    <mergeCell ref="D3:E3"/>
    <mergeCell ref="R22:S22"/>
    <mergeCell ref="B30:C30"/>
    <mergeCell ref="D30:E30"/>
    <mergeCell ref="B5:C5"/>
    <mergeCell ref="J2:K2"/>
    <mergeCell ref="D5:E5"/>
    <mergeCell ref="R9:S9"/>
    <mergeCell ref="H20:I20"/>
    <mergeCell ref="Z6:AA6"/>
    <mergeCell ref="J14:K14"/>
    <mergeCell ref="R11:S11"/>
    <mergeCell ref="R13:S13"/>
    <mergeCell ref="J13:K13"/>
    <mergeCell ref="L13:M13"/>
    <mergeCell ref="R4:S4"/>
    <mergeCell ref="D21:E21"/>
    <mergeCell ref="T4:U4"/>
    <mergeCell ref="V29:W29"/>
    <mergeCell ref="V4:W4"/>
    <mergeCell ref="F1:I1"/>
    <mergeCell ref="R15:S15"/>
    <mergeCell ref="J15:K15"/>
    <mergeCell ref="B23:C23"/>
    <mergeCell ref="L15:M15"/>
    <mergeCell ref="D16:E16"/>
    <mergeCell ref="X24:Y24"/>
    <mergeCell ref="D18:E18"/>
    <mergeCell ref="V26:W26"/>
    <mergeCell ref="X26:Y26"/>
    <mergeCell ref="Z19:AA19"/>
    <mergeCell ref="H8:I8"/>
    <mergeCell ref="J8:K8"/>
    <mergeCell ref="X27:Y27"/>
    <mergeCell ref="L2:M2"/>
    <mergeCell ref="F29:G29"/>
    <mergeCell ref="H10:I10"/>
    <mergeCell ref="J10:K10"/>
    <mergeCell ref="R28:S28"/>
    <mergeCell ref="J28:K28"/>
    <mergeCell ref="L28:M28"/>
    <mergeCell ref="D6:E6"/>
    <mergeCell ref="L3:M3"/>
    <mergeCell ref="N3:O3"/>
    <mergeCell ref="R30:S30"/>
    <mergeCell ref="L5:M5"/>
    <mergeCell ref="N5:O5"/>
    <mergeCell ref="R12:S12"/>
    <mergeCell ref="T12:U12"/>
    <mergeCell ref="X20:Y20"/>
    <mergeCell ref="Z13:AA13"/>
    <mergeCell ref="B24:C24"/>
    <mergeCell ref="J21:K21"/>
    <mergeCell ref="D24:E24"/>
    <mergeCell ref="L21:M21"/>
    <mergeCell ref="T7:U7"/>
    <mergeCell ref="N1:Q1"/>
    <mergeCell ref="V1:W2"/>
    <mergeCell ref="Z15:AA15"/>
    <mergeCell ref="H23:I23"/>
    <mergeCell ref="B26:C26"/>
    <mergeCell ref="J23:K23"/>
    <mergeCell ref="D26:E26"/>
    <mergeCell ref="D19:E19"/>
    <mergeCell ref="L16:M16"/>
    <mergeCell ref="F19:G19"/>
    <mergeCell ref="N16:O16"/>
    <mergeCell ref="Z27:AA27"/>
    <mergeCell ref="F6:G6"/>
    <mergeCell ref="B27:C27"/>
    <mergeCell ref="P9:Q9"/>
    <mergeCell ref="Z25:AA25"/>
    <mergeCell ref="R25:S25"/>
    <mergeCell ref="T25:U25"/>
    <mergeCell ref="F20:G20"/>
    <mergeCell ref="P11:Q11"/>
    <mergeCell ref="Z22:AA22"/>
    <mergeCell ref="L30:M30"/>
    <mergeCell ref="T2:U2"/>
    <mergeCell ref="D9:E9"/>
    <mergeCell ref="F9:G9"/>
    <mergeCell ref="L6:M6"/>
    <mergeCell ref="N6:O6"/>
    <mergeCell ref="N4:O4"/>
    <mergeCell ref="F4:G4"/>
    <mergeCell ref="P4:Q4"/>
    <mergeCell ref="J29:K29"/>
    <mergeCell ref="B7:C7"/>
    <mergeCell ref="T15:U15"/>
    <mergeCell ref="B1:C2"/>
    <mergeCell ref="J24:K24"/>
    <mergeCell ref="D27:E27"/>
    <mergeCell ref="L24:M24"/>
    <mergeCell ref="L18:M18"/>
    <mergeCell ref="N18:O18"/>
    <mergeCell ref="J26:K26"/>
    <mergeCell ref="N17:O17"/>
    <mergeCell ref="L26:M26"/>
    <mergeCell ref="P17:Q17"/>
    <mergeCell ref="F22:G22"/>
    <mergeCell ref="N19:O19"/>
    <mergeCell ref="T8:U8"/>
    <mergeCell ref="H22:I22"/>
    <mergeCell ref="P19:Q19"/>
    <mergeCell ref="P12:Q12"/>
    <mergeCell ref="Z28:AA28"/>
    <mergeCell ref="T28:U28"/>
    <mergeCell ref="T3:U3"/>
    <mergeCell ref="V3:W3"/>
    <mergeCell ref="Z30:AA30"/>
    <mergeCell ref="F11:G11"/>
    <mergeCell ref="T30:U30"/>
    <mergeCell ref="T5:U5"/>
    <mergeCell ref="V5:W5"/>
    <mergeCell ref="H4:I4"/>
    <mergeCell ref="F12:G12"/>
    <mergeCell ref="B8:C8"/>
    <mergeCell ref="R21:S21"/>
    <mergeCell ref="T21:U21"/>
    <mergeCell ref="P7:Q7"/>
    <mergeCell ref="H7:I7"/>
    <mergeCell ref="B10:C10"/>
    <mergeCell ref="J7:K7"/>
    <mergeCell ref="T23:U23"/>
    <mergeCell ref="T16:U16"/>
    <mergeCell ref="V16:W16"/>
    <mergeCell ref="R2:S2"/>
    <mergeCell ref="L27:M27"/>
    <mergeCell ref="T18:U18"/>
    <mergeCell ref="N27:O27"/>
    <mergeCell ref="X9:Y9"/>
    <mergeCell ref="V18:W18"/>
    <mergeCell ref="Z9:AA9"/>
    <mergeCell ref="A1:A2"/>
    <mergeCell ref="N20:O20"/>
    <mergeCell ref="V17:W17"/>
    <mergeCell ref="P20:Q20"/>
    <mergeCell ref="F25:G25"/>
    <mergeCell ref="X11:Y11"/>
    <mergeCell ref="Z11:AA11"/>
    <mergeCell ref="N22:O22"/>
    <mergeCell ref="P22:Q22"/>
    <mergeCell ref="B21:C21"/>
    <mergeCell ref="V6:W6"/>
    <mergeCell ref="X6:Y6"/>
    <mergeCell ref="F13:G13"/>
    <mergeCell ref="P13:Q13"/>
    <mergeCell ref="H13:I13"/>
    <mergeCell ref="N15:O15"/>
    <mergeCell ref="P15:Q15"/>
    <mergeCell ref="H15:I15"/>
    <mergeCell ref="R8:S8"/>
    <mergeCell ref="B16:C16"/>
    <mergeCell ref="T24:U24"/>
    <mergeCell ref="B3:C3"/>
    <mergeCell ref="P10:Q10"/>
    <mergeCell ref="R10:S10"/>
    <mergeCell ref="X1:Y2"/>
    <mergeCell ref="B18:C18"/>
    <mergeCell ref="X17:Y17"/>
    <mergeCell ref="H25:I25"/>
    <mergeCell ref="B11:C11"/>
    <mergeCell ref="D11:E11"/>
    <mergeCell ref="V19:W19"/>
    <mergeCell ref="X19:Y19"/>
    <mergeCell ref="J1:M1"/>
    <mergeCell ref="Z12:AA12"/>
    <mergeCell ref="B29:C29"/>
    <mergeCell ref="N28:O28"/>
    <mergeCell ref="F28:G28"/>
    <mergeCell ref="P28:Q28"/>
    <mergeCell ref="X14:Y14"/>
    <mergeCell ref="H28:I28"/>
    <mergeCell ref="Z14:AA14"/>
    <mergeCell ref="H3:I3"/>
    <mergeCell ref="B6:C6"/>
    <mergeCell ref="J3:K3"/>
    <mergeCell ref="N30:O30"/>
    <mergeCell ref="P30:Q30"/>
    <mergeCell ref="H5:I5"/>
    <mergeCell ref="R23:S23"/>
    <mergeCell ref="V13:W13"/>
    <mergeCell ref="X13:Y13"/>
    <mergeCell ref="F21:G21"/>
    <mergeCell ref="X7:Y7"/>
    <mergeCell ref="H21:I21"/>
    <mergeCell ref="Z7:AA7"/>
    <mergeCell ref="R7:S7"/>
    <mergeCell ref="R1:U1"/>
    <mergeCell ref="B17:C17"/>
    <mergeCell ref="D17:E17"/>
    <mergeCell ref="Z8:AA8"/>
    <mergeCell ref="H16:I16"/>
    <mergeCell ref="B19:C19"/>
    <mergeCell ref="J16:K16"/>
    <mergeCell ref="V27:W27"/>
    <mergeCell ref="D12:E12"/>
    <mergeCell ref="L9:M9"/>
    <mergeCell ref="N9:O9"/>
    <mergeCell ref="Z20:AA20"/>
    <mergeCell ref="B20:C20"/>
    <mergeCell ref="T6:U6"/>
    <mergeCell ref="D14:E14"/>
    <mergeCell ref="L11:M11"/>
    <mergeCell ref="V22:W22"/>
    <mergeCell ref="F14:G14"/>
    <mergeCell ref="X22:Y22"/>
    <mergeCell ref="H30:I30"/>
    <mergeCell ref="P29:Q29"/>
    <mergeCell ref="J5:K5"/>
    <mergeCell ref="H29:I29"/>
    <mergeCell ref="R29:S29"/>
    <mergeCell ref="H6:I6"/>
    <mergeCell ref="J6:K6"/>
    <mergeCell ref="R24:S24"/>
    <mergeCell ref="R26:S26"/>
    <mergeCell ref="T26:U26"/>
    <mergeCell ref="D8:E8"/>
    <mergeCell ref="X10:Y10"/>
    <mergeCell ref="H24:I24"/>
    <mergeCell ref="Z10:AA10"/>
    <mergeCell ref="H18:I18"/>
    <mergeCell ref="J18:K18"/>
    <mergeCell ref="J17:K17"/>
    <mergeCell ref="H26:I26"/>
    <mergeCell ref="D20:E20"/>
    <mergeCell ref="L17:M17"/>
    <mergeCell ref="N11:O11"/>
    <mergeCell ref="B22:C22"/>
    <mergeCell ref="J19:K19"/>
    <mergeCell ref="D22:E22"/>
    <mergeCell ref="L19:M19"/>
    <mergeCell ref="L12:M12"/>
    <mergeCell ref="F15:G15"/>
    <mergeCell ref="N12:O12"/>
    <mergeCell ref="V28:W28"/>
    <mergeCell ref="D13:E13"/>
    <mergeCell ref="X28:Y28"/>
    <mergeCell ref="L14:M14"/>
    <mergeCell ref="N14:O14"/>
    <mergeCell ref="V30:W30"/>
    <mergeCell ref="Z21:AA21"/>
    <mergeCell ref="X30:Y30"/>
    <mergeCell ref="X29:Y29"/>
    <mergeCell ref="Z29:AA29"/>
    <mergeCell ref="Z23:AA23"/>
    <mergeCell ref="D4:E4"/>
    <mergeCell ref="Z24:AA24"/>
    <mergeCell ref="T27:U27"/>
    <mergeCell ref="D10:E10"/>
    <mergeCell ref="L7:M7"/>
    <mergeCell ref="F10:G10"/>
    <mergeCell ref="N7:O7"/>
    <mergeCell ref="N25:O25"/>
    <mergeCell ref="P25:Q25"/>
    <mergeCell ref="R16:S16"/>
    <mergeCell ref="F30:G30"/>
    <mergeCell ref="F5:G5"/>
    <mergeCell ref="N2:O2"/>
    <mergeCell ref="P2:Q2"/>
    <mergeCell ref="J27:K27"/>
    <mergeCell ref="T9:U9"/>
    <mergeCell ref="V9:W9"/>
    <mergeCell ref="J20:K20"/>
    <mergeCell ref="L20:M20"/>
    <mergeCell ref="T11:U11"/>
    <mergeCell ref="V11:W11"/>
    <mergeCell ref="J22:K22"/>
    <mergeCell ref="T22:U22"/>
    <mergeCell ref="N13:O13"/>
    <mergeCell ref="L22:M22"/>
    <mergeCell ref="X4:Y4"/>
    <mergeCell ref="Z4:AA4"/>
    <mergeCell ref="D29:E29"/>
    <mergeCell ref="D23:E23"/>
    <mergeCell ref="Z26:AA26"/>
    <mergeCell ref="F7:G7"/>
    <mergeCell ref="L8:M8"/>
    <mergeCell ref="N8:O8"/>
    <mergeCell ref="F8:G8"/>
    <mergeCell ref="F2:G2"/>
    <mergeCell ref="H2:I2"/>
    <mergeCell ref="L10:M10"/>
    <mergeCell ref="N10:O10"/>
    <mergeCell ref="R17:S17"/>
    <mergeCell ref="B9:C9"/>
    <mergeCell ref="T17:U17"/>
    <mergeCell ref="D25:E25"/>
    <mergeCell ref="P3:Q3"/>
    <mergeCell ref="T19:U19"/>
    <mergeCell ref="P5:Q5"/>
    <mergeCell ref="R5:S5"/>
    <mergeCell ref="B4:C4"/>
    <mergeCell ref="V12:W12"/>
    <mergeCell ref="X12:Y12"/>
    <mergeCell ref="T20:U20"/>
    <mergeCell ref="T14:U14"/>
    <mergeCell ref="V14:W14"/>
    <mergeCell ref="F3:G3"/>
    <mergeCell ref="J30:K30"/>
    <mergeCell ref="F24:G24"/>
    <mergeCell ref="N21:O21"/>
    <mergeCell ref="P21:Q21"/>
    <mergeCell ref="P8:Q8"/>
    <mergeCell ref="Z1:AA2"/>
    <mergeCell ref="L23:M23"/>
    <mergeCell ref="F26:G26"/>
    <mergeCell ref="N23:O23"/>
    <mergeCell ref="P23:Q23"/>
    <mergeCell ref="P16:Q16"/>
    <mergeCell ref="R3:S3"/>
    <mergeCell ref="F27:G27"/>
    <mergeCell ref="T13:U13"/>
    <mergeCell ref="H27:I27"/>
    <mergeCell ref="P18:Q18"/>
    <mergeCell ref="V7:W7"/>
    <mergeCell ref="V25:W25"/>
    <mergeCell ref="X25:Y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1.83203125" customWidth="1" min="2" max="2"/>
    <col width="13.1640625" customWidth="1" min="11" max="11"/>
    <col width="11.83203125" customWidth="1" min="12" max="12"/>
  </cols>
  <sheetData>
    <row r="1">
      <c r="A1" t="inlineStr">
        <is>
          <t>Table 1: Schools, Classes, Students and Staff</t>
        </is>
      </c>
      <c r="B1" t="inlineStr">
        <is>
          <t>Number of
Schools</t>
        </is>
      </c>
      <c r="C1" t="inlineStr">
        <is>
          <t>Number of
Classes</t>
        </is>
      </c>
      <c r="D1" t="inlineStr">
        <is>
          <t>Enrollment</t>
        </is>
      </c>
      <c r="F1" t="inlineStr">
        <is>
          <t>Teaching Staff</t>
        </is>
      </c>
      <c r="H1" t="inlineStr">
        <is>
          <t>Non-Teaching Staff</t>
        </is>
      </c>
      <c r="J1" t="inlineStr">
        <is>
          <t>Foreigner Teaching Staff</t>
        </is>
      </c>
      <c r="L1" t="inlineStr">
        <is>
          <t>Buildings</t>
        </is>
      </c>
      <c r="M1" t="inlineStr">
        <is>
          <t>Rooms</t>
        </is>
      </c>
      <c r="N1" t="inlineStr">
        <is>
          <t>Classrooms</t>
        </is>
      </c>
    </row>
    <row r="2">
      <c r="D2" t="inlineStr">
        <is>
          <t>Total</t>
        </is>
      </c>
      <c r="E2" t="inlineStr">
        <is>
          <t>Girl</t>
        </is>
      </c>
      <c r="F2" t="inlineStr">
        <is>
          <t>Total</t>
        </is>
      </c>
      <c r="G2" t="inlineStr">
        <is>
          <t>Female</t>
        </is>
      </c>
      <c r="H2" t="inlineStr">
        <is>
          <t>Total</t>
        </is>
      </c>
      <c r="I2" t="inlineStr">
        <is>
          <t>Female</t>
        </is>
      </c>
      <c r="J2" t="inlineStr">
        <is>
          <t>Total</t>
        </is>
      </c>
      <c r="K2" t="inlineStr">
        <is>
          <t>Female</t>
        </is>
      </c>
    </row>
    <row r="3">
      <c r="A3" t="inlineStr">
        <is>
          <t>Banteay Meanchey</t>
        </is>
      </c>
      <c r="B3" t="n">
        <v>28</v>
      </c>
      <c r="C3" t="n">
        <v>216</v>
      </c>
      <c r="D3" t="n">
        <v>6061</v>
      </c>
      <c r="E3" t="n">
        <v>3083</v>
      </c>
      <c r="F3" t="n">
        <v>582</v>
      </c>
      <c r="G3" t="n">
        <v>219</v>
      </c>
      <c r="H3" t="n">
        <v>74</v>
      </c>
      <c r="I3" t="n">
        <v>30</v>
      </c>
      <c r="J3" t="n">
        <v>39</v>
      </c>
      <c r="K3" t="n">
        <v>16</v>
      </c>
      <c r="L3" t="n">
        <v>83</v>
      </c>
      <c r="M3" t="n">
        <v>611</v>
      </c>
      <c r="N3" t="n">
        <v>196</v>
      </c>
    </row>
    <row r="4">
      <c r="A4" t="inlineStr">
        <is>
          <t>Battambang</t>
        </is>
      </c>
      <c r="B4" t="n">
        <v>14</v>
      </c>
      <c r="C4" t="n">
        <v>149</v>
      </c>
      <c r="D4" t="n">
        <v>3679</v>
      </c>
      <c r="E4" t="n">
        <v>1941</v>
      </c>
      <c r="F4" t="n">
        <v>553</v>
      </c>
      <c r="G4" t="n">
        <v>241</v>
      </c>
      <c r="H4" t="n">
        <v>174</v>
      </c>
      <c r="I4" t="n">
        <v>102</v>
      </c>
      <c r="J4" t="n">
        <v>11</v>
      </c>
      <c r="K4" t="n">
        <v>5</v>
      </c>
      <c r="L4" t="n">
        <v>21</v>
      </c>
      <c r="M4" t="n">
        <v>437</v>
      </c>
      <c r="N4" t="n">
        <v>145</v>
      </c>
    </row>
    <row r="5">
      <c r="A5" t="inlineStr">
        <is>
          <t>Kampong Cham</t>
        </is>
      </c>
      <c r="B5" t="n">
        <v>8</v>
      </c>
      <c r="C5" t="n">
        <v>58</v>
      </c>
      <c r="D5" t="n">
        <v>1115</v>
      </c>
      <c r="E5" t="n">
        <v>555</v>
      </c>
      <c r="F5" t="n">
        <v>109</v>
      </c>
      <c r="G5" t="n">
        <v>53</v>
      </c>
      <c r="H5" t="n">
        <v>17</v>
      </c>
      <c r="I5" t="n">
        <v>9</v>
      </c>
      <c r="J5" t="n">
        <v>2</v>
      </c>
      <c r="K5" t="n">
        <v>0</v>
      </c>
      <c r="L5" t="n">
        <v>8</v>
      </c>
      <c r="M5" t="n">
        <v>63</v>
      </c>
      <c r="N5" t="n">
        <v>50</v>
      </c>
    </row>
    <row r="6">
      <c r="A6" t="inlineStr">
        <is>
          <t>Kampong Chhnang</t>
        </is>
      </c>
      <c r="B6" t="n">
        <v>7</v>
      </c>
      <c r="C6" t="n">
        <v>41</v>
      </c>
      <c r="D6" t="n">
        <v>1013</v>
      </c>
      <c r="E6" t="n">
        <v>371</v>
      </c>
      <c r="F6" t="n">
        <v>146</v>
      </c>
      <c r="G6" t="n">
        <v>59</v>
      </c>
      <c r="H6" t="n">
        <v>16</v>
      </c>
      <c r="I6" t="n">
        <v>10</v>
      </c>
      <c r="J6" t="n">
        <v>2</v>
      </c>
      <c r="K6" t="n">
        <v>0</v>
      </c>
      <c r="L6" t="n">
        <v>8</v>
      </c>
      <c r="M6" t="n">
        <v>111</v>
      </c>
      <c r="N6" t="n">
        <v>40</v>
      </c>
    </row>
    <row r="7">
      <c r="A7" t="inlineStr">
        <is>
          <t>Kampong Speu</t>
        </is>
      </c>
      <c r="B7" t="n">
        <v>12</v>
      </c>
      <c r="C7" t="n">
        <v>47</v>
      </c>
      <c r="D7" t="n">
        <v>954</v>
      </c>
      <c r="E7" t="n">
        <v>470</v>
      </c>
      <c r="F7" t="n">
        <v>170</v>
      </c>
      <c r="G7" t="n">
        <v>73</v>
      </c>
      <c r="H7" t="n">
        <v>20</v>
      </c>
      <c r="I7" t="n">
        <v>8</v>
      </c>
      <c r="J7" t="n">
        <v>17</v>
      </c>
      <c r="K7" t="n">
        <v>9</v>
      </c>
      <c r="L7" t="n">
        <v>21</v>
      </c>
      <c r="M7" t="n">
        <v>164</v>
      </c>
      <c r="N7" t="n">
        <v>46</v>
      </c>
    </row>
    <row r="8">
      <c r="A8" t="inlineStr">
        <is>
          <t>Kampong Thom</t>
        </is>
      </c>
      <c r="B8" t="n">
        <v>9</v>
      </c>
      <c r="C8" t="n">
        <v>39</v>
      </c>
      <c r="D8" t="n">
        <v>789</v>
      </c>
      <c r="E8" t="n">
        <v>396</v>
      </c>
      <c r="F8" t="n">
        <v>127</v>
      </c>
      <c r="G8" t="n">
        <v>50</v>
      </c>
      <c r="H8" t="n">
        <v>25</v>
      </c>
      <c r="I8" t="n">
        <v>15</v>
      </c>
      <c r="J8" t="n">
        <v>8</v>
      </c>
      <c r="K8" t="n">
        <v>5</v>
      </c>
      <c r="L8" t="n">
        <v>23</v>
      </c>
      <c r="M8" t="n">
        <v>155</v>
      </c>
      <c r="N8" t="n">
        <v>39</v>
      </c>
    </row>
    <row r="9">
      <c r="A9" t="inlineStr">
        <is>
          <t>Kampot</t>
        </is>
      </c>
      <c r="B9" t="n">
        <v>13</v>
      </c>
      <c r="C9" t="n">
        <v>108</v>
      </c>
      <c r="D9" t="n">
        <v>2713</v>
      </c>
      <c r="E9" t="n">
        <v>1397</v>
      </c>
      <c r="F9" t="n">
        <v>285</v>
      </c>
      <c r="G9" t="n">
        <v>107</v>
      </c>
      <c r="H9" t="n">
        <v>49</v>
      </c>
      <c r="I9" t="n">
        <v>26</v>
      </c>
      <c r="J9" t="n">
        <v>4</v>
      </c>
      <c r="K9" t="n">
        <v>3</v>
      </c>
      <c r="L9" t="n">
        <v>37</v>
      </c>
      <c r="M9" t="n">
        <v>324</v>
      </c>
      <c r="N9" t="n">
        <v>90</v>
      </c>
    </row>
    <row r="10">
      <c r="A10" t="inlineStr">
        <is>
          <t>Kandal</t>
        </is>
      </c>
      <c r="B10" t="n">
        <v>10</v>
      </c>
      <c r="C10" t="n">
        <v>150</v>
      </c>
      <c r="D10" t="n">
        <v>4126</v>
      </c>
      <c r="E10" t="n">
        <v>1917</v>
      </c>
      <c r="F10" t="n">
        <v>275</v>
      </c>
      <c r="G10" t="n">
        <v>81</v>
      </c>
      <c r="H10" t="n">
        <v>46</v>
      </c>
      <c r="I10" t="n">
        <v>12</v>
      </c>
      <c r="J10" t="n">
        <v>5</v>
      </c>
      <c r="K10" t="n">
        <v>4</v>
      </c>
      <c r="L10" t="n">
        <v>28</v>
      </c>
      <c r="M10" t="n">
        <v>360</v>
      </c>
      <c r="N10" t="n">
        <v>131</v>
      </c>
    </row>
    <row r="11">
      <c r="A11" t="inlineStr">
        <is>
          <t>Koh Kong</t>
        </is>
      </c>
      <c r="B11" t="n">
        <v>2</v>
      </c>
      <c r="C11" t="n">
        <v>8</v>
      </c>
      <c r="D11" t="n">
        <v>159</v>
      </c>
      <c r="E11" t="n">
        <v>81</v>
      </c>
      <c r="F11" t="n">
        <v>31</v>
      </c>
      <c r="G11" t="n">
        <v>15</v>
      </c>
      <c r="H11" t="n">
        <v>5</v>
      </c>
      <c r="I11" t="n">
        <v>1</v>
      </c>
      <c r="J11" t="n">
        <v>0</v>
      </c>
      <c r="K11" t="n">
        <v>0</v>
      </c>
      <c r="L11" t="n">
        <v>5</v>
      </c>
      <c r="M11" t="n">
        <v>31</v>
      </c>
      <c r="N11" t="n">
        <v>8</v>
      </c>
    </row>
    <row r="12">
      <c r="A12" t="inlineStr">
        <is>
          <t>Kratie</t>
        </is>
      </c>
      <c r="B12" t="n">
        <v>1</v>
      </c>
      <c r="C12" t="n">
        <v>7</v>
      </c>
      <c r="D12" t="n">
        <v>118</v>
      </c>
      <c r="E12" t="n">
        <v>61</v>
      </c>
      <c r="F12" t="n">
        <v>29</v>
      </c>
      <c r="G12" t="n">
        <v>15</v>
      </c>
      <c r="H12" t="n">
        <v>22</v>
      </c>
      <c r="I12" t="n">
        <v>14</v>
      </c>
      <c r="J12" t="n">
        <v>0</v>
      </c>
      <c r="K12" t="n">
        <v>0</v>
      </c>
      <c r="L12" t="n">
        <v>1</v>
      </c>
      <c r="M12" t="n">
        <v>21</v>
      </c>
      <c r="N12" t="n">
        <v>7</v>
      </c>
    </row>
    <row r="13">
      <c r="A13" t="inlineStr">
        <is>
          <t>Mondul Kiri</t>
        </is>
      </c>
      <c r="B13" t="n">
        <v>2</v>
      </c>
      <c r="C13" t="n">
        <v>9</v>
      </c>
      <c r="D13" t="n">
        <v>149</v>
      </c>
      <c r="E13" t="n">
        <v>61</v>
      </c>
      <c r="F13" t="n">
        <v>20</v>
      </c>
      <c r="G13" t="n">
        <v>6</v>
      </c>
      <c r="H13" t="n">
        <v>9</v>
      </c>
      <c r="I13" t="n">
        <v>0</v>
      </c>
      <c r="J13" t="n">
        <v>1</v>
      </c>
      <c r="K13" t="n">
        <v>1</v>
      </c>
      <c r="L13" t="n">
        <v>2</v>
      </c>
      <c r="M13" t="n">
        <v>9</v>
      </c>
      <c r="N13" t="n">
        <v>9</v>
      </c>
    </row>
    <row r="14">
      <c r="A14" t="inlineStr">
        <is>
          <t>Phnom Penh</t>
        </is>
      </c>
      <c r="B14" t="n">
        <v>163</v>
      </c>
      <c r="C14" t="n">
        <v>1597</v>
      </c>
      <c r="D14" t="n">
        <v>36775</v>
      </c>
      <c r="E14" t="n">
        <v>18969</v>
      </c>
      <c r="F14" t="n">
        <v>3037</v>
      </c>
      <c r="G14" t="n">
        <v>1212</v>
      </c>
      <c r="H14" t="n">
        <v>1417</v>
      </c>
      <c r="I14" t="n">
        <v>729</v>
      </c>
      <c r="J14" t="n">
        <v>801</v>
      </c>
      <c r="K14" t="n">
        <v>343</v>
      </c>
      <c r="L14" t="n">
        <v>256</v>
      </c>
      <c r="M14" t="n">
        <v>5544</v>
      </c>
      <c r="N14" t="n">
        <v>1416</v>
      </c>
    </row>
    <row r="15">
      <c r="A15" t="inlineStr">
        <is>
          <t>Preah Sihanouk</t>
        </is>
      </c>
      <c r="B15" t="n">
        <v>11</v>
      </c>
      <c r="C15" t="n">
        <v>85</v>
      </c>
      <c r="D15" t="n">
        <v>2011</v>
      </c>
      <c r="E15" t="n">
        <v>939</v>
      </c>
      <c r="F15" t="n">
        <v>222</v>
      </c>
      <c r="G15" t="n">
        <v>57</v>
      </c>
      <c r="H15" t="n">
        <v>24</v>
      </c>
      <c r="I15" t="n">
        <v>11</v>
      </c>
      <c r="J15" t="n">
        <v>20</v>
      </c>
      <c r="K15" t="n">
        <v>11</v>
      </c>
      <c r="L15" t="n">
        <v>32</v>
      </c>
      <c r="M15" t="n">
        <v>373</v>
      </c>
      <c r="N15" t="n">
        <v>77</v>
      </c>
    </row>
    <row r="16">
      <c r="A16" t="inlineStr">
        <is>
          <t>Prey Veng</t>
        </is>
      </c>
      <c r="B16" t="n">
        <v>1</v>
      </c>
      <c r="C16" t="n">
        <v>3</v>
      </c>
      <c r="D16" t="n">
        <v>135</v>
      </c>
      <c r="E16" t="n">
        <v>86</v>
      </c>
      <c r="F16" t="n">
        <v>20</v>
      </c>
      <c r="G16" t="n">
        <v>6</v>
      </c>
      <c r="H16" t="n">
        <v>3</v>
      </c>
      <c r="I16" t="n">
        <v>2</v>
      </c>
      <c r="J16" t="n">
        <v>0</v>
      </c>
      <c r="K16" t="n">
        <v>0</v>
      </c>
      <c r="L16" t="n">
        <v>4</v>
      </c>
      <c r="M16" t="n">
        <v>9</v>
      </c>
      <c r="N16" t="n">
        <v>3</v>
      </c>
    </row>
    <row r="17">
      <c r="A17" t="inlineStr">
        <is>
          <t>Ratanak Kiri</t>
        </is>
      </c>
      <c r="B17" t="n">
        <v>4</v>
      </c>
      <c r="C17" t="n">
        <v>33</v>
      </c>
      <c r="D17" t="n">
        <v>538</v>
      </c>
      <c r="E17" t="n">
        <v>235</v>
      </c>
      <c r="F17" t="n">
        <v>79</v>
      </c>
      <c r="G17" t="n">
        <v>28</v>
      </c>
      <c r="H17" t="n">
        <v>14</v>
      </c>
      <c r="I17" t="n">
        <v>6</v>
      </c>
      <c r="J17" t="n">
        <v>0</v>
      </c>
      <c r="K17" t="n">
        <v>0</v>
      </c>
      <c r="L17" t="n">
        <v>5</v>
      </c>
      <c r="M17" t="n">
        <v>38</v>
      </c>
      <c r="N17" t="n">
        <v>32</v>
      </c>
    </row>
    <row r="18">
      <c r="A18" t="inlineStr">
        <is>
          <t>Siemreap</t>
        </is>
      </c>
      <c r="B18" t="n">
        <v>23</v>
      </c>
      <c r="C18" t="n">
        <v>208</v>
      </c>
      <c r="D18" t="n">
        <v>4300</v>
      </c>
      <c r="E18" t="n">
        <v>2138</v>
      </c>
      <c r="F18" t="n">
        <v>623</v>
      </c>
      <c r="G18" t="n">
        <v>303</v>
      </c>
      <c r="H18" t="n">
        <v>143</v>
      </c>
      <c r="I18" t="n">
        <v>81</v>
      </c>
      <c r="J18" t="n">
        <v>57</v>
      </c>
      <c r="K18" t="n">
        <v>34</v>
      </c>
      <c r="L18" t="n">
        <v>46</v>
      </c>
      <c r="M18" t="n">
        <v>393</v>
      </c>
      <c r="N18" t="n">
        <v>188</v>
      </c>
    </row>
    <row r="19">
      <c r="A19" t="inlineStr">
        <is>
          <t>Stung Treng</t>
        </is>
      </c>
      <c r="B19" t="n">
        <v>1</v>
      </c>
      <c r="C19" t="n">
        <v>5</v>
      </c>
      <c r="D19" t="n">
        <v>95</v>
      </c>
      <c r="E19" t="n">
        <v>52</v>
      </c>
      <c r="F19" t="n">
        <v>10</v>
      </c>
      <c r="G19" t="n">
        <v>5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6</v>
      </c>
      <c r="N19" t="n">
        <v>5</v>
      </c>
    </row>
    <row r="20">
      <c r="A20" t="inlineStr">
        <is>
          <t>Takeo</t>
        </is>
      </c>
      <c r="B20" t="n">
        <v>8</v>
      </c>
      <c r="C20" t="n">
        <v>59</v>
      </c>
      <c r="D20" t="n">
        <v>1240</v>
      </c>
      <c r="E20" t="n">
        <v>616</v>
      </c>
      <c r="F20" t="n">
        <v>189</v>
      </c>
      <c r="G20" t="n">
        <v>54</v>
      </c>
      <c r="H20" t="n">
        <v>46</v>
      </c>
      <c r="I20" t="n">
        <v>26</v>
      </c>
      <c r="J20" t="n">
        <v>4</v>
      </c>
      <c r="K20" t="n">
        <v>3</v>
      </c>
      <c r="L20" t="n">
        <v>54</v>
      </c>
      <c r="M20" t="n">
        <v>133</v>
      </c>
      <c r="N20" t="n">
        <v>59</v>
      </c>
    </row>
    <row r="21">
      <c r="A21" t="inlineStr">
        <is>
          <t>Tbaung Khmum</t>
        </is>
      </c>
      <c r="B21" t="n">
        <v>6</v>
      </c>
      <c r="C21" t="n">
        <v>61</v>
      </c>
      <c r="D21" t="n">
        <v>2424</v>
      </c>
      <c r="E21" t="n">
        <v>1468</v>
      </c>
      <c r="F21" t="n">
        <v>101</v>
      </c>
      <c r="G21" t="n">
        <v>51</v>
      </c>
      <c r="H21" t="n">
        <v>9</v>
      </c>
      <c r="I21" t="n">
        <v>5</v>
      </c>
      <c r="J21" t="n">
        <v>11</v>
      </c>
      <c r="K21" t="n">
        <v>3</v>
      </c>
      <c r="L21" t="n">
        <v>11</v>
      </c>
      <c r="M21" t="n">
        <v>106</v>
      </c>
      <c r="N21" t="n">
        <v>61</v>
      </c>
    </row>
    <row r="22">
      <c r="A22" t="inlineStr">
        <is>
          <t>Whole Kingdom</t>
        </is>
      </c>
      <c r="B22" t="n">
        <v>323</v>
      </c>
      <c r="C22" t="n">
        <v>2883</v>
      </c>
      <c r="D22" t="n">
        <v>68394</v>
      </c>
      <c r="E22" t="n">
        <v>34836</v>
      </c>
      <c r="F22" t="n">
        <v>6608</v>
      </c>
      <c r="G22" t="n">
        <v>2635</v>
      </c>
      <c r="H22" t="n">
        <v>2113</v>
      </c>
      <c r="I22" t="n">
        <v>1087</v>
      </c>
      <c r="J22" t="n">
        <v>982</v>
      </c>
      <c r="K22" t="n">
        <v>437</v>
      </c>
      <c r="L22" t="n">
        <v>646</v>
      </c>
      <c r="M22" t="n">
        <v>8888</v>
      </c>
      <c r="N22" t="n">
        <v>2602</v>
      </c>
    </row>
    <row r="23">
      <c r="A23" t="inlineStr">
        <is>
          <t>- Urban Area</t>
        </is>
      </c>
      <c r="B23" t="n">
        <v>267</v>
      </c>
      <c r="C23" t="n">
        <v>2520</v>
      </c>
      <c r="D23" t="n">
        <v>59041</v>
      </c>
      <c r="E23" t="n">
        <v>30327</v>
      </c>
      <c r="F23" t="n">
        <v>5714</v>
      </c>
      <c r="G23" t="n">
        <v>2318</v>
      </c>
      <c r="H23" t="n">
        <v>1945</v>
      </c>
      <c r="I23" t="n">
        <v>1014</v>
      </c>
      <c r="J23" t="n">
        <v>939</v>
      </c>
      <c r="K23" t="n">
        <v>412</v>
      </c>
      <c r="L23" t="n">
        <v>498</v>
      </c>
      <c r="M23" t="n">
        <v>7883</v>
      </c>
      <c r="N23" t="n">
        <v>2259</v>
      </c>
    </row>
    <row r="24">
      <c r="A24" t="inlineStr">
        <is>
          <t>- Rural Area</t>
        </is>
      </c>
      <c r="B24" t="n">
        <v>56</v>
      </c>
      <c r="C24" t="n">
        <v>363</v>
      </c>
      <c r="D24" t="n">
        <v>9353</v>
      </c>
      <c r="E24" t="n">
        <v>4509</v>
      </c>
      <c r="F24" t="n">
        <v>894</v>
      </c>
      <c r="G24" t="n">
        <v>317</v>
      </c>
      <c r="H24" t="n">
        <v>168</v>
      </c>
      <c r="I24" t="n">
        <v>73</v>
      </c>
      <c r="J24" t="n">
        <v>43</v>
      </c>
      <c r="K24" t="n">
        <v>25</v>
      </c>
      <c r="L24" t="n">
        <v>148</v>
      </c>
      <c r="M24" t="n">
        <v>1005</v>
      </c>
      <c r="N24" t="n">
        <v>343</v>
      </c>
    </row>
  </sheetData>
  <mergeCells count="10">
    <mergeCell ref="D1:E1"/>
    <mergeCell ref="H1:I1"/>
    <mergeCell ref="J1:K1"/>
    <mergeCell ref="C1:C2"/>
    <mergeCell ref="B1:B2"/>
    <mergeCell ref="M1:M2"/>
    <mergeCell ref="L1:L2"/>
    <mergeCell ref="F1:G1"/>
    <mergeCell ref="N1:N2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9.5" customWidth="1" min="1" max="1"/>
    <col width="11.33203125" customWidth="1" min="2" max="2"/>
    <col width="11.1640625" customWidth="1" min="3" max="3"/>
    <col width="11.33203125" customWidth="1" min="4" max="4"/>
    <col width="11.1640625" customWidth="1" min="6" max="6"/>
    <col width="11.33203125" customWidth="1" min="7" max="7"/>
    <col width="11.1640625" customWidth="1" min="8" max="8"/>
    <col width="11.33203125" customWidth="1" min="9" max="9"/>
    <col width="11.1640625" customWidth="1" min="11" max="11"/>
    <col width="11.33203125" customWidth="1" min="12" max="12"/>
    <col width="11.1640625" customWidth="1" min="13" max="13"/>
    <col width="11.33203125" customWidth="1" min="14" max="14"/>
  </cols>
  <sheetData>
    <row r="1">
      <c r="A1" t="inlineStr">
        <is>
          <t>Table 1: Schools, Classes, Students and Staff</t>
        </is>
      </c>
      <c r="B1" t="inlineStr">
        <is>
          <t>Pre- School</t>
        </is>
      </c>
      <c r="D1" t="inlineStr">
        <is>
          <t>Primary Education</t>
        </is>
      </c>
      <c r="J1" t="inlineStr">
        <is>
          <t>Secondary Education</t>
        </is>
      </c>
    </row>
    <row r="2">
      <c r="B2" t="inlineStr">
        <is>
          <t>Total</t>
        </is>
      </c>
      <c r="C2" t="inlineStr">
        <is>
          <t>Mixed Step</t>
        </is>
      </c>
      <c r="D2" t="inlineStr">
        <is>
          <t>Grade 1</t>
        </is>
      </c>
      <c r="E2" t="inlineStr">
        <is>
          <t>Grade 2</t>
        </is>
      </c>
      <c r="F2" t="inlineStr">
        <is>
          <t>Grade 3</t>
        </is>
      </c>
      <c r="G2" t="inlineStr">
        <is>
          <t>Grade 4</t>
        </is>
      </c>
      <c r="H2" t="inlineStr">
        <is>
          <t>Grade 5</t>
        </is>
      </c>
      <c r="I2" t="inlineStr">
        <is>
          <t>Grade 6</t>
        </is>
      </c>
      <c r="J2" t="inlineStr">
        <is>
          <t>Grade 7</t>
        </is>
      </c>
      <c r="K2" t="inlineStr">
        <is>
          <t>Grade 8</t>
        </is>
      </c>
      <c r="L2" t="inlineStr">
        <is>
          <t>Grade 9</t>
        </is>
      </c>
      <c r="M2" t="inlineStr">
        <is>
          <t>Grade 10</t>
        </is>
      </c>
      <c r="N2" t="inlineStr">
        <is>
          <t>Grade 11</t>
        </is>
      </c>
      <c r="O2" t="inlineStr">
        <is>
          <t>Grade 12</t>
        </is>
      </c>
    </row>
    <row r="3">
      <c r="A3" t="inlineStr">
        <is>
          <t>Banteay Meanchey</t>
        </is>
      </c>
      <c r="B3" t="n">
        <v>56</v>
      </c>
      <c r="C3" t="n">
        <v>33</v>
      </c>
      <c r="D3" t="n">
        <v>2</v>
      </c>
      <c r="E3" t="n">
        <v>1</v>
      </c>
      <c r="F3" t="n">
        <v>1</v>
      </c>
      <c r="G3" t="n">
        <v>4</v>
      </c>
      <c r="H3" t="n">
        <v>2</v>
      </c>
      <c r="I3" t="n">
        <v>46</v>
      </c>
      <c r="J3" t="n">
        <v>1</v>
      </c>
      <c r="K3" t="n">
        <v>3</v>
      </c>
      <c r="L3" t="n">
        <v>10</v>
      </c>
      <c r="M3" t="n">
        <v>1</v>
      </c>
      <c r="N3" t="n">
        <v>2</v>
      </c>
      <c r="O3" t="n">
        <v>10</v>
      </c>
    </row>
    <row r="4">
      <c r="A4" t="inlineStr">
        <is>
          <t>Battambang</t>
        </is>
      </c>
      <c r="B4" t="n">
        <v>26</v>
      </c>
      <c r="C4" t="n">
        <v>6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20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12</v>
      </c>
    </row>
    <row r="5">
      <c r="A5" t="inlineStr">
        <is>
          <t>Kampong Cham</t>
        </is>
      </c>
      <c r="B5" t="n">
        <v>11</v>
      </c>
      <c r="C5" t="n">
        <v>1</v>
      </c>
      <c r="D5" t="n">
        <v>0</v>
      </c>
      <c r="E5" t="n">
        <v>0</v>
      </c>
      <c r="F5" t="n">
        <v>0</v>
      </c>
      <c r="G5" t="n">
        <v>2</v>
      </c>
      <c r="H5" t="n">
        <v>2</v>
      </c>
      <c r="I5" t="n">
        <v>13</v>
      </c>
      <c r="J5" t="n">
        <v>0</v>
      </c>
      <c r="K5" t="n">
        <v>0</v>
      </c>
      <c r="L5" t="n">
        <v>3</v>
      </c>
      <c r="M5" t="n">
        <v>1</v>
      </c>
      <c r="N5" t="n">
        <v>1</v>
      </c>
      <c r="O5" t="n">
        <v>3</v>
      </c>
    </row>
    <row r="6">
      <c r="A6" t="inlineStr">
        <is>
          <t>Kampong Chhnang</t>
        </is>
      </c>
      <c r="B6" t="n">
        <v>10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9</v>
      </c>
      <c r="J6" t="n">
        <v>0</v>
      </c>
      <c r="K6" t="n">
        <v>0</v>
      </c>
      <c r="L6" t="n">
        <v>3</v>
      </c>
      <c r="M6" t="n">
        <v>1</v>
      </c>
      <c r="N6" t="n">
        <v>0</v>
      </c>
      <c r="O6" t="n">
        <v>3</v>
      </c>
    </row>
    <row r="7">
      <c r="A7" t="inlineStr">
        <is>
          <t>Kampong Speu</t>
        </is>
      </c>
      <c r="B7" t="n">
        <v>28</v>
      </c>
      <c r="C7" t="n">
        <v>6</v>
      </c>
      <c r="D7" t="n">
        <v>1</v>
      </c>
      <c r="E7" t="n">
        <v>0</v>
      </c>
      <c r="F7" t="n">
        <v>1</v>
      </c>
      <c r="G7" t="n">
        <v>4</v>
      </c>
      <c r="H7" t="n">
        <v>3</v>
      </c>
      <c r="I7" t="n">
        <v>15</v>
      </c>
      <c r="J7" t="n">
        <v>2</v>
      </c>
      <c r="K7" t="n">
        <v>1</v>
      </c>
      <c r="L7" t="n">
        <v>4</v>
      </c>
      <c r="M7" t="n">
        <v>0</v>
      </c>
      <c r="N7" t="n">
        <v>0</v>
      </c>
      <c r="O7" t="n">
        <v>4</v>
      </c>
    </row>
    <row r="8">
      <c r="A8" t="inlineStr">
        <is>
          <t>Kampong Thom</t>
        </is>
      </c>
      <c r="B8" t="n">
        <v>21</v>
      </c>
      <c r="C8" t="n">
        <v>13</v>
      </c>
      <c r="D8" t="n">
        <v>4</v>
      </c>
      <c r="E8" t="n">
        <v>5</v>
      </c>
      <c r="F8" t="n">
        <v>1</v>
      </c>
      <c r="G8" t="n">
        <v>3</v>
      </c>
      <c r="H8" t="n">
        <v>2</v>
      </c>
      <c r="I8" t="n">
        <v>10</v>
      </c>
      <c r="J8" t="n">
        <v>0</v>
      </c>
      <c r="K8" t="n">
        <v>4</v>
      </c>
      <c r="L8" t="n">
        <v>2</v>
      </c>
      <c r="M8" t="n">
        <v>0</v>
      </c>
      <c r="N8" t="n">
        <v>0</v>
      </c>
      <c r="O8" t="n">
        <v>3</v>
      </c>
    </row>
    <row r="9">
      <c r="A9" t="inlineStr">
        <is>
          <t>Kampot</t>
        </is>
      </c>
      <c r="B9" t="n">
        <v>12</v>
      </c>
      <c r="C9" t="n">
        <v>1</v>
      </c>
      <c r="D9" t="n">
        <v>1</v>
      </c>
      <c r="E9" t="n">
        <v>0</v>
      </c>
      <c r="F9" t="n">
        <v>0</v>
      </c>
      <c r="G9" t="n">
        <v>2</v>
      </c>
      <c r="H9" t="n">
        <v>1</v>
      </c>
      <c r="I9" t="n">
        <v>13</v>
      </c>
      <c r="J9" t="n">
        <v>1</v>
      </c>
      <c r="K9" t="n">
        <v>0</v>
      </c>
      <c r="L9" t="n">
        <v>5</v>
      </c>
      <c r="M9" t="n">
        <v>0</v>
      </c>
      <c r="N9" t="n">
        <v>0</v>
      </c>
      <c r="O9" t="n">
        <v>7</v>
      </c>
    </row>
    <row r="10">
      <c r="A10" t="inlineStr">
        <is>
          <t>Kandal</t>
        </is>
      </c>
      <c r="B10" t="n">
        <v>44</v>
      </c>
      <c r="C10" t="n">
        <v>19</v>
      </c>
      <c r="D10" t="n">
        <v>1</v>
      </c>
      <c r="E10" t="n">
        <v>0</v>
      </c>
      <c r="F10" t="n">
        <v>0</v>
      </c>
      <c r="G10" t="n">
        <v>6</v>
      </c>
      <c r="H10" t="n">
        <v>2</v>
      </c>
      <c r="I10" t="n">
        <v>25</v>
      </c>
      <c r="J10" t="n">
        <v>0</v>
      </c>
      <c r="K10" t="n">
        <v>1</v>
      </c>
      <c r="L10" t="n">
        <v>3</v>
      </c>
      <c r="M10" t="n">
        <v>0</v>
      </c>
      <c r="N10" t="n">
        <v>0</v>
      </c>
      <c r="O10" t="n">
        <v>6</v>
      </c>
    </row>
    <row r="11">
      <c r="A11" t="inlineStr">
        <is>
          <t>Kep</t>
        </is>
      </c>
      <c r="B11" t="n">
        <v>2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Koh Kong</t>
        </is>
      </c>
      <c r="B12" t="n">
        <v>8</v>
      </c>
      <c r="C12" t="n">
        <v>3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6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Kratie</t>
        </is>
      </c>
      <c r="B13" t="n">
        <v>4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</row>
    <row r="14">
      <c r="A14" t="inlineStr">
        <is>
          <t>Mondul Kiri</t>
        </is>
      </c>
      <c r="B14" t="n">
        <v>3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</row>
    <row r="15">
      <c r="A15" t="inlineStr">
        <is>
          <t>Otdar Meanchey</t>
        </is>
      </c>
      <c r="B15" t="n">
        <v>6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Pailin</t>
        </is>
      </c>
      <c r="B16" t="n">
        <v>9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Phnom Penh</t>
        </is>
      </c>
      <c r="B17" t="n">
        <v>303</v>
      </c>
      <c r="C17" t="n">
        <v>82</v>
      </c>
      <c r="D17" t="n">
        <v>5</v>
      </c>
      <c r="E17" t="n">
        <v>3</v>
      </c>
      <c r="F17" t="n">
        <v>17</v>
      </c>
      <c r="G17" t="n">
        <v>18</v>
      </c>
      <c r="H17" t="n">
        <v>28</v>
      </c>
      <c r="I17" t="n">
        <v>230</v>
      </c>
      <c r="J17" t="n">
        <v>6</v>
      </c>
      <c r="K17" t="n">
        <v>6</v>
      </c>
      <c r="L17" t="n">
        <v>36</v>
      </c>
      <c r="M17" t="n">
        <v>8</v>
      </c>
      <c r="N17" t="n">
        <v>8</v>
      </c>
      <c r="O17" t="n">
        <v>79</v>
      </c>
    </row>
    <row r="18">
      <c r="A18" t="inlineStr">
        <is>
          <t>Preah Sihanouk</t>
        </is>
      </c>
      <c r="B18" t="n">
        <v>26</v>
      </c>
      <c r="C18" t="n">
        <v>12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18</v>
      </c>
      <c r="J18" t="n">
        <v>1</v>
      </c>
      <c r="K18" t="n">
        <v>0</v>
      </c>
      <c r="L18" t="n">
        <v>5</v>
      </c>
      <c r="M18" t="n">
        <v>0</v>
      </c>
      <c r="N18" t="n">
        <v>2</v>
      </c>
      <c r="O18" t="n">
        <v>3</v>
      </c>
    </row>
    <row r="19">
      <c r="A19" t="inlineStr">
        <is>
          <t>Preah Vihear</t>
        </is>
      </c>
      <c r="B19" t="n">
        <v>2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Prey Veng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</row>
    <row r="21">
      <c r="A21" t="inlineStr">
        <is>
          <t>Pursat</t>
        </is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Ratanak Kiri</t>
        </is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3</v>
      </c>
    </row>
    <row r="23">
      <c r="A23" t="inlineStr">
        <is>
          <t>Siemreap</t>
        </is>
      </c>
      <c r="B23" t="n">
        <v>54</v>
      </c>
      <c r="C23" t="n">
        <v>14</v>
      </c>
      <c r="D23" t="n">
        <v>2</v>
      </c>
      <c r="E23" t="n">
        <v>2</v>
      </c>
      <c r="F23" t="n">
        <v>2</v>
      </c>
      <c r="G23" t="n">
        <v>5</v>
      </c>
      <c r="H23" t="n">
        <v>4</v>
      </c>
      <c r="I23" t="n">
        <v>31</v>
      </c>
      <c r="J23" t="n">
        <v>1</v>
      </c>
      <c r="K23" t="n">
        <v>2</v>
      </c>
      <c r="L23" t="n">
        <v>3</v>
      </c>
      <c r="M23" t="n">
        <v>3</v>
      </c>
      <c r="N23" t="n">
        <v>3</v>
      </c>
      <c r="O23" t="n">
        <v>11</v>
      </c>
    </row>
    <row r="24">
      <c r="A24" t="inlineStr">
        <is>
          <t>Stung Treng</t>
        </is>
      </c>
      <c r="B24" t="n">
        <v>5</v>
      </c>
      <c r="C24" t="n">
        <v>2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</row>
    <row r="25">
      <c r="A25" t="inlineStr">
        <is>
          <t>Svay Rieng</t>
        </is>
      </c>
      <c r="B25" t="n">
        <v>4</v>
      </c>
      <c r="C25" t="n">
        <v>2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Takeo</t>
        </is>
      </c>
      <c r="B26" t="n">
        <v>23</v>
      </c>
      <c r="C26" t="n">
        <v>9</v>
      </c>
      <c r="D26" t="n">
        <v>0</v>
      </c>
      <c r="E26" t="n">
        <v>3</v>
      </c>
      <c r="F26" t="n">
        <v>1</v>
      </c>
      <c r="G26" t="n">
        <v>2</v>
      </c>
      <c r="H26" t="n">
        <v>2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</v>
      </c>
    </row>
    <row r="27">
      <c r="A27" t="inlineStr">
        <is>
          <t>Tbaung Khmum</t>
        </is>
      </c>
      <c r="B27" t="n">
        <v>10</v>
      </c>
      <c r="C27" t="n">
        <v>6</v>
      </c>
      <c r="D27" t="n">
        <v>0</v>
      </c>
      <c r="E27" t="n">
        <v>2</v>
      </c>
      <c r="F27" t="n">
        <v>2</v>
      </c>
      <c r="G27" t="n">
        <v>0</v>
      </c>
      <c r="H27" t="n">
        <v>1</v>
      </c>
      <c r="I27" t="n">
        <v>6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3</v>
      </c>
    </row>
    <row r="28">
      <c r="A28" t="inlineStr">
        <is>
          <t>Whole Kingdom</t>
        </is>
      </c>
      <c r="B28" t="n">
        <v>678</v>
      </c>
      <c r="C28" t="n">
        <v>219</v>
      </c>
      <c r="D28" t="n">
        <v>19</v>
      </c>
      <c r="E28" t="n">
        <v>18</v>
      </c>
      <c r="F28" t="n">
        <v>31</v>
      </c>
      <c r="G28" t="n">
        <v>49</v>
      </c>
      <c r="H28" t="n">
        <v>53</v>
      </c>
      <c r="I28" t="n">
        <v>485</v>
      </c>
      <c r="J28" t="n">
        <v>13</v>
      </c>
      <c r="K28" t="n">
        <v>17</v>
      </c>
      <c r="L28" t="n">
        <v>81</v>
      </c>
      <c r="M28" t="n">
        <v>14</v>
      </c>
      <c r="N28" t="n">
        <v>17</v>
      </c>
      <c r="O28" t="n">
        <v>158</v>
      </c>
    </row>
    <row r="29">
      <c r="A29" t="inlineStr">
        <is>
          <t>- Urban Area</t>
        </is>
      </c>
      <c r="B29" t="n">
        <v>532</v>
      </c>
      <c r="C29" t="n">
        <v>153</v>
      </c>
      <c r="D29" t="n">
        <v>11</v>
      </c>
      <c r="E29" t="n">
        <v>9</v>
      </c>
      <c r="F29" t="n">
        <v>23</v>
      </c>
      <c r="G29" t="n">
        <v>30</v>
      </c>
      <c r="H29" t="n">
        <v>42</v>
      </c>
      <c r="I29" t="n">
        <v>396</v>
      </c>
      <c r="J29" t="n">
        <v>7</v>
      </c>
      <c r="K29" t="n">
        <v>13</v>
      </c>
      <c r="L29" t="n">
        <v>62</v>
      </c>
      <c r="M29" t="n">
        <v>13</v>
      </c>
      <c r="N29" t="n">
        <v>16</v>
      </c>
      <c r="O29" t="n">
        <v>133</v>
      </c>
    </row>
    <row r="30">
      <c r="A30" t="inlineStr">
        <is>
          <t>- Rural Area</t>
        </is>
      </c>
      <c r="B30" t="n">
        <v>146</v>
      </c>
      <c r="C30" t="n">
        <v>66</v>
      </c>
      <c r="D30" t="n">
        <v>8</v>
      </c>
      <c r="E30" t="n">
        <v>9</v>
      </c>
      <c r="F30" t="n">
        <v>8</v>
      </c>
      <c r="G30" t="n">
        <v>19</v>
      </c>
      <c r="H30" t="n">
        <v>11</v>
      </c>
      <c r="I30" t="n">
        <v>89</v>
      </c>
      <c r="J30" t="n">
        <v>6</v>
      </c>
      <c r="K30" t="n">
        <v>4</v>
      </c>
      <c r="L30" t="n">
        <v>19</v>
      </c>
      <c r="M30" t="n">
        <v>1</v>
      </c>
      <c r="N30" t="n">
        <v>1</v>
      </c>
      <c r="O30" t="n">
        <v>25</v>
      </c>
    </row>
  </sheetData>
  <mergeCells count="4">
    <mergeCell ref="B1:C1"/>
    <mergeCell ref="J1:O1"/>
    <mergeCell ref="D1:I1"/>
    <mergeCell ref="A1:A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B9BD5"/>
    <outlinePr summaryBelow="1" summaryRight="1"/>
    <pageSetUpPr/>
  </sheetPr>
  <dimension ref="A1:BA31"/>
  <sheetViews>
    <sheetView workbookViewId="0">
      <selection activeCell="A1" sqref="A1"/>
    </sheetView>
  </sheetViews>
  <sheetFormatPr baseColWidth="8" defaultRowHeight="15"/>
  <cols>
    <col width="24.83203125" customWidth="1" min="1" max="1"/>
    <col width="12.6640625" customWidth="1" min="2" max="2"/>
    <col width="12.83203125" customWidth="1" min="4" max="4"/>
    <col width="12.6640625" customWidth="1" min="5" max="5"/>
    <col width="12.83203125" customWidth="1" min="9" max="9"/>
    <col width="12.6640625" customWidth="1" min="10" max="10"/>
  </cols>
  <sheetData>
    <row r="1">
      <c r="A1" t="inlineStr">
        <is>
          <t>Table 1: Schools, Classes, Students and Staff</t>
        </is>
      </c>
      <c r="B1" t="inlineStr">
        <is>
          <t>Grade 1</t>
        </is>
      </c>
      <c r="F1" t="inlineStr">
        <is>
          <t>Grade 2</t>
        </is>
      </c>
      <c r="J1" t="inlineStr">
        <is>
          <t>Grade 3</t>
        </is>
      </c>
      <c r="N1" t="inlineStr">
        <is>
          <t>Grade 4</t>
        </is>
      </c>
      <c r="R1" t="inlineStr">
        <is>
          <t>Grade 5</t>
        </is>
      </c>
      <c r="V1" t="inlineStr">
        <is>
          <t>Grade 6</t>
        </is>
      </c>
      <c r="Z1" t="inlineStr">
        <is>
          <t>Grade 7</t>
        </is>
      </c>
      <c r="AD1" t="inlineStr">
        <is>
          <t>Grade 8</t>
        </is>
      </c>
      <c r="AH1" t="inlineStr">
        <is>
          <t>Grade 9</t>
        </is>
      </c>
      <c r="AL1" t="inlineStr">
        <is>
          <t>Grade 10</t>
        </is>
      </c>
      <c r="AP1" t="inlineStr">
        <is>
          <t>Grade 11</t>
        </is>
      </c>
      <c r="AT1" t="inlineStr">
        <is>
          <t>Grade 12</t>
        </is>
      </c>
      <c r="AX1" t="inlineStr">
        <is>
          <t>Total</t>
        </is>
      </c>
    </row>
    <row r="2">
      <c r="B2" t="inlineStr">
        <is>
          <t>Enrollment</t>
        </is>
      </c>
      <c r="D2" t="inlineStr">
        <is>
          <t>Repeaters</t>
        </is>
      </c>
      <c r="F2" t="inlineStr">
        <is>
          <t>Enrollment</t>
        </is>
      </c>
      <c r="H2" t="inlineStr">
        <is>
          <t>Repeaters</t>
        </is>
      </c>
      <c r="J2" t="inlineStr">
        <is>
          <t>Enrollment</t>
        </is>
      </c>
      <c r="L2" t="inlineStr">
        <is>
          <t>Repeaters</t>
        </is>
      </c>
      <c r="N2" t="inlineStr">
        <is>
          <t>Enrollment</t>
        </is>
      </c>
      <c r="P2" t="inlineStr">
        <is>
          <t>Repeaters</t>
        </is>
      </c>
      <c r="R2" t="inlineStr">
        <is>
          <t>Enrollment</t>
        </is>
      </c>
      <c r="T2" t="inlineStr">
        <is>
          <t>Repeaters</t>
        </is>
      </c>
      <c r="V2" t="inlineStr">
        <is>
          <t>Enrollment</t>
        </is>
      </c>
      <c r="X2" t="inlineStr">
        <is>
          <t>Repeaters</t>
        </is>
      </c>
      <c r="Z2" t="inlineStr">
        <is>
          <t>Enrollment</t>
        </is>
      </c>
      <c r="AB2" t="inlineStr">
        <is>
          <t>Repeaters</t>
        </is>
      </c>
      <c r="AD2" t="inlineStr">
        <is>
          <t>Enrollment</t>
        </is>
      </c>
      <c r="AF2" t="inlineStr">
        <is>
          <t>Repeaters</t>
        </is>
      </c>
      <c r="AH2" t="inlineStr">
        <is>
          <t>Enrollment</t>
        </is>
      </c>
      <c r="AJ2" t="inlineStr">
        <is>
          <t>Repeaters</t>
        </is>
      </c>
      <c r="AL2" t="inlineStr">
        <is>
          <t>Enrollment</t>
        </is>
      </c>
      <c r="AN2" t="inlineStr">
        <is>
          <t>Repeaters</t>
        </is>
      </c>
      <c r="AP2" t="inlineStr">
        <is>
          <t>Enrollment</t>
        </is>
      </c>
      <c r="AR2" t="inlineStr">
        <is>
          <t>Repeaters</t>
        </is>
      </c>
      <c r="AT2" t="inlineStr">
        <is>
          <t>Enrollment</t>
        </is>
      </c>
      <c r="AV2" t="inlineStr">
        <is>
          <t>Repeaters</t>
        </is>
      </c>
      <c r="AX2" t="inlineStr">
        <is>
          <t>Enrollment</t>
        </is>
      </c>
      <c r="AZ2" t="inlineStr">
        <is>
          <t>Repeaters</t>
        </is>
      </c>
    </row>
    <row r="3">
      <c r="B3" t="inlineStr">
        <is>
          <t>Total</t>
        </is>
      </c>
      <c r="C3" t="inlineStr">
        <is>
          <t>Girl</t>
        </is>
      </c>
      <c r="D3" t="inlineStr">
        <is>
          <t>Total</t>
        </is>
      </c>
      <c r="E3" t="inlineStr">
        <is>
          <t>Girl</t>
        </is>
      </c>
      <c r="F3" t="inlineStr">
        <is>
          <t>Total</t>
        </is>
      </c>
      <c r="G3" t="inlineStr">
        <is>
          <t>Girl</t>
        </is>
      </c>
      <c r="H3" t="inlineStr">
        <is>
          <t>Total</t>
        </is>
      </c>
      <c r="I3" t="inlineStr">
        <is>
          <t>Girl</t>
        </is>
      </c>
      <c r="J3" t="inlineStr">
        <is>
          <t>Total</t>
        </is>
      </c>
      <c r="K3" t="inlineStr">
        <is>
          <t>Girl</t>
        </is>
      </c>
      <c r="L3" t="inlineStr">
        <is>
          <t>Total</t>
        </is>
      </c>
      <c r="M3" t="inlineStr">
        <is>
          <t>Girl</t>
        </is>
      </c>
      <c r="N3" t="inlineStr">
        <is>
          <t>Total</t>
        </is>
      </c>
      <c r="O3" t="inlineStr">
        <is>
          <t>Girl</t>
        </is>
      </c>
      <c r="P3" t="inlineStr">
        <is>
          <t>Total</t>
        </is>
      </c>
      <c r="Q3" t="inlineStr">
        <is>
          <t>Girl</t>
        </is>
      </c>
      <c r="R3" t="inlineStr">
        <is>
          <t>Total</t>
        </is>
      </c>
      <c r="S3" t="inlineStr">
        <is>
          <t>Girl</t>
        </is>
      </c>
      <c r="T3" t="inlineStr">
        <is>
          <t>Total</t>
        </is>
      </c>
      <c r="U3" t="inlineStr">
        <is>
          <t>Girl</t>
        </is>
      </c>
      <c r="V3" t="inlineStr">
        <is>
          <t>Total</t>
        </is>
      </c>
      <c r="W3" t="inlineStr">
        <is>
          <t>Girl</t>
        </is>
      </c>
      <c r="X3" t="inlineStr">
        <is>
          <t>Total</t>
        </is>
      </c>
      <c r="Y3" t="inlineStr">
        <is>
          <t>Girl</t>
        </is>
      </c>
      <c r="Z3" t="inlineStr">
        <is>
          <t>Total</t>
        </is>
      </c>
      <c r="AA3" t="inlineStr">
        <is>
          <t>Girl</t>
        </is>
      </c>
      <c r="AB3" t="inlineStr">
        <is>
          <t>Total</t>
        </is>
      </c>
      <c r="AC3" t="inlineStr">
        <is>
          <t>Girl</t>
        </is>
      </c>
      <c r="AD3" t="inlineStr">
        <is>
          <t>Total</t>
        </is>
      </c>
      <c r="AE3" t="inlineStr">
        <is>
          <t>Girl</t>
        </is>
      </c>
      <c r="AF3" t="inlineStr">
        <is>
          <t>Total</t>
        </is>
      </c>
      <c r="AG3" t="inlineStr">
        <is>
          <t>Girl</t>
        </is>
      </c>
      <c r="AH3" t="inlineStr">
        <is>
          <t>Total</t>
        </is>
      </c>
      <c r="AI3" t="inlineStr">
        <is>
          <t>Girl</t>
        </is>
      </c>
      <c r="AJ3" t="inlineStr">
        <is>
          <t>Total</t>
        </is>
      </c>
      <c r="AK3" t="inlineStr">
        <is>
          <t>Girl</t>
        </is>
      </c>
      <c r="AL3" t="inlineStr">
        <is>
          <t>Total</t>
        </is>
      </c>
      <c r="AM3" t="inlineStr">
        <is>
          <t>Girl</t>
        </is>
      </c>
      <c r="AN3" t="inlineStr">
        <is>
          <t>Total</t>
        </is>
      </c>
      <c r="AO3" t="inlineStr">
        <is>
          <t>Girl</t>
        </is>
      </c>
      <c r="AP3" t="inlineStr">
        <is>
          <t>Total</t>
        </is>
      </c>
      <c r="AQ3" t="inlineStr">
        <is>
          <t>Girl</t>
        </is>
      </c>
      <c r="AR3" t="inlineStr">
        <is>
          <t>Total</t>
        </is>
      </c>
      <c r="AS3" t="inlineStr">
        <is>
          <t>Girl</t>
        </is>
      </c>
      <c r="AT3" t="inlineStr">
        <is>
          <t>Total</t>
        </is>
      </c>
      <c r="AU3" t="inlineStr">
        <is>
          <t>Girl</t>
        </is>
      </c>
      <c r="AV3" t="inlineStr">
        <is>
          <t>Total</t>
        </is>
      </c>
      <c r="AW3" t="inlineStr">
        <is>
          <t>Girl</t>
        </is>
      </c>
      <c r="AX3" t="inlineStr">
        <is>
          <t>Total</t>
        </is>
      </c>
      <c r="AY3" t="inlineStr">
        <is>
          <t>Girl</t>
        </is>
      </c>
      <c r="AZ3" t="inlineStr">
        <is>
          <t>Total</t>
        </is>
      </c>
      <c r="BA3" t="inlineStr">
        <is>
          <t>Girl</t>
        </is>
      </c>
    </row>
    <row r="4">
      <c r="A4" t="inlineStr">
        <is>
          <t>Banteay Meanchey</t>
        </is>
      </c>
      <c r="B4" t="n">
        <v>2797</v>
      </c>
      <c r="C4" t="n">
        <v>1306</v>
      </c>
      <c r="D4" t="n">
        <v>113</v>
      </c>
      <c r="E4" t="n">
        <v>41</v>
      </c>
      <c r="F4" t="n">
        <v>2067</v>
      </c>
      <c r="G4" t="n">
        <v>1003</v>
      </c>
      <c r="H4" t="n">
        <v>44</v>
      </c>
      <c r="I4" t="n">
        <v>18</v>
      </c>
      <c r="J4" t="n">
        <v>1808</v>
      </c>
      <c r="K4" t="n">
        <v>850</v>
      </c>
      <c r="L4" t="n">
        <v>19</v>
      </c>
      <c r="M4" t="n">
        <v>8</v>
      </c>
      <c r="N4" t="n">
        <v>1834</v>
      </c>
      <c r="O4" t="n">
        <v>897</v>
      </c>
      <c r="P4" t="n">
        <v>15</v>
      </c>
      <c r="Q4" t="n">
        <v>6</v>
      </c>
      <c r="R4" t="n">
        <v>1644</v>
      </c>
      <c r="S4" t="n">
        <v>855</v>
      </c>
      <c r="T4" t="n">
        <v>10</v>
      </c>
      <c r="U4" t="n">
        <v>2</v>
      </c>
      <c r="V4" t="n">
        <v>1519</v>
      </c>
      <c r="W4" t="n">
        <v>762</v>
      </c>
      <c r="X4" t="n">
        <v>3</v>
      </c>
      <c r="Y4" t="n">
        <v>0</v>
      </c>
      <c r="Z4" t="n">
        <v>1397</v>
      </c>
      <c r="AA4" t="n">
        <v>707</v>
      </c>
      <c r="AB4" t="n">
        <v>15</v>
      </c>
      <c r="AC4" t="n">
        <v>6</v>
      </c>
      <c r="AD4" t="n">
        <v>1297</v>
      </c>
      <c r="AE4" t="n">
        <v>651</v>
      </c>
      <c r="AF4" t="n">
        <v>9</v>
      </c>
      <c r="AG4" t="n">
        <v>3</v>
      </c>
      <c r="AH4" t="n">
        <v>1216</v>
      </c>
      <c r="AI4" t="n">
        <v>644</v>
      </c>
      <c r="AJ4" t="n">
        <v>7</v>
      </c>
      <c r="AK4" t="n">
        <v>2</v>
      </c>
      <c r="AL4" t="n">
        <v>835</v>
      </c>
      <c r="AM4" t="n">
        <v>450</v>
      </c>
      <c r="AN4" t="n">
        <v>3</v>
      </c>
      <c r="AO4" t="n">
        <v>3</v>
      </c>
      <c r="AP4" t="n">
        <v>678</v>
      </c>
      <c r="AQ4" t="n">
        <v>327</v>
      </c>
      <c r="AR4" t="n">
        <v>4</v>
      </c>
      <c r="AS4" t="n">
        <v>3</v>
      </c>
      <c r="AT4" t="n">
        <v>566</v>
      </c>
      <c r="AU4" t="n">
        <v>272</v>
      </c>
      <c r="AV4" t="n">
        <v>34</v>
      </c>
      <c r="AW4" t="n">
        <v>15</v>
      </c>
      <c r="AX4" t="n">
        <v>20437</v>
      </c>
      <c r="AY4" t="n">
        <v>10067</v>
      </c>
      <c r="AZ4" t="n">
        <v>276</v>
      </c>
      <c r="BA4" t="n">
        <v>107</v>
      </c>
    </row>
    <row r="5">
      <c r="A5" t="inlineStr">
        <is>
          <t>Battambang</t>
        </is>
      </c>
      <c r="B5" t="n">
        <v>960</v>
      </c>
      <c r="C5" t="n">
        <v>442</v>
      </c>
      <c r="D5" t="n">
        <v>48</v>
      </c>
      <c r="E5" t="n">
        <v>27</v>
      </c>
      <c r="F5" t="n">
        <v>756</v>
      </c>
      <c r="G5" t="n">
        <v>328</v>
      </c>
      <c r="H5" t="n">
        <v>10</v>
      </c>
      <c r="I5" t="n">
        <v>4</v>
      </c>
      <c r="J5" t="n">
        <v>655</v>
      </c>
      <c r="K5" t="n">
        <v>313</v>
      </c>
      <c r="L5" t="n">
        <v>3</v>
      </c>
      <c r="M5" t="n">
        <v>2</v>
      </c>
      <c r="N5" t="n">
        <v>648</v>
      </c>
      <c r="O5" t="n">
        <v>301</v>
      </c>
      <c r="P5" t="n">
        <v>6</v>
      </c>
      <c r="Q5" t="n">
        <v>3</v>
      </c>
      <c r="R5" t="n">
        <v>532</v>
      </c>
      <c r="S5" t="n">
        <v>243</v>
      </c>
      <c r="T5" t="n">
        <v>4</v>
      </c>
      <c r="U5" t="n">
        <v>0</v>
      </c>
      <c r="V5" t="n">
        <v>479</v>
      </c>
      <c r="W5" t="n">
        <v>242</v>
      </c>
      <c r="X5" t="n">
        <v>1</v>
      </c>
      <c r="Y5" t="n">
        <v>0</v>
      </c>
      <c r="Z5" t="n">
        <v>627</v>
      </c>
      <c r="AA5" t="n">
        <v>310</v>
      </c>
      <c r="AB5" t="n">
        <v>5</v>
      </c>
      <c r="AC5" t="n">
        <v>2</v>
      </c>
      <c r="AD5" t="n">
        <v>612</v>
      </c>
      <c r="AE5" t="n">
        <v>321</v>
      </c>
      <c r="AF5" t="n">
        <v>7</v>
      </c>
      <c r="AG5" t="n">
        <v>2</v>
      </c>
      <c r="AH5" t="n">
        <v>636</v>
      </c>
      <c r="AI5" t="n">
        <v>331</v>
      </c>
      <c r="AJ5" t="n">
        <v>12</v>
      </c>
      <c r="AK5" t="n">
        <v>5</v>
      </c>
      <c r="AL5" t="n">
        <v>601</v>
      </c>
      <c r="AM5" t="n">
        <v>333</v>
      </c>
      <c r="AN5" t="n">
        <v>2</v>
      </c>
      <c r="AO5" t="n">
        <v>1</v>
      </c>
      <c r="AP5" t="n">
        <v>585</v>
      </c>
      <c r="AQ5" t="n">
        <v>308</v>
      </c>
      <c r="AR5" t="n">
        <v>0</v>
      </c>
      <c r="AS5" t="n">
        <v>0</v>
      </c>
      <c r="AT5" t="n">
        <v>577</v>
      </c>
      <c r="AU5" t="n">
        <v>318</v>
      </c>
      <c r="AV5" t="n">
        <v>15</v>
      </c>
      <c r="AW5" t="n">
        <v>10</v>
      </c>
      <c r="AX5" t="n">
        <v>9270</v>
      </c>
      <c r="AY5" t="n">
        <v>4563</v>
      </c>
      <c r="AZ5" t="n">
        <v>113</v>
      </c>
      <c r="BA5" t="n">
        <v>56</v>
      </c>
    </row>
    <row r="6">
      <c r="A6" t="inlineStr">
        <is>
          <t>Kampong Cham</t>
        </is>
      </c>
      <c r="B6" t="n">
        <v>493</v>
      </c>
      <c r="C6" t="n">
        <v>248</v>
      </c>
      <c r="D6" t="n">
        <v>11</v>
      </c>
      <c r="E6" t="n">
        <v>6</v>
      </c>
      <c r="F6" t="n">
        <v>363</v>
      </c>
      <c r="G6" t="n">
        <v>181</v>
      </c>
      <c r="H6" t="n">
        <v>11</v>
      </c>
      <c r="I6" t="n">
        <v>1</v>
      </c>
      <c r="J6" t="n">
        <v>382</v>
      </c>
      <c r="K6" t="n">
        <v>192</v>
      </c>
      <c r="L6" t="n">
        <v>15</v>
      </c>
      <c r="M6" t="n">
        <v>3</v>
      </c>
      <c r="N6" t="n">
        <v>405</v>
      </c>
      <c r="O6" t="n">
        <v>213</v>
      </c>
      <c r="P6" t="n">
        <v>0</v>
      </c>
      <c r="Q6" t="n">
        <v>0</v>
      </c>
      <c r="R6" t="n">
        <v>330</v>
      </c>
      <c r="S6" t="n">
        <v>173</v>
      </c>
      <c r="T6" t="n">
        <v>10</v>
      </c>
      <c r="U6" t="n">
        <v>5</v>
      </c>
      <c r="V6" t="n">
        <v>291</v>
      </c>
      <c r="W6" t="n">
        <v>168</v>
      </c>
      <c r="X6" t="n">
        <v>0</v>
      </c>
      <c r="Y6" t="n">
        <v>0</v>
      </c>
      <c r="Z6" t="n">
        <v>232</v>
      </c>
      <c r="AA6" t="n">
        <v>128</v>
      </c>
      <c r="AB6" t="n">
        <v>2</v>
      </c>
      <c r="AC6" t="n">
        <v>0</v>
      </c>
      <c r="AD6" t="n">
        <v>244</v>
      </c>
      <c r="AE6" t="n">
        <v>120</v>
      </c>
      <c r="AF6" t="n">
        <v>0</v>
      </c>
      <c r="AG6" t="n">
        <v>0</v>
      </c>
      <c r="AH6" t="n">
        <v>266</v>
      </c>
      <c r="AI6" t="n">
        <v>138</v>
      </c>
      <c r="AJ6" t="n">
        <v>0</v>
      </c>
      <c r="AK6" t="n">
        <v>0</v>
      </c>
      <c r="AL6" t="n">
        <v>163</v>
      </c>
      <c r="AM6" t="n">
        <v>77</v>
      </c>
      <c r="AN6" t="n">
        <v>0</v>
      </c>
      <c r="AO6" t="n">
        <v>0</v>
      </c>
      <c r="AP6" t="n">
        <v>104</v>
      </c>
      <c r="AQ6" t="n">
        <v>42</v>
      </c>
      <c r="AR6" t="n">
        <v>0</v>
      </c>
      <c r="AS6" t="n">
        <v>0</v>
      </c>
      <c r="AT6" t="n">
        <v>104</v>
      </c>
      <c r="AU6" t="n">
        <v>50</v>
      </c>
      <c r="AV6" t="n">
        <v>0</v>
      </c>
      <c r="AW6" t="n">
        <v>0</v>
      </c>
      <c r="AX6" t="n">
        <v>4195</v>
      </c>
      <c r="AY6" t="n">
        <v>2144</v>
      </c>
      <c r="AZ6" t="n">
        <v>49</v>
      </c>
      <c r="BA6" t="n">
        <v>15</v>
      </c>
    </row>
    <row r="7">
      <c r="A7" t="inlineStr">
        <is>
          <t>Kampong Chhnang</t>
        </is>
      </c>
      <c r="B7" t="n">
        <v>441</v>
      </c>
      <c r="C7" t="n">
        <v>192</v>
      </c>
      <c r="D7" t="n">
        <v>4</v>
      </c>
      <c r="E7" t="n">
        <v>3</v>
      </c>
      <c r="F7" t="n">
        <v>349</v>
      </c>
      <c r="G7" t="n">
        <v>151</v>
      </c>
      <c r="H7" t="n">
        <v>3</v>
      </c>
      <c r="I7" t="n">
        <v>1</v>
      </c>
      <c r="J7" t="n">
        <v>331</v>
      </c>
      <c r="K7" t="n">
        <v>158</v>
      </c>
      <c r="L7" t="n">
        <v>1</v>
      </c>
      <c r="M7" t="n">
        <v>0</v>
      </c>
      <c r="N7" t="n">
        <v>299</v>
      </c>
      <c r="O7" t="n">
        <v>135</v>
      </c>
      <c r="P7" t="n">
        <v>0</v>
      </c>
      <c r="Q7" t="n">
        <v>0</v>
      </c>
      <c r="R7" t="n">
        <v>305</v>
      </c>
      <c r="S7" t="n">
        <v>151</v>
      </c>
      <c r="T7" t="n">
        <v>0</v>
      </c>
      <c r="U7" t="n">
        <v>0</v>
      </c>
      <c r="V7" t="n">
        <v>195</v>
      </c>
      <c r="W7" t="n">
        <v>88</v>
      </c>
      <c r="X7" t="n">
        <v>0</v>
      </c>
      <c r="Y7" t="n">
        <v>0</v>
      </c>
      <c r="Z7" t="n">
        <v>241</v>
      </c>
      <c r="AA7" t="n">
        <v>88</v>
      </c>
      <c r="AB7" t="n">
        <v>1</v>
      </c>
      <c r="AC7" t="n">
        <v>0</v>
      </c>
      <c r="AD7" t="n">
        <v>208</v>
      </c>
      <c r="AE7" t="n">
        <v>77</v>
      </c>
      <c r="AF7" t="n">
        <v>0</v>
      </c>
      <c r="AG7" t="n">
        <v>0</v>
      </c>
      <c r="AH7" t="n">
        <v>207</v>
      </c>
      <c r="AI7" t="n">
        <v>87</v>
      </c>
      <c r="AJ7" t="n">
        <v>0</v>
      </c>
      <c r="AK7" t="n">
        <v>0</v>
      </c>
      <c r="AL7" t="n">
        <v>137</v>
      </c>
      <c r="AM7" t="n">
        <v>46</v>
      </c>
      <c r="AN7" t="n">
        <v>0</v>
      </c>
      <c r="AO7" t="n">
        <v>0</v>
      </c>
      <c r="AP7" t="n">
        <v>127</v>
      </c>
      <c r="AQ7" t="n">
        <v>42</v>
      </c>
      <c r="AR7" t="n">
        <v>0</v>
      </c>
      <c r="AS7" t="n">
        <v>0</v>
      </c>
      <c r="AT7" t="n">
        <v>92</v>
      </c>
      <c r="AU7" t="n">
        <v>31</v>
      </c>
      <c r="AV7" t="n">
        <v>0</v>
      </c>
      <c r="AW7" t="n">
        <v>0</v>
      </c>
      <c r="AX7" t="n">
        <v>3706</v>
      </c>
      <c r="AY7" t="n">
        <v>1640</v>
      </c>
      <c r="AZ7" t="n">
        <v>9</v>
      </c>
      <c r="BA7" t="n">
        <v>4</v>
      </c>
    </row>
    <row r="8">
      <c r="A8" t="inlineStr">
        <is>
          <t>Kampong Speu</t>
        </is>
      </c>
      <c r="B8" t="n">
        <v>1287</v>
      </c>
      <c r="C8" t="n">
        <v>614</v>
      </c>
      <c r="D8" t="n">
        <v>52</v>
      </c>
      <c r="E8" t="n">
        <v>18</v>
      </c>
      <c r="F8" t="n">
        <v>1033</v>
      </c>
      <c r="G8" t="n">
        <v>512</v>
      </c>
      <c r="H8" t="n">
        <v>38</v>
      </c>
      <c r="I8" t="n">
        <v>10</v>
      </c>
      <c r="J8" t="n">
        <v>801</v>
      </c>
      <c r="K8" t="n">
        <v>376</v>
      </c>
      <c r="L8" t="n">
        <v>18</v>
      </c>
      <c r="M8" t="n">
        <v>4</v>
      </c>
      <c r="N8" t="n">
        <v>620</v>
      </c>
      <c r="O8" t="n">
        <v>303</v>
      </c>
      <c r="P8" t="n">
        <v>9</v>
      </c>
      <c r="Q8" t="n">
        <v>3</v>
      </c>
      <c r="R8" t="n">
        <v>466</v>
      </c>
      <c r="S8" t="n">
        <v>217</v>
      </c>
      <c r="T8" t="n">
        <v>13</v>
      </c>
      <c r="U8" t="n">
        <v>3</v>
      </c>
      <c r="V8" t="n">
        <v>338</v>
      </c>
      <c r="W8" t="n">
        <v>173</v>
      </c>
      <c r="X8" t="n">
        <v>0</v>
      </c>
      <c r="Y8" t="n">
        <v>0</v>
      </c>
      <c r="Z8" t="n">
        <v>329</v>
      </c>
      <c r="AA8" t="n">
        <v>146</v>
      </c>
      <c r="AB8" t="n">
        <v>0</v>
      </c>
      <c r="AC8" t="n">
        <v>0</v>
      </c>
      <c r="AD8" t="n">
        <v>198</v>
      </c>
      <c r="AE8" t="n">
        <v>97</v>
      </c>
      <c r="AF8" t="n">
        <v>0</v>
      </c>
      <c r="AG8" t="n">
        <v>0</v>
      </c>
      <c r="AH8" t="n">
        <v>182</v>
      </c>
      <c r="AI8" t="n">
        <v>104</v>
      </c>
      <c r="AJ8" t="n">
        <v>0</v>
      </c>
      <c r="AK8" t="n">
        <v>0</v>
      </c>
      <c r="AL8" t="n">
        <v>91</v>
      </c>
      <c r="AM8" t="n">
        <v>44</v>
      </c>
      <c r="AN8" t="n">
        <v>0</v>
      </c>
      <c r="AO8" t="n">
        <v>0</v>
      </c>
      <c r="AP8" t="n">
        <v>74</v>
      </c>
      <c r="AQ8" t="n">
        <v>33</v>
      </c>
      <c r="AR8" t="n">
        <v>0</v>
      </c>
      <c r="AS8" t="n">
        <v>0</v>
      </c>
      <c r="AT8" t="n">
        <v>74</v>
      </c>
      <c r="AU8" t="n">
        <v>43</v>
      </c>
      <c r="AV8" t="n">
        <v>6</v>
      </c>
      <c r="AW8" t="n">
        <v>3</v>
      </c>
      <c r="AX8" t="n">
        <v>7781</v>
      </c>
      <c r="AY8" t="n">
        <v>3746</v>
      </c>
      <c r="AZ8" t="n">
        <v>136</v>
      </c>
      <c r="BA8" t="n">
        <v>41</v>
      </c>
    </row>
    <row r="9">
      <c r="A9" t="inlineStr">
        <is>
          <t>Kampong Thom</t>
        </is>
      </c>
      <c r="B9" t="n">
        <v>899</v>
      </c>
      <c r="C9" t="n">
        <v>431</v>
      </c>
      <c r="D9" t="n">
        <v>35</v>
      </c>
      <c r="E9" t="n">
        <v>13</v>
      </c>
      <c r="F9" t="n">
        <v>647</v>
      </c>
      <c r="G9" t="n">
        <v>308</v>
      </c>
      <c r="H9" t="n">
        <v>41</v>
      </c>
      <c r="I9" t="n">
        <v>20</v>
      </c>
      <c r="J9" t="n">
        <v>425</v>
      </c>
      <c r="K9" t="n">
        <v>204</v>
      </c>
      <c r="L9" t="n">
        <v>30</v>
      </c>
      <c r="M9" t="n">
        <v>16</v>
      </c>
      <c r="N9" t="n">
        <v>385</v>
      </c>
      <c r="O9" t="n">
        <v>167</v>
      </c>
      <c r="P9" t="n">
        <v>15</v>
      </c>
      <c r="Q9" t="n">
        <v>7</v>
      </c>
      <c r="R9" t="n">
        <v>283</v>
      </c>
      <c r="S9" t="n">
        <v>144</v>
      </c>
      <c r="T9" t="n">
        <v>17</v>
      </c>
      <c r="U9" t="n">
        <v>11</v>
      </c>
      <c r="V9" t="n">
        <v>299</v>
      </c>
      <c r="W9" t="n">
        <v>156</v>
      </c>
      <c r="X9" t="n">
        <v>18</v>
      </c>
      <c r="Y9" t="n">
        <v>10</v>
      </c>
      <c r="Z9" t="n">
        <v>219</v>
      </c>
      <c r="AA9" t="n">
        <v>115</v>
      </c>
      <c r="AB9" t="n">
        <v>0</v>
      </c>
      <c r="AC9" t="n">
        <v>0</v>
      </c>
      <c r="AD9" t="n">
        <v>203</v>
      </c>
      <c r="AE9" t="n">
        <v>111</v>
      </c>
      <c r="AF9" t="n">
        <v>0</v>
      </c>
      <c r="AG9" t="n">
        <v>0</v>
      </c>
      <c r="AH9" t="n">
        <v>135</v>
      </c>
      <c r="AI9" t="n">
        <v>63</v>
      </c>
      <c r="AJ9" t="n">
        <v>3</v>
      </c>
      <c r="AK9" t="n">
        <v>0</v>
      </c>
      <c r="AL9" t="n">
        <v>91</v>
      </c>
      <c r="AM9" t="n">
        <v>43</v>
      </c>
      <c r="AN9" t="n">
        <v>0</v>
      </c>
      <c r="AO9" t="n">
        <v>0</v>
      </c>
      <c r="AP9" t="n">
        <v>88</v>
      </c>
      <c r="AQ9" t="n">
        <v>38</v>
      </c>
      <c r="AR9" t="n">
        <v>0</v>
      </c>
      <c r="AS9" t="n">
        <v>0</v>
      </c>
      <c r="AT9" t="n">
        <v>49</v>
      </c>
      <c r="AU9" t="n">
        <v>25</v>
      </c>
      <c r="AV9" t="n">
        <v>1</v>
      </c>
      <c r="AW9" t="n">
        <v>1</v>
      </c>
      <c r="AX9" t="n">
        <v>4551</v>
      </c>
      <c r="AY9" t="n">
        <v>2205</v>
      </c>
      <c r="AZ9" t="n">
        <v>160</v>
      </c>
      <c r="BA9" t="n">
        <v>78</v>
      </c>
    </row>
    <row r="10">
      <c r="A10" t="inlineStr">
        <is>
          <t>Kampot</t>
        </is>
      </c>
      <c r="B10" t="n">
        <v>1365</v>
      </c>
      <c r="C10" t="n">
        <v>723</v>
      </c>
      <c r="D10" t="n">
        <v>21</v>
      </c>
      <c r="E10" t="n">
        <v>10</v>
      </c>
      <c r="F10" t="n">
        <v>1077</v>
      </c>
      <c r="G10" t="n">
        <v>580</v>
      </c>
      <c r="H10" t="n">
        <v>18</v>
      </c>
      <c r="I10" t="n">
        <v>7</v>
      </c>
      <c r="J10" t="n">
        <v>1025</v>
      </c>
      <c r="K10" t="n">
        <v>549</v>
      </c>
      <c r="L10" t="n">
        <v>8</v>
      </c>
      <c r="M10" t="n">
        <v>7</v>
      </c>
      <c r="N10" t="n">
        <v>719</v>
      </c>
      <c r="O10" t="n">
        <v>382</v>
      </c>
      <c r="P10" t="n">
        <v>3</v>
      </c>
      <c r="Q10" t="n">
        <v>2</v>
      </c>
      <c r="R10" t="n">
        <v>492</v>
      </c>
      <c r="S10" t="n">
        <v>274</v>
      </c>
      <c r="T10" t="n">
        <v>1</v>
      </c>
      <c r="U10" t="n">
        <v>1</v>
      </c>
      <c r="V10" t="n">
        <v>442</v>
      </c>
      <c r="W10" t="n">
        <v>229</v>
      </c>
      <c r="X10" t="n">
        <v>5</v>
      </c>
      <c r="Y10" t="n">
        <v>5</v>
      </c>
      <c r="Z10" t="n">
        <v>597</v>
      </c>
      <c r="AA10" t="n">
        <v>300</v>
      </c>
      <c r="AB10" t="n">
        <v>12</v>
      </c>
      <c r="AC10" t="n">
        <v>11</v>
      </c>
      <c r="AD10" t="n">
        <v>449</v>
      </c>
      <c r="AE10" t="n">
        <v>221</v>
      </c>
      <c r="AF10" t="n">
        <v>3</v>
      </c>
      <c r="AG10" t="n">
        <v>1</v>
      </c>
      <c r="AH10" t="n">
        <v>502</v>
      </c>
      <c r="AI10" t="n">
        <v>250</v>
      </c>
      <c r="AJ10" t="n">
        <v>3</v>
      </c>
      <c r="AK10" t="n">
        <v>2</v>
      </c>
      <c r="AL10" t="n">
        <v>392</v>
      </c>
      <c r="AM10" t="n">
        <v>201</v>
      </c>
      <c r="AN10" t="n">
        <v>1</v>
      </c>
      <c r="AO10" t="n">
        <v>1</v>
      </c>
      <c r="AP10" t="n">
        <v>375</v>
      </c>
      <c r="AQ10" t="n">
        <v>215</v>
      </c>
      <c r="AR10" t="n">
        <v>0</v>
      </c>
      <c r="AS10" t="n">
        <v>0</v>
      </c>
      <c r="AT10" t="n">
        <v>379</v>
      </c>
      <c r="AU10" t="n">
        <v>195</v>
      </c>
      <c r="AV10" t="n">
        <v>0</v>
      </c>
      <c r="AW10" t="n">
        <v>0</v>
      </c>
      <c r="AX10" t="n">
        <v>8698</v>
      </c>
      <c r="AY10" t="n">
        <v>4592</v>
      </c>
      <c r="AZ10" t="n">
        <v>75</v>
      </c>
      <c r="BA10" t="n">
        <v>47</v>
      </c>
    </row>
    <row r="11">
      <c r="A11" t="inlineStr">
        <is>
          <t>Kandal</t>
        </is>
      </c>
      <c r="B11" t="n">
        <v>1844</v>
      </c>
      <c r="C11" t="n">
        <v>929</v>
      </c>
      <c r="D11" t="n">
        <v>73</v>
      </c>
      <c r="E11" t="n">
        <v>32</v>
      </c>
      <c r="F11" t="n">
        <v>1462</v>
      </c>
      <c r="G11" t="n">
        <v>735</v>
      </c>
      <c r="H11" t="n">
        <v>26</v>
      </c>
      <c r="I11" t="n">
        <v>12</v>
      </c>
      <c r="J11" t="n">
        <v>1338</v>
      </c>
      <c r="K11" t="n">
        <v>676</v>
      </c>
      <c r="L11" t="n">
        <v>37</v>
      </c>
      <c r="M11" t="n">
        <v>14</v>
      </c>
      <c r="N11" t="n">
        <v>1149</v>
      </c>
      <c r="O11" t="n">
        <v>601</v>
      </c>
      <c r="P11" t="n">
        <v>20</v>
      </c>
      <c r="Q11" t="n">
        <v>8</v>
      </c>
      <c r="R11" t="n">
        <v>906</v>
      </c>
      <c r="S11" t="n">
        <v>446</v>
      </c>
      <c r="T11" t="n">
        <v>28</v>
      </c>
      <c r="U11" t="n">
        <v>12</v>
      </c>
      <c r="V11" t="n">
        <v>763</v>
      </c>
      <c r="W11" t="n">
        <v>426</v>
      </c>
      <c r="X11" t="n">
        <v>22</v>
      </c>
      <c r="Y11" t="n">
        <v>7</v>
      </c>
      <c r="Z11" t="n">
        <v>879</v>
      </c>
      <c r="AA11" t="n">
        <v>367</v>
      </c>
      <c r="AB11" t="n">
        <v>4</v>
      </c>
      <c r="AC11" t="n">
        <v>2</v>
      </c>
      <c r="AD11" t="n">
        <v>805</v>
      </c>
      <c r="AE11" t="n">
        <v>388</v>
      </c>
      <c r="AF11" t="n">
        <v>2</v>
      </c>
      <c r="AG11" t="n">
        <v>1</v>
      </c>
      <c r="AH11" t="n">
        <v>772</v>
      </c>
      <c r="AI11" t="n">
        <v>379</v>
      </c>
      <c r="AJ11" t="n">
        <v>2</v>
      </c>
      <c r="AK11" t="n">
        <v>0</v>
      </c>
      <c r="AL11" t="n">
        <v>648</v>
      </c>
      <c r="AM11" t="n">
        <v>316</v>
      </c>
      <c r="AN11" t="n">
        <v>1</v>
      </c>
      <c r="AO11" t="n">
        <v>1</v>
      </c>
      <c r="AP11" t="n">
        <v>512</v>
      </c>
      <c r="AQ11" t="n">
        <v>221</v>
      </c>
      <c r="AR11" t="n">
        <v>2</v>
      </c>
      <c r="AS11" t="n">
        <v>0</v>
      </c>
      <c r="AT11" t="n">
        <v>494</v>
      </c>
      <c r="AU11" t="n">
        <v>241</v>
      </c>
      <c r="AV11" t="n">
        <v>5</v>
      </c>
      <c r="AW11" t="n">
        <v>1</v>
      </c>
      <c r="AX11" t="n">
        <v>14542</v>
      </c>
      <c r="AY11" t="n">
        <v>7164</v>
      </c>
      <c r="AZ11" t="n">
        <v>222</v>
      </c>
      <c r="BA11" t="n">
        <v>90</v>
      </c>
    </row>
    <row r="12">
      <c r="A12" t="inlineStr">
        <is>
          <t>Kep</t>
        </is>
      </c>
      <c r="B12" t="n">
        <v>214</v>
      </c>
      <c r="C12" t="n">
        <v>116</v>
      </c>
      <c r="D12" t="n">
        <v>0</v>
      </c>
      <c r="E12" t="n">
        <v>0</v>
      </c>
      <c r="F12" t="n">
        <v>135</v>
      </c>
      <c r="G12" t="n">
        <v>82</v>
      </c>
      <c r="H12" t="n">
        <v>0</v>
      </c>
      <c r="I12" t="n">
        <v>0</v>
      </c>
      <c r="J12" t="n">
        <v>83</v>
      </c>
      <c r="K12" t="n">
        <v>49</v>
      </c>
      <c r="L12" t="n">
        <v>0</v>
      </c>
      <c r="M12" t="n">
        <v>0</v>
      </c>
      <c r="N12" t="n">
        <v>32</v>
      </c>
      <c r="O12" t="n">
        <v>17</v>
      </c>
      <c r="P12" t="n">
        <v>0</v>
      </c>
      <c r="Q12" t="n">
        <v>0</v>
      </c>
      <c r="R12" t="n">
        <v>19</v>
      </c>
      <c r="S12" t="n">
        <v>12</v>
      </c>
      <c r="T12" t="n">
        <v>0</v>
      </c>
      <c r="U12" t="n">
        <v>0</v>
      </c>
      <c r="V12" t="n">
        <v>16</v>
      </c>
      <c r="W12" t="n">
        <v>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536</v>
      </c>
      <c r="AY12" t="n">
        <v>300</v>
      </c>
      <c r="AZ12" t="n">
        <v>0</v>
      </c>
      <c r="BA12" t="n">
        <v>0</v>
      </c>
    </row>
    <row r="13">
      <c r="A13" t="inlineStr">
        <is>
          <t>Koh Kong</t>
        </is>
      </c>
      <c r="B13" t="n">
        <v>430</v>
      </c>
      <c r="C13" t="n">
        <v>218</v>
      </c>
      <c r="D13" t="n">
        <v>2</v>
      </c>
      <c r="E13" t="n">
        <v>1</v>
      </c>
      <c r="F13" t="n">
        <v>283</v>
      </c>
      <c r="G13" t="n">
        <v>157</v>
      </c>
      <c r="H13" t="n">
        <v>3</v>
      </c>
      <c r="I13" t="n">
        <v>1</v>
      </c>
      <c r="J13" t="n">
        <v>305</v>
      </c>
      <c r="K13" t="n">
        <v>145</v>
      </c>
      <c r="L13" t="n">
        <v>2</v>
      </c>
      <c r="M13" t="n">
        <v>1</v>
      </c>
      <c r="N13" t="n">
        <v>234</v>
      </c>
      <c r="O13" t="n">
        <v>121</v>
      </c>
      <c r="P13" t="n">
        <v>2</v>
      </c>
      <c r="Q13" t="n">
        <v>1</v>
      </c>
      <c r="R13" t="n">
        <v>193</v>
      </c>
      <c r="S13" t="n">
        <v>106</v>
      </c>
      <c r="T13" t="n">
        <v>1</v>
      </c>
      <c r="U13" t="n">
        <v>0</v>
      </c>
      <c r="V13" t="n">
        <v>166</v>
      </c>
      <c r="W13" t="n">
        <v>87</v>
      </c>
      <c r="X13" t="n">
        <v>0</v>
      </c>
      <c r="Y13" t="n">
        <v>0</v>
      </c>
      <c r="Z13" t="n">
        <v>46</v>
      </c>
      <c r="AA13" t="n">
        <v>28</v>
      </c>
      <c r="AB13" t="n">
        <v>0</v>
      </c>
      <c r="AC13" t="n">
        <v>0</v>
      </c>
      <c r="AD13" t="n">
        <v>52</v>
      </c>
      <c r="AE13" t="n">
        <v>18</v>
      </c>
      <c r="AF13" t="n">
        <v>0</v>
      </c>
      <c r="AG13" t="n">
        <v>0</v>
      </c>
      <c r="AH13" t="n">
        <v>61</v>
      </c>
      <c r="AI13" t="n">
        <v>35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2307</v>
      </c>
      <c r="AY13" t="n">
        <v>1189</v>
      </c>
      <c r="AZ13" t="n">
        <v>10</v>
      </c>
      <c r="BA13" t="n">
        <v>4</v>
      </c>
    </row>
    <row r="14">
      <c r="A14" t="inlineStr">
        <is>
          <t>Kratie</t>
        </is>
      </c>
      <c r="B14" t="n">
        <v>523</v>
      </c>
      <c r="C14" t="n">
        <v>319</v>
      </c>
      <c r="D14" t="n">
        <v>0</v>
      </c>
      <c r="E14" t="n">
        <v>0</v>
      </c>
      <c r="F14" t="n">
        <v>168</v>
      </c>
      <c r="G14" t="n">
        <v>97</v>
      </c>
      <c r="H14" t="n">
        <v>2</v>
      </c>
      <c r="I14" t="n">
        <v>0</v>
      </c>
      <c r="J14" t="n">
        <v>104</v>
      </c>
      <c r="K14" t="n">
        <v>63</v>
      </c>
      <c r="L14" t="n">
        <v>0</v>
      </c>
      <c r="M14" t="n">
        <v>0</v>
      </c>
      <c r="N14" t="n">
        <v>43</v>
      </c>
      <c r="O14" t="n">
        <v>16</v>
      </c>
      <c r="P14" t="n">
        <v>0</v>
      </c>
      <c r="Q14" t="n">
        <v>0</v>
      </c>
      <c r="R14" t="n">
        <v>39</v>
      </c>
      <c r="S14" t="n">
        <v>18</v>
      </c>
      <c r="T14" t="n">
        <v>1</v>
      </c>
      <c r="U14" t="n">
        <v>0</v>
      </c>
      <c r="V14" t="n">
        <v>15</v>
      </c>
      <c r="W14" t="n">
        <v>5</v>
      </c>
      <c r="X14" t="n">
        <v>0</v>
      </c>
      <c r="Y14" t="n">
        <v>0</v>
      </c>
      <c r="Z14" t="n">
        <v>21</v>
      </c>
      <c r="AA14" t="n">
        <v>12</v>
      </c>
      <c r="AB14" t="n">
        <v>0</v>
      </c>
      <c r="AC14" t="n">
        <v>0</v>
      </c>
      <c r="AD14" t="n">
        <v>13</v>
      </c>
      <c r="AE14" t="n">
        <v>6</v>
      </c>
      <c r="AF14" t="n">
        <v>0</v>
      </c>
      <c r="AG14" t="n">
        <v>0</v>
      </c>
      <c r="AH14" t="n">
        <v>24</v>
      </c>
      <c r="AI14" t="n">
        <v>11</v>
      </c>
      <c r="AJ14" t="n">
        <v>0</v>
      </c>
      <c r="AK14" t="n">
        <v>0</v>
      </c>
      <c r="AL14" t="n">
        <v>14</v>
      </c>
      <c r="AM14" t="n">
        <v>4</v>
      </c>
      <c r="AN14" t="n">
        <v>0</v>
      </c>
      <c r="AO14" t="n">
        <v>0</v>
      </c>
      <c r="AP14" t="n">
        <v>20</v>
      </c>
      <c r="AQ14" t="n">
        <v>13</v>
      </c>
      <c r="AR14" t="n">
        <v>0</v>
      </c>
      <c r="AS14" t="n">
        <v>0</v>
      </c>
      <c r="AT14" t="n">
        <v>25</v>
      </c>
      <c r="AU14" t="n">
        <v>14</v>
      </c>
      <c r="AV14" t="n">
        <v>1</v>
      </c>
      <c r="AW14" t="n">
        <v>1</v>
      </c>
      <c r="AX14" t="n">
        <v>1192</v>
      </c>
      <c r="AY14" t="n">
        <v>662</v>
      </c>
      <c r="AZ14" t="n">
        <v>4</v>
      </c>
      <c r="BA14" t="n">
        <v>1</v>
      </c>
    </row>
    <row r="15">
      <c r="A15" t="inlineStr">
        <is>
          <t>Mondul Kiri</t>
        </is>
      </c>
      <c r="B15" t="n">
        <v>94</v>
      </c>
      <c r="C15" t="n">
        <v>44</v>
      </c>
      <c r="D15" t="n">
        <v>3</v>
      </c>
      <c r="E15" t="n">
        <v>2</v>
      </c>
      <c r="F15" t="n">
        <v>59</v>
      </c>
      <c r="G15" t="n">
        <v>27</v>
      </c>
      <c r="H15" t="n">
        <v>1</v>
      </c>
      <c r="I15" t="n">
        <v>1</v>
      </c>
      <c r="J15" t="n">
        <v>56</v>
      </c>
      <c r="K15" t="n">
        <v>20</v>
      </c>
      <c r="L15" t="n">
        <v>1</v>
      </c>
      <c r="M15" t="n">
        <v>0</v>
      </c>
      <c r="N15" t="n">
        <v>39</v>
      </c>
      <c r="O15" t="n">
        <v>20</v>
      </c>
      <c r="P15" t="n">
        <v>0</v>
      </c>
      <c r="Q15" t="n">
        <v>0</v>
      </c>
      <c r="R15" t="n">
        <v>32</v>
      </c>
      <c r="S15" t="n">
        <v>14</v>
      </c>
      <c r="T15" t="n">
        <v>1</v>
      </c>
      <c r="U15" t="n">
        <v>0</v>
      </c>
      <c r="V15" t="n">
        <v>23</v>
      </c>
      <c r="W15" t="n">
        <v>11</v>
      </c>
      <c r="X15" t="n">
        <v>0</v>
      </c>
      <c r="Y15" t="n">
        <v>0</v>
      </c>
      <c r="Z15" t="n">
        <v>35</v>
      </c>
      <c r="AA15" t="n">
        <v>12</v>
      </c>
      <c r="AB15" t="n">
        <v>2</v>
      </c>
      <c r="AC15" t="n">
        <v>1</v>
      </c>
      <c r="AD15" t="n">
        <v>37</v>
      </c>
      <c r="AE15" t="n">
        <v>14</v>
      </c>
      <c r="AF15" t="n">
        <v>0</v>
      </c>
      <c r="AG15" t="n">
        <v>0</v>
      </c>
      <c r="AH15" t="n">
        <v>29</v>
      </c>
      <c r="AI15" t="n">
        <v>12</v>
      </c>
      <c r="AJ15" t="n">
        <v>0</v>
      </c>
      <c r="AK15" t="n">
        <v>0</v>
      </c>
      <c r="AL15" t="n">
        <v>18</v>
      </c>
      <c r="AM15" t="n">
        <v>10</v>
      </c>
      <c r="AN15" t="n">
        <v>0</v>
      </c>
      <c r="AO15" t="n">
        <v>0</v>
      </c>
      <c r="AP15" t="n">
        <v>15</v>
      </c>
      <c r="AQ15" t="n">
        <v>5</v>
      </c>
      <c r="AR15" t="n">
        <v>0</v>
      </c>
      <c r="AS15" t="n">
        <v>0</v>
      </c>
      <c r="AT15" t="n">
        <v>13</v>
      </c>
      <c r="AU15" t="n">
        <v>7</v>
      </c>
      <c r="AV15" t="n">
        <v>0</v>
      </c>
      <c r="AW15" t="n">
        <v>0</v>
      </c>
      <c r="AX15" t="n">
        <v>550</v>
      </c>
      <c r="AY15" t="n">
        <v>251</v>
      </c>
      <c r="AZ15" t="n">
        <v>8</v>
      </c>
      <c r="BA15" t="n">
        <v>4</v>
      </c>
    </row>
    <row r="16">
      <c r="A16" t="inlineStr">
        <is>
          <t>Otdar Meanchey</t>
        </is>
      </c>
      <c r="B16" t="n">
        <v>445</v>
      </c>
      <c r="C16" t="n">
        <v>211</v>
      </c>
      <c r="D16" t="n">
        <v>16</v>
      </c>
      <c r="E16" t="n">
        <v>7</v>
      </c>
      <c r="F16" t="n">
        <v>334</v>
      </c>
      <c r="G16" t="n">
        <v>156</v>
      </c>
      <c r="H16" t="n">
        <v>14</v>
      </c>
      <c r="I16" t="n">
        <v>3</v>
      </c>
      <c r="J16" t="n">
        <v>262</v>
      </c>
      <c r="K16" t="n">
        <v>111</v>
      </c>
      <c r="L16" t="n">
        <v>4</v>
      </c>
      <c r="M16" t="n">
        <v>2</v>
      </c>
      <c r="N16" t="n">
        <v>298</v>
      </c>
      <c r="O16" t="n">
        <v>125</v>
      </c>
      <c r="P16" t="n">
        <v>0</v>
      </c>
      <c r="Q16" t="n">
        <v>0</v>
      </c>
      <c r="R16" t="n">
        <v>202</v>
      </c>
      <c r="S16" t="n">
        <v>102</v>
      </c>
      <c r="T16" t="n">
        <v>0</v>
      </c>
      <c r="U16" t="n">
        <v>0</v>
      </c>
      <c r="V16" t="n">
        <v>157</v>
      </c>
      <c r="W16" t="n">
        <v>70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2008</v>
      </c>
      <c r="AY16" t="n">
        <v>930</v>
      </c>
      <c r="AZ16" t="n">
        <v>34</v>
      </c>
      <c r="BA16" t="n">
        <v>12</v>
      </c>
    </row>
    <row r="17">
      <c r="A17" t="inlineStr">
        <is>
          <t>Pailin</t>
        </is>
      </c>
      <c r="B17" t="n">
        <v>340</v>
      </c>
      <c r="C17" t="n">
        <v>167</v>
      </c>
      <c r="D17" t="n">
        <v>10</v>
      </c>
      <c r="E17" t="n">
        <v>4</v>
      </c>
      <c r="F17" t="n">
        <v>264</v>
      </c>
      <c r="G17" t="n">
        <v>127</v>
      </c>
      <c r="H17" t="n">
        <v>3</v>
      </c>
      <c r="I17" t="n">
        <v>1</v>
      </c>
      <c r="J17" t="n">
        <v>229</v>
      </c>
      <c r="K17" t="n">
        <v>105</v>
      </c>
      <c r="L17" t="n">
        <v>2</v>
      </c>
      <c r="M17" t="n">
        <v>1</v>
      </c>
      <c r="N17" t="n">
        <v>148</v>
      </c>
      <c r="O17" t="n">
        <v>69</v>
      </c>
      <c r="P17" t="n">
        <v>0</v>
      </c>
      <c r="Q17" t="n">
        <v>0</v>
      </c>
      <c r="R17" t="n">
        <v>134</v>
      </c>
      <c r="S17" t="n">
        <v>67</v>
      </c>
      <c r="T17" t="n">
        <v>2</v>
      </c>
      <c r="U17" t="n">
        <v>1</v>
      </c>
      <c r="V17" t="n">
        <v>124</v>
      </c>
      <c r="W17" t="n">
        <v>73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1721</v>
      </c>
      <c r="AY17" t="n">
        <v>835</v>
      </c>
      <c r="AZ17" t="n">
        <v>17</v>
      </c>
      <c r="BA17" t="n">
        <v>7</v>
      </c>
    </row>
    <row r="18">
      <c r="A18" t="inlineStr">
        <is>
          <t>Phnom Penh</t>
        </is>
      </c>
      <c r="B18" t="n">
        <v>14064</v>
      </c>
      <c r="C18" t="n">
        <v>6772</v>
      </c>
      <c r="D18" t="n">
        <v>303</v>
      </c>
      <c r="E18" t="n">
        <v>152</v>
      </c>
      <c r="F18" t="n">
        <v>11589</v>
      </c>
      <c r="G18" t="n">
        <v>5851</v>
      </c>
      <c r="H18" t="n">
        <v>181</v>
      </c>
      <c r="I18" t="n">
        <v>101</v>
      </c>
      <c r="J18" t="n">
        <v>10893</v>
      </c>
      <c r="K18" t="n">
        <v>5401</v>
      </c>
      <c r="L18" t="n">
        <v>236</v>
      </c>
      <c r="M18" t="n">
        <v>114</v>
      </c>
      <c r="N18" t="n">
        <v>10790</v>
      </c>
      <c r="O18" t="n">
        <v>5318</v>
      </c>
      <c r="P18" t="n">
        <v>127</v>
      </c>
      <c r="Q18" t="n">
        <v>64</v>
      </c>
      <c r="R18" t="n">
        <v>9139</v>
      </c>
      <c r="S18" t="n">
        <v>4563</v>
      </c>
      <c r="T18" t="n">
        <v>110</v>
      </c>
      <c r="U18" t="n">
        <v>53</v>
      </c>
      <c r="V18" t="n">
        <v>7473</v>
      </c>
      <c r="W18" t="n">
        <v>3832</v>
      </c>
      <c r="X18" t="n">
        <v>54</v>
      </c>
      <c r="Y18" t="n">
        <v>51</v>
      </c>
      <c r="Z18" t="n">
        <v>7696</v>
      </c>
      <c r="AA18" t="n">
        <v>3857</v>
      </c>
      <c r="AB18" t="n">
        <v>53</v>
      </c>
      <c r="AC18" t="n">
        <v>32</v>
      </c>
      <c r="AD18" t="n">
        <v>7213</v>
      </c>
      <c r="AE18" t="n">
        <v>3686</v>
      </c>
      <c r="AF18" t="n">
        <v>43</v>
      </c>
      <c r="AG18" t="n">
        <v>15</v>
      </c>
      <c r="AH18" t="n">
        <v>6721</v>
      </c>
      <c r="AI18" t="n">
        <v>3614</v>
      </c>
      <c r="AJ18" t="n">
        <v>48</v>
      </c>
      <c r="AK18" t="n">
        <v>17</v>
      </c>
      <c r="AL18" t="n">
        <v>5461</v>
      </c>
      <c r="AM18" t="n">
        <v>2750</v>
      </c>
      <c r="AN18" t="n">
        <v>14</v>
      </c>
      <c r="AO18" t="n">
        <v>5</v>
      </c>
      <c r="AP18" t="n">
        <v>5026</v>
      </c>
      <c r="AQ18" t="n">
        <v>2623</v>
      </c>
      <c r="AR18" t="n">
        <v>11</v>
      </c>
      <c r="AS18" t="n">
        <v>4</v>
      </c>
      <c r="AT18" t="n">
        <v>4482</v>
      </c>
      <c r="AU18" t="n">
        <v>2366</v>
      </c>
      <c r="AV18" t="n">
        <v>7</v>
      </c>
      <c r="AW18" t="n">
        <v>0</v>
      </c>
      <c r="AX18" t="n">
        <v>117304</v>
      </c>
      <c r="AY18" t="n">
        <v>59085</v>
      </c>
      <c r="AZ18" t="n">
        <v>1187</v>
      </c>
      <c r="BA18" t="n">
        <v>608</v>
      </c>
    </row>
    <row r="19">
      <c r="A19" t="inlineStr">
        <is>
          <t>Preah Sihanouk</t>
        </is>
      </c>
      <c r="B19" t="n">
        <v>1346</v>
      </c>
      <c r="C19" t="n">
        <v>654</v>
      </c>
      <c r="D19" t="n">
        <v>112</v>
      </c>
      <c r="E19" t="n">
        <v>53</v>
      </c>
      <c r="F19" t="n">
        <v>1034</v>
      </c>
      <c r="G19" t="n">
        <v>507</v>
      </c>
      <c r="H19" t="n">
        <v>36</v>
      </c>
      <c r="I19" t="n">
        <v>14</v>
      </c>
      <c r="J19" t="n">
        <v>795</v>
      </c>
      <c r="K19" t="n">
        <v>373</v>
      </c>
      <c r="L19" t="n">
        <v>13</v>
      </c>
      <c r="M19" t="n">
        <v>2</v>
      </c>
      <c r="N19" t="n">
        <v>644</v>
      </c>
      <c r="O19" t="n">
        <v>345</v>
      </c>
      <c r="P19" t="n">
        <v>11</v>
      </c>
      <c r="Q19" t="n">
        <v>4</v>
      </c>
      <c r="R19" t="n">
        <v>590</v>
      </c>
      <c r="S19" t="n">
        <v>276</v>
      </c>
      <c r="T19" t="n">
        <v>2</v>
      </c>
      <c r="U19" t="n">
        <v>0</v>
      </c>
      <c r="V19" t="n">
        <v>453</v>
      </c>
      <c r="W19" t="n">
        <v>226</v>
      </c>
      <c r="X19" t="n">
        <v>5</v>
      </c>
      <c r="Y19" t="n">
        <v>2</v>
      </c>
      <c r="Z19" t="n">
        <v>418</v>
      </c>
      <c r="AA19" t="n">
        <v>189</v>
      </c>
      <c r="AB19" t="n">
        <v>0</v>
      </c>
      <c r="AC19" t="n">
        <v>0</v>
      </c>
      <c r="AD19" t="n">
        <v>383</v>
      </c>
      <c r="AE19" t="n">
        <v>187</v>
      </c>
      <c r="AF19" t="n">
        <v>0</v>
      </c>
      <c r="AG19" t="n">
        <v>0</v>
      </c>
      <c r="AH19" t="n">
        <v>372</v>
      </c>
      <c r="AI19" t="n">
        <v>174</v>
      </c>
      <c r="AJ19" t="n">
        <v>4</v>
      </c>
      <c r="AK19" t="n">
        <v>1</v>
      </c>
      <c r="AL19" t="n">
        <v>311</v>
      </c>
      <c r="AM19" t="n">
        <v>145</v>
      </c>
      <c r="AN19" t="n">
        <v>0</v>
      </c>
      <c r="AO19" t="n">
        <v>0</v>
      </c>
      <c r="AP19" t="n">
        <v>256</v>
      </c>
      <c r="AQ19" t="n">
        <v>115</v>
      </c>
      <c r="AR19" t="n">
        <v>0</v>
      </c>
      <c r="AS19" t="n">
        <v>0</v>
      </c>
      <c r="AT19" t="n">
        <v>266</v>
      </c>
      <c r="AU19" t="n">
        <v>128</v>
      </c>
      <c r="AV19" t="n">
        <v>1</v>
      </c>
      <c r="AW19" t="n">
        <v>0</v>
      </c>
      <c r="AX19" t="n">
        <v>8573</v>
      </c>
      <c r="AY19" t="n">
        <v>4126</v>
      </c>
      <c r="AZ19" t="n">
        <v>184</v>
      </c>
      <c r="BA19" t="n">
        <v>76</v>
      </c>
    </row>
    <row r="20">
      <c r="A20" t="inlineStr">
        <is>
          <t>Preah Vihear</t>
        </is>
      </c>
      <c r="B20" t="n">
        <v>63</v>
      </c>
      <c r="C20" t="n">
        <v>26</v>
      </c>
      <c r="D20" t="n">
        <v>3</v>
      </c>
      <c r="E20" t="n">
        <v>1</v>
      </c>
      <c r="F20" t="n">
        <v>18</v>
      </c>
      <c r="G20" t="n">
        <v>14</v>
      </c>
      <c r="H20" t="n">
        <v>0</v>
      </c>
      <c r="I20" t="n">
        <v>0</v>
      </c>
      <c r="J20" t="n">
        <v>11</v>
      </c>
      <c r="K20" t="n">
        <v>5</v>
      </c>
      <c r="L20" t="n">
        <v>1</v>
      </c>
      <c r="M20" t="n">
        <v>0</v>
      </c>
      <c r="N20" t="n">
        <v>14</v>
      </c>
      <c r="O20" t="n">
        <v>8</v>
      </c>
      <c r="P20" t="n">
        <v>0</v>
      </c>
      <c r="Q20" t="n">
        <v>0</v>
      </c>
      <c r="R20" t="n">
        <v>13</v>
      </c>
      <c r="S20" t="n">
        <v>5</v>
      </c>
      <c r="T20" t="n">
        <v>0</v>
      </c>
      <c r="U20" t="n">
        <v>0</v>
      </c>
      <c r="V20" t="n">
        <v>7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180</v>
      </c>
      <c r="AY20" t="n">
        <v>83</v>
      </c>
      <c r="AZ20" t="n">
        <v>4</v>
      </c>
      <c r="BA20" t="n">
        <v>1</v>
      </c>
    </row>
    <row r="21">
      <c r="A21" t="inlineStr">
        <is>
          <t>Prey Veng</t>
        </is>
      </c>
      <c r="B21" t="n">
        <v>14</v>
      </c>
      <c r="C21" t="n">
        <v>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</v>
      </c>
      <c r="K21" t="n">
        <v>4</v>
      </c>
      <c r="L21" t="n">
        <v>0</v>
      </c>
      <c r="M21" t="n">
        <v>0</v>
      </c>
      <c r="N21" t="n">
        <v>7</v>
      </c>
      <c r="O21" t="n">
        <v>5</v>
      </c>
      <c r="P21" t="n">
        <v>0</v>
      </c>
      <c r="Q21" t="n">
        <v>0</v>
      </c>
      <c r="R21" t="n">
        <v>2</v>
      </c>
      <c r="S21" t="n">
        <v>1</v>
      </c>
      <c r="T21" t="n">
        <v>0</v>
      </c>
      <c r="U21" t="n">
        <v>0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45</v>
      </c>
      <c r="AM21" t="n">
        <v>29</v>
      </c>
      <c r="AN21" t="n">
        <v>0</v>
      </c>
      <c r="AO21" t="n">
        <v>0</v>
      </c>
      <c r="AP21" t="n">
        <v>45</v>
      </c>
      <c r="AQ21" t="n">
        <v>26</v>
      </c>
      <c r="AR21" t="n">
        <v>0</v>
      </c>
      <c r="AS21" t="n">
        <v>0</v>
      </c>
      <c r="AT21" t="n">
        <v>45</v>
      </c>
      <c r="AU21" t="n">
        <v>31</v>
      </c>
      <c r="AV21" t="n">
        <v>0</v>
      </c>
      <c r="AW21" t="n">
        <v>0</v>
      </c>
      <c r="AX21" t="n">
        <v>247</v>
      </c>
      <c r="AY21" t="n">
        <v>145</v>
      </c>
      <c r="AZ21" t="n">
        <v>0</v>
      </c>
      <c r="BA21" t="n">
        <v>0</v>
      </c>
    </row>
    <row r="22">
      <c r="A22" t="inlineStr">
        <is>
          <t>Pursat</t>
        </is>
      </c>
      <c r="B22" t="n">
        <v>61</v>
      </c>
      <c r="C22" t="n">
        <v>35</v>
      </c>
      <c r="D22" t="n">
        <v>0</v>
      </c>
      <c r="E22" t="n">
        <v>0</v>
      </c>
      <c r="F22" t="n">
        <v>34</v>
      </c>
      <c r="G22" t="n">
        <v>19</v>
      </c>
      <c r="H22" t="n">
        <v>0</v>
      </c>
      <c r="I22" t="n">
        <v>0</v>
      </c>
      <c r="J22" t="n">
        <v>16</v>
      </c>
      <c r="K22" t="n">
        <v>8</v>
      </c>
      <c r="L22" t="n">
        <v>0</v>
      </c>
      <c r="M22" t="n">
        <v>0</v>
      </c>
      <c r="N22" t="n">
        <v>8</v>
      </c>
      <c r="O22" t="n">
        <v>4</v>
      </c>
      <c r="P22" t="n">
        <v>0</v>
      </c>
      <c r="Q22" t="n">
        <v>0</v>
      </c>
      <c r="R22" t="n">
        <v>3</v>
      </c>
      <c r="S22" t="n">
        <v>1</v>
      </c>
      <c r="T22" t="n">
        <v>0</v>
      </c>
      <c r="U22" t="n">
        <v>0</v>
      </c>
      <c r="V22" t="n">
        <v>8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710</v>
      </c>
      <c r="AY22" t="n">
        <v>366</v>
      </c>
      <c r="AZ22" t="n">
        <v>0</v>
      </c>
      <c r="BA22" t="n">
        <v>0</v>
      </c>
    </row>
    <row r="23">
      <c r="A23" t="inlineStr">
        <is>
          <t>Ratanak Kiri</t>
        </is>
      </c>
      <c r="B23" t="n">
        <v>343</v>
      </c>
      <c r="C23" t="n">
        <v>140</v>
      </c>
      <c r="D23" t="n">
        <v>0</v>
      </c>
      <c r="E23" t="n">
        <v>0</v>
      </c>
      <c r="F23" t="n">
        <v>212</v>
      </c>
      <c r="G23" t="n">
        <v>88</v>
      </c>
      <c r="H23" t="n">
        <v>0</v>
      </c>
      <c r="I23" t="n">
        <v>0</v>
      </c>
      <c r="J23" t="n">
        <v>135</v>
      </c>
      <c r="K23" t="n">
        <v>77</v>
      </c>
      <c r="L23" t="n">
        <v>0</v>
      </c>
      <c r="M23" t="n">
        <v>0</v>
      </c>
      <c r="N23" t="n">
        <v>168</v>
      </c>
      <c r="O23" t="n">
        <v>83</v>
      </c>
      <c r="P23" t="n">
        <v>0</v>
      </c>
      <c r="Q23" t="n">
        <v>0</v>
      </c>
      <c r="R23" t="n">
        <v>160</v>
      </c>
      <c r="S23" t="n">
        <v>89</v>
      </c>
      <c r="T23" t="n">
        <v>0</v>
      </c>
      <c r="U23" t="n">
        <v>0</v>
      </c>
      <c r="V23" t="n">
        <v>117</v>
      </c>
      <c r="W23" t="n">
        <v>61</v>
      </c>
      <c r="X23" t="n">
        <v>0</v>
      </c>
      <c r="Y23" t="n">
        <v>0</v>
      </c>
      <c r="Z23" t="n">
        <v>125</v>
      </c>
      <c r="AA23" t="n">
        <v>51</v>
      </c>
      <c r="AB23" t="n">
        <v>0</v>
      </c>
      <c r="AC23" t="n">
        <v>0</v>
      </c>
      <c r="AD23" t="n">
        <v>102</v>
      </c>
      <c r="AE23" t="n">
        <v>48</v>
      </c>
      <c r="AF23" t="n">
        <v>1</v>
      </c>
      <c r="AG23" t="n">
        <v>0</v>
      </c>
      <c r="AH23" t="n">
        <v>86</v>
      </c>
      <c r="AI23" t="n">
        <v>40</v>
      </c>
      <c r="AJ23" t="n">
        <v>0</v>
      </c>
      <c r="AK23" t="n">
        <v>0</v>
      </c>
      <c r="AL23" t="n">
        <v>76</v>
      </c>
      <c r="AM23" t="n">
        <v>29</v>
      </c>
      <c r="AN23" t="n">
        <v>0</v>
      </c>
      <c r="AO23" t="n">
        <v>0</v>
      </c>
      <c r="AP23" t="n">
        <v>75</v>
      </c>
      <c r="AQ23" t="n">
        <v>31</v>
      </c>
      <c r="AR23" t="n">
        <v>0</v>
      </c>
      <c r="AS23" t="n">
        <v>0</v>
      </c>
      <c r="AT23" t="n">
        <v>73</v>
      </c>
      <c r="AU23" t="n">
        <v>36</v>
      </c>
      <c r="AV23" t="n">
        <v>0</v>
      </c>
      <c r="AW23" t="n">
        <v>0</v>
      </c>
      <c r="AX23" t="n">
        <v>2197</v>
      </c>
      <c r="AY23" t="n">
        <v>1041</v>
      </c>
      <c r="AZ23" t="n">
        <v>1</v>
      </c>
      <c r="BA23" t="n">
        <v>0</v>
      </c>
    </row>
    <row r="24">
      <c r="A24" t="inlineStr">
        <is>
          <t>Siemreap</t>
        </is>
      </c>
      <c r="B24" t="n">
        <v>1499</v>
      </c>
      <c r="C24" t="n">
        <v>772</v>
      </c>
      <c r="D24" t="n">
        <v>72</v>
      </c>
      <c r="E24" t="n">
        <v>37</v>
      </c>
      <c r="F24" t="n">
        <v>1060</v>
      </c>
      <c r="G24" t="n">
        <v>519</v>
      </c>
      <c r="H24" t="n">
        <v>24</v>
      </c>
      <c r="I24" t="n">
        <v>8</v>
      </c>
      <c r="J24" t="n">
        <v>1033</v>
      </c>
      <c r="K24" t="n">
        <v>467</v>
      </c>
      <c r="L24" t="n">
        <v>20</v>
      </c>
      <c r="M24" t="n">
        <v>7</v>
      </c>
      <c r="N24" t="n">
        <v>1085</v>
      </c>
      <c r="O24" t="n">
        <v>516</v>
      </c>
      <c r="P24" t="n">
        <v>4</v>
      </c>
      <c r="Q24" t="n">
        <v>1</v>
      </c>
      <c r="R24" t="n">
        <v>851</v>
      </c>
      <c r="S24" t="n">
        <v>425</v>
      </c>
      <c r="T24" t="n">
        <v>19</v>
      </c>
      <c r="U24" t="n">
        <v>12</v>
      </c>
      <c r="V24" t="n">
        <v>706</v>
      </c>
      <c r="W24" t="n">
        <v>346</v>
      </c>
      <c r="X24" t="n">
        <v>7</v>
      </c>
      <c r="Y24" t="n">
        <v>2</v>
      </c>
      <c r="Z24" t="n">
        <v>827</v>
      </c>
      <c r="AA24" t="n">
        <v>416</v>
      </c>
      <c r="AB24" t="n">
        <v>6</v>
      </c>
      <c r="AC24" t="n">
        <v>0</v>
      </c>
      <c r="AD24" t="n">
        <v>843</v>
      </c>
      <c r="AE24" t="n">
        <v>417</v>
      </c>
      <c r="AF24" t="n">
        <v>3</v>
      </c>
      <c r="AG24" t="n">
        <v>2</v>
      </c>
      <c r="AH24" t="n">
        <v>833</v>
      </c>
      <c r="AI24" t="n">
        <v>407</v>
      </c>
      <c r="AJ24" t="n">
        <v>3</v>
      </c>
      <c r="AK24" t="n">
        <v>3</v>
      </c>
      <c r="AL24" t="n">
        <v>666</v>
      </c>
      <c r="AM24" t="n">
        <v>326</v>
      </c>
      <c r="AN24" t="n">
        <v>2</v>
      </c>
      <c r="AO24" t="n">
        <v>1</v>
      </c>
      <c r="AP24" t="n">
        <v>593</v>
      </c>
      <c r="AQ24" t="n">
        <v>307</v>
      </c>
      <c r="AR24" t="n">
        <v>1</v>
      </c>
      <c r="AS24" t="n">
        <v>0</v>
      </c>
      <c r="AT24" t="n">
        <v>518</v>
      </c>
      <c r="AU24" t="n">
        <v>255</v>
      </c>
      <c r="AV24" t="n">
        <v>5</v>
      </c>
      <c r="AW24" t="n">
        <v>4</v>
      </c>
      <c r="AX24" t="n">
        <v>18412</v>
      </c>
      <c r="AY24" t="n">
        <v>6934</v>
      </c>
      <c r="AZ24" t="n">
        <v>166</v>
      </c>
      <c r="BA24" t="n">
        <v>77</v>
      </c>
    </row>
    <row r="25">
      <c r="A25" t="inlineStr">
        <is>
          <t>Stung Treng</t>
        </is>
      </c>
      <c r="B25" t="n">
        <v>122</v>
      </c>
      <c r="C25" t="n">
        <v>64</v>
      </c>
      <c r="D25" t="n">
        <v>0</v>
      </c>
      <c r="E25" t="n">
        <v>0</v>
      </c>
      <c r="F25" t="n">
        <v>68</v>
      </c>
      <c r="G25" t="n">
        <v>30</v>
      </c>
      <c r="H25" t="n">
        <v>0</v>
      </c>
      <c r="I25" t="n">
        <v>0</v>
      </c>
      <c r="J25" t="n">
        <v>48</v>
      </c>
      <c r="K25" t="n">
        <v>25</v>
      </c>
      <c r="L25" t="n">
        <v>0</v>
      </c>
      <c r="M25" t="n">
        <v>0</v>
      </c>
      <c r="N25" t="n">
        <v>35</v>
      </c>
      <c r="O25" t="n">
        <v>21</v>
      </c>
      <c r="P25" t="n">
        <v>0</v>
      </c>
      <c r="Q25" t="n">
        <v>0</v>
      </c>
      <c r="R25" t="n">
        <v>36</v>
      </c>
      <c r="S25" t="n">
        <v>22</v>
      </c>
      <c r="T25" t="n">
        <v>0</v>
      </c>
      <c r="U25" t="n">
        <v>0</v>
      </c>
      <c r="V25" t="n">
        <v>35</v>
      </c>
      <c r="W25" t="n">
        <v>13</v>
      </c>
      <c r="X25" t="n">
        <v>0</v>
      </c>
      <c r="Y25" t="n">
        <v>0</v>
      </c>
      <c r="Z25" t="n">
        <v>37</v>
      </c>
      <c r="AA25" t="n">
        <v>19</v>
      </c>
      <c r="AB25" t="n">
        <v>0</v>
      </c>
      <c r="AC25" t="n">
        <v>0</v>
      </c>
      <c r="AD25" t="n">
        <v>18</v>
      </c>
      <c r="AE25" t="n">
        <v>6</v>
      </c>
      <c r="AF25" t="n">
        <v>0</v>
      </c>
      <c r="AG25" t="n">
        <v>0</v>
      </c>
      <c r="AH25" t="n">
        <v>18</v>
      </c>
      <c r="AI25" t="n">
        <v>11</v>
      </c>
      <c r="AJ25" t="n">
        <v>0</v>
      </c>
      <c r="AK25" t="n">
        <v>0</v>
      </c>
      <c r="AL25" t="n">
        <v>15</v>
      </c>
      <c r="AM25" t="n">
        <v>10</v>
      </c>
      <c r="AN25" t="n">
        <v>0</v>
      </c>
      <c r="AO25" t="n">
        <v>0</v>
      </c>
      <c r="AP25" t="n">
        <v>7</v>
      </c>
      <c r="AQ25" t="n">
        <v>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671</v>
      </c>
      <c r="AY25" t="n">
        <v>347</v>
      </c>
      <c r="AZ25" t="n">
        <v>0</v>
      </c>
      <c r="BA25" t="n">
        <v>0</v>
      </c>
    </row>
    <row r="26">
      <c r="A26" t="inlineStr">
        <is>
          <t>Svay Rieng</t>
        </is>
      </c>
      <c r="B26" t="n">
        <v>71</v>
      </c>
      <c r="C26" t="n">
        <v>27</v>
      </c>
      <c r="D26" t="n">
        <v>0</v>
      </c>
      <c r="E26" t="n">
        <v>0</v>
      </c>
      <c r="F26" t="n">
        <v>43</v>
      </c>
      <c r="G26" t="n">
        <v>24</v>
      </c>
      <c r="H26" t="n">
        <v>2</v>
      </c>
      <c r="I26" t="n">
        <v>1</v>
      </c>
      <c r="J26" t="n">
        <v>36</v>
      </c>
      <c r="K26" t="n">
        <v>15</v>
      </c>
      <c r="L26" t="n">
        <v>0</v>
      </c>
      <c r="M26" t="n">
        <v>0</v>
      </c>
      <c r="N26" t="n">
        <v>21</v>
      </c>
      <c r="O26" t="n">
        <v>8</v>
      </c>
      <c r="P26" t="n">
        <v>0</v>
      </c>
      <c r="Q26" t="n">
        <v>0</v>
      </c>
      <c r="R26" t="n">
        <v>20</v>
      </c>
      <c r="S26" t="n">
        <v>4</v>
      </c>
      <c r="T26" t="n">
        <v>0</v>
      </c>
      <c r="U26" t="n">
        <v>0</v>
      </c>
      <c r="V26" t="n">
        <v>23</v>
      </c>
      <c r="W26" t="n">
        <v>10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373</v>
      </c>
      <c r="AY26" t="n">
        <v>166</v>
      </c>
      <c r="AZ26" t="n">
        <v>2</v>
      </c>
      <c r="BA26" t="n">
        <v>1</v>
      </c>
    </row>
    <row r="27">
      <c r="A27" t="inlineStr">
        <is>
          <t>Takeo</t>
        </is>
      </c>
      <c r="B27" t="n">
        <v>826</v>
      </c>
      <c r="C27" t="n">
        <v>384</v>
      </c>
      <c r="D27" t="n">
        <v>3</v>
      </c>
      <c r="E27" t="n">
        <v>1</v>
      </c>
      <c r="F27" t="n">
        <v>658</v>
      </c>
      <c r="G27" t="n">
        <v>328</v>
      </c>
      <c r="H27" t="n">
        <v>12</v>
      </c>
      <c r="I27" t="n">
        <v>6</v>
      </c>
      <c r="J27" t="n">
        <v>427</v>
      </c>
      <c r="K27" t="n">
        <v>199</v>
      </c>
      <c r="L27" t="n">
        <v>3</v>
      </c>
      <c r="M27" t="n">
        <v>3</v>
      </c>
      <c r="N27" t="n">
        <v>483</v>
      </c>
      <c r="O27" t="n">
        <v>242</v>
      </c>
      <c r="P27" t="n">
        <v>4</v>
      </c>
      <c r="Q27" t="n">
        <v>2</v>
      </c>
      <c r="R27" t="n">
        <v>425</v>
      </c>
      <c r="S27" t="n">
        <v>233</v>
      </c>
      <c r="T27" t="n">
        <v>4</v>
      </c>
      <c r="U27" t="n">
        <v>2</v>
      </c>
      <c r="V27" t="n">
        <v>368</v>
      </c>
      <c r="W27" t="n">
        <v>192</v>
      </c>
      <c r="X27" t="n">
        <v>4</v>
      </c>
      <c r="Y27" t="n">
        <v>0</v>
      </c>
      <c r="Z27" t="n">
        <v>224</v>
      </c>
      <c r="AA27" t="n">
        <v>118</v>
      </c>
      <c r="AB27" t="n">
        <v>4</v>
      </c>
      <c r="AC27" t="n">
        <v>0</v>
      </c>
      <c r="AD27" t="n">
        <v>224</v>
      </c>
      <c r="AE27" t="n">
        <v>119</v>
      </c>
      <c r="AF27" t="n">
        <v>0</v>
      </c>
      <c r="AG27" t="n">
        <v>0</v>
      </c>
      <c r="AH27" t="n">
        <v>210</v>
      </c>
      <c r="AI27" t="n">
        <v>103</v>
      </c>
      <c r="AJ27" t="n">
        <v>2</v>
      </c>
      <c r="AK27" t="n">
        <v>0</v>
      </c>
      <c r="AL27" t="n">
        <v>218</v>
      </c>
      <c r="AM27" t="n">
        <v>99</v>
      </c>
      <c r="AN27" t="n">
        <v>0</v>
      </c>
      <c r="AO27" t="n">
        <v>0</v>
      </c>
      <c r="AP27" t="n">
        <v>185</v>
      </c>
      <c r="AQ27" t="n">
        <v>86</v>
      </c>
      <c r="AR27" t="n">
        <v>2</v>
      </c>
      <c r="AS27" t="n">
        <v>1</v>
      </c>
      <c r="AT27" t="n">
        <v>167</v>
      </c>
      <c r="AU27" t="n">
        <v>88</v>
      </c>
      <c r="AV27" t="n">
        <v>4</v>
      </c>
      <c r="AW27" t="n">
        <v>2</v>
      </c>
      <c r="AX27" t="n">
        <v>5697</v>
      </c>
      <c r="AY27" t="n">
        <v>2797</v>
      </c>
      <c r="AZ27" t="n">
        <v>42</v>
      </c>
      <c r="BA27" t="n">
        <v>17</v>
      </c>
    </row>
    <row r="28">
      <c r="A28" t="inlineStr">
        <is>
          <t>Tbaung Khmum</t>
        </is>
      </c>
      <c r="B28" t="n">
        <v>400</v>
      </c>
      <c r="C28" t="n">
        <v>208</v>
      </c>
      <c r="D28" t="n">
        <v>14</v>
      </c>
      <c r="E28" t="n">
        <v>5</v>
      </c>
      <c r="F28" t="n">
        <v>349</v>
      </c>
      <c r="G28" t="n">
        <v>180</v>
      </c>
      <c r="H28" t="n">
        <v>17</v>
      </c>
      <c r="I28" t="n">
        <v>10</v>
      </c>
      <c r="J28" t="n">
        <v>324</v>
      </c>
      <c r="K28" t="n">
        <v>153</v>
      </c>
      <c r="L28" t="n">
        <v>23</v>
      </c>
      <c r="M28" t="n">
        <v>8</v>
      </c>
      <c r="N28" t="n">
        <v>263</v>
      </c>
      <c r="O28" t="n">
        <v>140</v>
      </c>
      <c r="P28" t="n">
        <v>19</v>
      </c>
      <c r="Q28" t="n">
        <v>13</v>
      </c>
      <c r="R28" t="n">
        <v>226</v>
      </c>
      <c r="S28" t="n">
        <v>119</v>
      </c>
      <c r="T28" t="n">
        <v>10</v>
      </c>
      <c r="U28" t="n">
        <v>8</v>
      </c>
      <c r="V28" t="n">
        <v>203</v>
      </c>
      <c r="W28" t="n">
        <v>120</v>
      </c>
      <c r="X28" t="n">
        <v>10</v>
      </c>
      <c r="Y28" t="n">
        <v>9</v>
      </c>
      <c r="Z28" t="n">
        <v>729</v>
      </c>
      <c r="AA28" t="n">
        <v>399</v>
      </c>
      <c r="AB28" t="n">
        <v>23</v>
      </c>
      <c r="AC28" t="n">
        <v>17</v>
      </c>
      <c r="AD28" t="n">
        <v>574</v>
      </c>
      <c r="AE28" t="n">
        <v>330</v>
      </c>
      <c r="AF28" t="n">
        <v>13</v>
      </c>
      <c r="AG28" t="n">
        <v>11</v>
      </c>
      <c r="AH28" t="n">
        <v>475</v>
      </c>
      <c r="AI28" t="n">
        <v>232</v>
      </c>
      <c r="AJ28" t="n">
        <v>3</v>
      </c>
      <c r="AK28" t="n">
        <v>3</v>
      </c>
      <c r="AL28" t="n">
        <v>293</v>
      </c>
      <c r="AM28" t="n">
        <v>234</v>
      </c>
      <c r="AN28" t="n">
        <v>1</v>
      </c>
      <c r="AO28" t="n">
        <v>1</v>
      </c>
      <c r="AP28" t="n">
        <v>179</v>
      </c>
      <c r="AQ28" t="n">
        <v>147</v>
      </c>
      <c r="AR28" t="n">
        <v>0</v>
      </c>
      <c r="AS28" t="n">
        <v>0</v>
      </c>
      <c r="AT28" t="n">
        <v>134</v>
      </c>
      <c r="AU28" t="n">
        <v>94</v>
      </c>
      <c r="AV28" t="n">
        <v>0</v>
      </c>
      <c r="AW28" t="n">
        <v>0</v>
      </c>
      <c r="AX28" t="n">
        <v>4692</v>
      </c>
      <c r="AY28" t="n">
        <v>2671</v>
      </c>
      <c r="AZ28" t="n">
        <v>133</v>
      </c>
      <c r="BA28" t="n">
        <v>85</v>
      </c>
    </row>
    <row r="29">
      <c r="A29" t="inlineStr">
        <is>
          <t>Whole Kingdom</t>
        </is>
      </c>
      <c r="B29" t="n">
        <v>30941</v>
      </c>
      <c r="C29" t="n">
        <v>15049</v>
      </c>
      <c r="D29" t="n">
        <v>895</v>
      </c>
      <c r="E29" t="n">
        <v>413</v>
      </c>
      <c r="F29" t="n">
        <v>24062</v>
      </c>
      <c r="G29" t="n">
        <v>12004</v>
      </c>
      <c r="H29" t="n">
        <v>486</v>
      </c>
      <c r="I29" t="n">
        <v>219</v>
      </c>
      <c r="J29" t="n">
        <v>21534</v>
      </c>
      <c r="K29" t="n">
        <v>10538</v>
      </c>
      <c r="L29" t="n">
        <v>436</v>
      </c>
      <c r="M29" t="n">
        <v>192</v>
      </c>
      <c r="N29" t="n">
        <v>20371</v>
      </c>
      <c r="O29" t="n">
        <v>10057</v>
      </c>
      <c r="P29" t="n">
        <v>235</v>
      </c>
      <c r="Q29" t="n">
        <v>114</v>
      </c>
      <c r="R29" t="n">
        <v>17042</v>
      </c>
      <c r="S29" t="n">
        <v>8560</v>
      </c>
      <c r="T29" t="n">
        <v>233</v>
      </c>
      <c r="U29" t="n">
        <v>110</v>
      </c>
      <c r="V29" t="n">
        <v>14222</v>
      </c>
      <c r="W29" t="n">
        <v>7301</v>
      </c>
      <c r="X29" t="n">
        <v>129</v>
      </c>
      <c r="Y29" t="n">
        <v>86</v>
      </c>
      <c r="Z29" t="n">
        <v>14679</v>
      </c>
      <c r="AA29" t="n">
        <v>7262</v>
      </c>
      <c r="AB29" t="n">
        <v>127</v>
      </c>
      <c r="AC29" t="n">
        <v>71</v>
      </c>
      <c r="AD29" t="n">
        <v>13475</v>
      </c>
      <c r="AE29" t="n">
        <v>6817</v>
      </c>
      <c r="AF29" t="n">
        <v>81</v>
      </c>
      <c r="AG29" t="n">
        <v>35</v>
      </c>
      <c r="AH29" t="n">
        <v>12745</v>
      </c>
      <c r="AI29" t="n">
        <v>6635</v>
      </c>
      <c r="AJ29" t="n">
        <v>87</v>
      </c>
      <c r="AK29" t="n">
        <v>33</v>
      </c>
      <c r="AL29" t="n">
        <v>10075</v>
      </c>
      <c r="AM29" t="n">
        <v>5146</v>
      </c>
      <c r="AN29" t="n">
        <v>24</v>
      </c>
      <c r="AO29" t="n">
        <v>13</v>
      </c>
      <c r="AP29" t="n">
        <v>8944</v>
      </c>
      <c r="AQ29" t="n">
        <v>4585</v>
      </c>
      <c r="AR29" t="n">
        <v>20</v>
      </c>
      <c r="AS29" t="n">
        <v>8</v>
      </c>
      <c r="AT29" t="n">
        <v>8058</v>
      </c>
      <c r="AU29" t="n">
        <v>4194</v>
      </c>
      <c r="AV29" t="n">
        <v>79</v>
      </c>
      <c r="AW29" t="n">
        <v>37</v>
      </c>
      <c r="AX29" t="n">
        <v>240550</v>
      </c>
      <c r="AY29" t="n">
        <v>118049</v>
      </c>
      <c r="AZ29" t="n">
        <v>2832</v>
      </c>
      <c r="BA29" t="n">
        <v>1331</v>
      </c>
    </row>
    <row r="30">
      <c r="A30" t="inlineStr">
        <is>
          <t>- Urban Area</t>
        </is>
      </c>
      <c r="B30" t="n">
        <v>23677</v>
      </c>
      <c r="C30" t="n">
        <v>11316</v>
      </c>
      <c r="D30" t="n">
        <v>647</v>
      </c>
      <c r="E30" t="n">
        <v>302</v>
      </c>
      <c r="F30" t="n">
        <v>18743</v>
      </c>
      <c r="G30" t="n">
        <v>9380</v>
      </c>
      <c r="H30" t="n">
        <v>328</v>
      </c>
      <c r="I30" t="n">
        <v>159</v>
      </c>
      <c r="J30" t="n">
        <v>17245</v>
      </c>
      <c r="K30" t="n">
        <v>8479</v>
      </c>
      <c r="L30" t="n">
        <v>324</v>
      </c>
      <c r="M30" t="n">
        <v>151</v>
      </c>
      <c r="N30" t="n">
        <v>16786</v>
      </c>
      <c r="O30" t="n">
        <v>8258</v>
      </c>
      <c r="P30" t="n">
        <v>181</v>
      </c>
      <c r="Q30" t="n">
        <v>87</v>
      </c>
      <c r="R30" t="n">
        <v>14216</v>
      </c>
      <c r="S30" t="n">
        <v>7147</v>
      </c>
      <c r="T30" t="n">
        <v>159</v>
      </c>
      <c r="U30" t="n">
        <v>76</v>
      </c>
      <c r="V30" t="n">
        <v>11923</v>
      </c>
      <c r="W30" t="n">
        <v>6149</v>
      </c>
      <c r="X30" t="n">
        <v>93</v>
      </c>
      <c r="Y30" t="n">
        <v>64</v>
      </c>
      <c r="Z30" t="n">
        <v>12250</v>
      </c>
      <c r="AA30" t="n">
        <v>6136</v>
      </c>
      <c r="AB30" t="n">
        <v>100</v>
      </c>
      <c r="AC30" t="n">
        <v>54</v>
      </c>
      <c r="AD30" t="n">
        <v>11438</v>
      </c>
      <c r="AE30" t="n">
        <v>5822</v>
      </c>
      <c r="AF30" t="n">
        <v>66</v>
      </c>
      <c r="AG30" t="n">
        <v>24</v>
      </c>
      <c r="AH30" t="n">
        <v>10867</v>
      </c>
      <c r="AI30" t="n">
        <v>5757</v>
      </c>
      <c r="AJ30" t="n">
        <v>72</v>
      </c>
      <c r="AK30" t="n">
        <v>28</v>
      </c>
      <c r="AL30" t="n">
        <v>8832</v>
      </c>
      <c r="AM30" t="n">
        <v>4501</v>
      </c>
      <c r="AN30" t="n">
        <v>23</v>
      </c>
      <c r="AO30" t="n">
        <v>12</v>
      </c>
      <c r="AP30" t="n">
        <v>7998</v>
      </c>
      <c r="AQ30" t="n">
        <v>4134</v>
      </c>
      <c r="AR30" t="n">
        <v>18</v>
      </c>
      <c r="AS30" t="n">
        <v>7</v>
      </c>
      <c r="AT30" t="n">
        <v>7309</v>
      </c>
      <c r="AU30" t="n">
        <v>3821</v>
      </c>
      <c r="AV30" t="n">
        <v>68</v>
      </c>
      <c r="AW30" t="n">
        <v>31</v>
      </c>
      <c r="AX30" t="n">
        <v>196707</v>
      </c>
      <c r="AY30" t="n">
        <v>96293</v>
      </c>
      <c r="AZ30" t="n">
        <v>2079</v>
      </c>
      <c r="BA30" t="n">
        <v>995</v>
      </c>
    </row>
    <row r="31">
      <c r="A31" t="inlineStr">
        <is>
          <t>- Rural Area</t>
        </is>
      </c>
      <c r="B31" t="n">
        <v>7264</v>
      </c>
      <c r="C31" t="n">
        <v>3733</v>
      </c>
      <c r="D31" t="n">
        <v>248</v>
      </c>
      <c r="E31" t="n">
        <v>111</v>
      </c>
      <c r="F31" t="n">
        <v>5319</v>
      </c>
      <c r="G31" t="n">
        <v>2624</v>
      </c>
      <c r="H31" t="n">
        <v>158</v>
      </c>
      <c r="I31" t="n">
        <v>60</v>
      </c>
      <c r="J31" t="n">
        <v>4289</v>
      </c>
      <c r="K31" t="n">
        <v>2059</v>
      </c>
      <c r="L31" t="n">
        <v>112</v>
      </c>
      <c r="M31" t="n">
        <v>41</v>
      </c>
      <c r="N31" t="n">
        <v>3585</v>
      </c>
      <c r="O31" t="n">
        <v>1799</v>
      </c>
      <c r="P31" t="n">
        <v>54</v>
      </c>
      <c r="Q31" t="n">
        <v>27</v>
      </c>
      <c r="R31" t="n">
        <v>2826</v>
      </c>
      <c r="S31" t="n">
        <v>1413</v>
      </c>
      <c r="T31" t="n">
        <v>74</v>
      </c>
      <c r="U31" t="n">
        <v>34</v>
      </c>
      <c r="V31" t="n">
        <v>2299</v>
      </c>
      <c r="W31" t="n">
        <v>1152</v>
      </c>
      <c r="X31" t="n">
        <v>36</v>
      </c>
      <c r="Y31" t="n">
        <v>22</v>
      </c>
      <c r="Z31" t="n">
        <v>2429</v>
      </c>
      <c r="AA31" t="n">
        <v>1126</v>
      </c>
      <c r="AB31" t="n">
        <v>27</v>
      </c>
      <c r="AC31" t="n">
        <v>17</v>
      </c>
      <c r="AD31" t="n">
        <v>2037</v>
      </c>
      <c r="AE31" t="n">
        <v>995</v>
      </c>
      <c r="AF31" t="n">
        <v>15</v>
      </c>
      <c r="AG31" t="n">
        <v>11</v>
      </c>
      <c r="AH31" t="n">
        <v>1878</v>
      </c>
      <c r="AI31" t="n">
        <v>878</v>
      </c>
      <c r="AJ31" t="n">
        <v>15</v>
      </c>
      <c r="AK31" t="n">
        <v>5</v>
      </c>
      <c r="AL31" t="n">
        <v>1243</v>
      </c>
      <c r="AM31" t="n">
        <v>645</v>
      </c>
      <c r="AN31" t="n">
        <v>1</v>
      </c>
      <c r="AO31" t="n">
        <v>1</v>
      </c>
      <c r="AP31" t="n">
        <v>946</v>
      </c>
      <c r="AQ31" t="n">
        <v>451</v>
      </c>
      <c r="AR31" t="n">
        <v>2</v>
      </c>
      <c r="AS31" t="n">
        <v>1</v>
      </c>
      <c r="AT31" t="n">
        <v>749</v>
      </c>
      <c r="AU31" t="n">
        <v>373</v>
      </c>
      <c r="AV31" t="n">
        <v>11</v>
      </c>
      <c r="AW31" t="n">
        <v>6</v>
      </c>
      <c r="AX31" t="n">
        <v>43843</v>
      </c>
      <c r="AY31" t="n">
        <v>21756</v>
      </c>
      <c r="AZ31" t="n">
        <v>753</v>
      </c>
      <c r="BA31" t="n">
        <v>336</v>
      </c>
    </row>
  </sheetData>
  <mergeCells count="40">
    <mergeCell ref="L2:M2"/>
    <mergeCell ref="V2:W2"/>
    <mergeCell ref="X2:Y2"/>
    <mergeCell ref="AJ2:AK2"/>
    <mergeCell ref="AL2:AM2"/>
    <mergeCell ref="Z1:AC1"/>
    <mergeCell ref="AL1:AO1"/>
    <mergeCell ref="AT1:AW1"/>
    <mergeCell ref="B2:C2"/>
    <mergeCell ref="F1:I1"/>
    <mergeCell ref="D2:E2"/>
    <mergeCell ref="R1:U1"/>
    <mergeCell ref="AV2:AW2"/>
    <mergeCell ref="N2:O2"/>
    <mergeCell ref="AX2:AY2"/>
    <mergeCell ref="P2:Q2"/>
    <mergeCell ref="AX1:BA1"/>
    <mergeCell ref="J1:M1"/>
    <mergeCell ref="A1:A3"/>
    <mergeCell ref="F2:G2"/>
    <mergeCell ref="H2:I2"/>
    <mergeCell ref="T2:U2"/>
    <mergeCell ref="Z2:AA2"/>
    <mergeCell ref="AB2:AC2"/>
    <mergeCell ref="AD2:AE2"/>
    <mergeCell ref="AF2:AG2"/>
    <mergeCell ref="AN2:AO2"/>
    <mergeCell ref="AP2:AQ2"/>
    <mergeCell ref="V1:Y1"/>
    <mergeCell ref="AD1:AG1"/>
    <mergeCell ref="AP1:AS1"/>
    <mergeCell ref="AH1:AK1"/>
    <mergeCell ref="B1:E1"/>
    <mergeCell ref="AH2:AI2"/>
    <mergeCell ref="AR2:AS2"/>
    <mergeCell ref="J2:K2"/>
    <mergeCell ref="N1:Q1"/>
    <mergeCell ref="AT2:AU2"/>
    <mergeCell ref="AZ2:BA2"/>
    <mergeCell ref="R2:S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B9BD5"/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20.83203125" customWidth="1" min="1" max="1"/>
    <col width="12" customWidth="1" min="2" max="2"/>
    <col width="12.1640625" customWidth="1" min="6" max="6"/>
    <col width="12" customWidth="1" min="7" max="7"/>
    <col width="12.1640625" customWidth="1" min="11" max="11"/>
    <col width="12" customWidth="1" min="12" max="12"/>
  </cols>
  <sheetData>
    <row r="1">
      <c r="A1" t="inlineStr">
        <is>
          <t>Table 1: Schools, Classes, Students and Staff</t>
        </is>
      </c>
      <c r="B1" t="inlineStr">
        <is>
          <t>Number of
Schools</t>
        </is>
      </c>
      <c r="C1" t="inlineStr">
        <is>
          <t>Pre-School</t>
        </is>
      </c>
      <c r="E1" t="inlineStr">
        <is>
          <t>Primary</t>
        </is>
      </c>
      <c r="G1" t="inlineStr">
        <is>
          <t>Lower Sec.</t>
        </is>
      </c>
      <c r="I1" t="inlineStr">
        <is>
          <t>Upper Sec.</t>
        </is>
      </c>
      <c r="K1" t="inlineStr">
        <is>
          <t>Total</t>
        </is>
      </c>
      <c r="M1" t="inlineStr">
        <is>
          <t>%Female</t>
        </is>
      </c>
    </row>
    <row r="2">
      <c r="C2" t="inlineStr">
        <is>
          <t>Total</t>
        </is>
      </c>
      <c r="D2" t="inlineStr">
        <is>
          <t>Girl</t>
        </is>
      </c>
      <c r="E2" t="inlineStr">
        <is>
          <t>Total</t>
        </is>
      </c>
      <c r="F2" t="inlineStr">
        <is>
          <t>Girl</t>
        </is>
      </c>
      <c r="G2" t="inlineStr">
        <is>
          <t>Total</t>
        </is>
      </c>
      <c r="H2" t="inlineStr">
        <is>
          <t>Girl</t>
        </is>
      </c>
      <c r="I2" t="inlineStr">
        <is>
          <t>Total</t>
        </is>
      </c>
      <c r="J2" t="inlineStr">
        <is>
          <t>Girl</t>
        </is>
      </c>
      <c r="K2" t="inlineStr">
        <is>
          <t>Total</t>
        </is>
      </c>
      <c r="L2" t="inlineStr">
        <is>
          <t>Girl</t>
        </is>
      </c>
      <c r="M2" t="inlineStr">
        <is>
          <t>Primary</t>
        </is>
      </c>
      <c r="N2" t="inlineStr">
        <is>
          <t>All Level</t>
        </is>
      </c>
    </row>
    <row r="3">
      <c r="A3" t="inlineStr">
        <is>
          <t>Banteay Meanchey</t>
        </is>
      </c>
      <c r="B3" t="n">
        <v>140</v>
      </c>
      <c r="C3" t="n">
        <v>2503</v>
      </c>
      <c r="D3" t="n">
        <v>1236</v>
      </c>
      <c r="E3" t="n">
        <v>11669</v>
      </c>
      <c r="F3" t="n">
        <v>5673</v>
      </c>
      <c r="G3" t="n">
        <v>3910</v>
      </c>
      <c r="H3" t="n">
        <v>2002</v>
      </c>
      <c r="I3" t="n">
        <v>2079</v>
      </c>
      <c r="J3" t="n">
        <v>1049</v>
      </c>
      <c r="K3" t="n">
        <v>20437</v>
      </c>
      <c r="L3" t="n">
        <v>10067</v>
      </c>
      <c r="M3" t="n">
        <v>48.6</v>
      </c>
      <c r="N3" t="n">
        <v>49.3</v>
      </c>
    </row>
    <row r="4">
      <c r="A4" t="inlineStr">
        <is>
          <t>Battambang</t>
        </is>
      </c>
      <c r="B4" t="n">
        <v>61</v>
      </c>
      <c r="C4" t="n">
        <v>1489</v>
      </c>
      <c r="D4" t="n">
        <v>717</v>
      </c>
      <c r="E4" t="n">
        <v>4030</v>
      </c>
      <c r="F4" t="n">
        <v>1869</v>
      </c>
      <c r="G4" t="n">
        <v>1875</v>
      </c>
      <c r="H4" t="n">
        <v>962</v>
      </c>
      <c r="I4" t="n">
        <v>1763</v>
      </c>
      <c r="J4" t="n">
        <v>959</v>
      </c>
      <c r="K4" t="n">
        <v>9270</v>
      </c>
      <c r="L4" t="n">
        <v>4563</v>
      </c>
      <c r="M4" t="n">
        <v>46.4</v>
      </c>
      <c r="N4" t="n">
        <v>49.2</v>
      </c>
    </row>
    <row r="5">
      <c r="A5" t="inlineStr">
        <is>
          <t>Kampong Cham</t>
        </is>
      </c>
      <c r="B5" t="n">
        <v>36</v>
      </c>
      <c r="C5" t="n">
        <v>769</v>
      </c>
      <c r="D5" t="n">
        <v>399</v>
      </c>
      <c r="E5" t="n">
        <v>2264</v>
      </c>
      <c r="F5" t="n">
        <v>1175</v>
      </c>
      <c r="G5" t="n">
        <v>742</v>
      </c>
      <c r="H5" t="n">
        <v>386</v>
      </c>
      <c r="I5" t="n">
        <v>371</v>
      </c>
      <c r="J5" t="n">
        <v>169</v>
      </c>
      <c r="K5" t="n">
        <v>4195</v>
      </c>
      <c r="L5" t="n">
        <v>2144</v>
      </c>
      <c r="M5" t="n">
        <v>51.9</v>
      </c>
      <c r="N5" t="n">
        <v>51.1</v>
      </c>
    </row>
    <row r="6">
      <c r="A6" t="inlineStr">
        <is>
          <t>Kampong Chhnang</t>
        </is>
      </c>
      <c r="B6" t="n">
        <v>28</v>
      </c>
      <c r="C6" t="n">
        <v>765</v>
      </c>
      <c r="D6" t="n">
        <v>390</v>
      </c>
      <c r="E6" t="n">
        <v>1920</v>
      </c>
      <c r="F6" t="n">
        <v>875</v>
      </c>
      <c r="G6" t="n">
        <v>656</v>
      </c>
      <c r="H6" t="n">
        <v>252</v>
      </c>
      <c r="I6" t="n">
        <v>356</v>
      </c>
      <c r="J6" t="n">
        <v>119</v>
      </c>
      <c r="K6" t="n">
        <v>3706</v>
      </c>
      <c r="L6" t="n">
        <v>1640</v>
      </c>
      <c r="M6" t="n">
        <v>45.6</v>
      </c>
      <c r="N6" t="n">
        <v>44.3</v>
      </c>
    </row>
    <row r="7">
      <c r="A7" t="inlineStr">
        <is>
          <t>Kampong Speu</t>
        </is>
      </c>
      <c r="B7" t="n">
        <v>64</v>
      </c>
      <c r="C7" t="n">
        <v>2152</v>
      </c>
      <c r="D7" t="n">
        <v>1043</v>
      </c>
      <c r="E7" t="n">
        <v>4545</v>
      </c>
      <c r="F7" t="n">
        <v>2195</v>
      </c>
      <c r="G7" t="n">
        <v>709</v>
      </c>
      <c r="H7" t="n">
        <v>347</v>
      </c>
      <c r="I7" t="n">
        <v>239</v>
      </c>
      <c r="J7" t="n">
        <v>120</v>
      </c>
      <c r="K7" t="n">
        <v>7781</v>
      </c>
      <c r="L7" t="n">
        <v>3746</v>
      </c>
      <c r="M7" t="n">
        <v>48.3</v>
      </c>
      <c r="N7" t="n">
        <v>48.1</v>
      </c>
    </row>
    <row r="8">
      <c r="A8" t="inlineStr">
        <is>
          <t>Kampong Thom</t>
        </is>
      </c>
      <c r="B8" t="n">
        <v>55</v>
      </c>
      <c r="C8" t="n">
        <v>668</v>
      </c>
      <c r="D8" t="n">
        <v>322</v>
      </c>
      <c r="E8" t="n">
        <v>2938</v>
      </c>
      <c r="F8" t="n">
        <v>1410</v>
      </c>
      <c r="G8" t="n">
        <v>557</v>
      </c>
      <c r="H8" t="n">
        <v>289</v>
      </c>
      <c r="I8" t="n">
        <v>228</v>
      </c>
      <c r="J8" t="n">
        <v>106</v>
      </c>
      <c r="K8" t="n">
        <v>4551</v>
      </c>
      <c r="L8" t="n">
        <v>2205</v>
      </c>
      <c r="M8" t="n">
        <v>48</v>
      </c>
      <c r="N8" t="n">
        <v>48.5</v>
      </c>
    </row>
    <row r="9">
      <c r="A9" t="inlineStr">
        <is>
          <t>Kampot</t>
        </is>
      </c>
      <c r="B9" t="n">
        <v>42</v>
      </c>
      <c r="C9" t="n">
        <v>809</v>
      </c>
      <c r="D9" t="n">
        <v>426</v>
      </c>
      <c r="E9" t="n">
        <v>5120</v>
      </c>
      <c r="F9" t="n">
        <v>2737</v>
      </c>
      <c r="G9" t="n">
        <v>1548</v>
      </c>
      <c r="H9" t="n">
        <v>771</v>
      </c>
      <c r="I9" t="n">
        <v>1146</v>
      </c>
      <c r="J9" t="n">
        <v>611</v>
      </c>
      <c r="K9" t="n">
        <v>8698</v>
      </c>
      <c r="L9" t="n">
        <v>4592</v>
      </c>
      <c r="M9" t="n">
        <v>53.5</v>
      </c>
      <c r="N9" t="n">
        <v>52.8</v>
      </c>
    </row>
    <row r="10">
      <c r="A10" t="inlineStr">
        <is>
          <t>Kandal</t>
        </is>
      </c>
      <c r="B10" t="n">
        <v>88</v>
      </c>
      <c r="C10" t="n">
        <v>2748</v>
      </c>
      <c r="D10" t="n">
        <v>1349</v>
      </c>
      <c r="E10" t="n">
        <v>7462</v>
      </c>
      <c r="F10" t="n">
        <v>3813</v>
      </c>
      <c r="G10" t="n">
        <v>2456</v>
      </c>
      <c r="H10" t="n">
        <v>1134</v>
      </c>
      <c r="I10" t="n">
        <v>1654</v>
      </c>
      <c r="J10" t="n">
        <v>778</v>
      </c>
      <c r="K10" t="n">
        <v>14542</v>
      </c>
      <c r="L10" t="n">
        <v>7164</v>
      </c>
      <c r="M10" t="n">
        <v>51.1</v>
      </c>
      <c r="N10" t="n">
        <v>49.3</v>
      </c>
    </row>
    <row r="11">
      <c r="A11" t="inlineStr">
        <is>
          <t>Kep</t>
        </is>
      </c>
      <c r="B11" t="n">
        <v>3</v>
      </c>
      <c r="C11" t="n">
        <v>37</v>
      </c>
      <c r="D11" t="n">
        <v>18</v>
      </c>
      <c r="E11" t="n">
        <v>499</v>
      </c>
      <c r="F11" t="n">
        <v>282</v>
      </c>
      <c r="G11" t="n">
        <v>0</v>
      </c>
      <c r="H11" t="n">
        <v>0</v>
      </c>
      <c r="I11" t="n">
        <v>0</v>
      </c>
      <c r="J11" t="n">
        <v>0</v>
      </c>
      <c r="K11" t="n">
        <v>536</v>
      </c>
      <c r="L11" t="n">
        <v>300</v>
      </c>
      <c r="M11" t="n">
        <v>56.5</v>
      </c>
      <c r="N11" t="n">
        <v>56</v>
      </c>
    </row>
    <row r="12">
      <c r="A12" t="inlineStr">
        <is>
          <t>Koh Kong</t>
        </is>
      </c>
      <c r="B12" t="n">
        <v>18</v>
      </c>
      <c r="C12" t="n">
        <v>527</v>
      </c>
      <c r="D12" t="n">
        <v>270</v>
      </c>
      <c r="E12" t="n">
        <v>1611</v>
      </c>
      <c r="F12" t="n">
        <v>834</v>
      </c>
      <c r="G12" t="n">
        <v>159</v>
      </c>
      <c r="H12" t="n">
        <v>81</v>
      </c>
      <c r="I12" t="n">
        <v>0</v>
      </c>
      <c r="J12" t="n">
        <v>0</v>
      </c>
      <c r="K12" t="n">
        <v>2307</v>
      </c>
      <c r="L12" t="n">
        <v>1189</v>
      </c>
      <c r="M12" t="n">
        <v>51.8</v>
      </c>
      <c r="N12" t="n">
        <v>51.5</v>
      </c>
    </row>
    <row r="13">
      <c r="A13" t="inlineStr">
        <is>
          <t>Kratie</t>
        </is>
      </c>
      <c r="B13" t="n">
        <v>9</v>
      </c>
      <c r="C13" t="n">
        <v>179</v>
      </c>
      <c r="D13" t="n">
        <v>83</v>
      </c>
      <c r="E13" t="n">
        <v>892</v>
      </c>
      <c r="F13" t="n">
        <v>518</v>
      </c>
      <c r="G13" t="n">
        <v>58</v>
      </c>
      <c r="H13" t="n">
        <v>29</v>
      </c>
      <c r="I13" t="n">
        <v>59</v>
      </c>
      <c r="J13" t="n">
        <v>31</v>
      </c>
      <c r="K13" t="n">
        <v>1192</v>
      </c>
      <c r="L13" t="n">
        <v>662</v>
      </c>
      <c r="M13" t="n">
        <v>58.1</v>
      </c>
      <c r="N13" t="n">
        <v>55.5</v>
      </c>
    </row>
    <row r="14">
      <c r="A14" t="inlineStr">
        <is>
          <t>Mondul Kiri</t>
        </is>
      </c>
      <c r="B14" t="n">
        <v>9</v>
      </c>
      <c r="C14" t="n">
        <v>92</v>
      </c>
      <c r="D14" t="n">
        <v>51</v>
      </c>
      <c r="E14" t="n">
        <v>303</v>
      </c>
      <c r="F14" t="n">
        <v>136</v>
      </c>
      <c r="G14" t="n">
        <v>101</v>
      </c>
      <c r="H14" t="n">
        <v>38</v>
      </c>
      <c r="I14" t="n">
        <v>46</v>
      </c>
      <c r="J14" t="n">
        <v>22</v>
      </c>
      <c r="K14" t="n">
        <v>550</v>
      </c>
      <c r="L14" t="n">
        <v>251</v>
      </c>
      <c r="M14" t="n">
        <v>44.9</v>
      </c>
      <c r="N14" t="n">
        <v>45.6</v>
      </c>
    </row>
    <row r="15">
      <c r="A15" t="inlineStr">
        <is>
          <t>Otdar Meanchey</t>
        </is>
      </c>
      <c r="B15" t="n">
        <v>12</v>
      </c>
      <c r="C15" t="n">
        <v>276</v>
      </c>
      <c r="D15" t="n">
        <v>143</v>
      </c>
      <c r="E15" t="n">
        <v>1698</v>
      </c>
      <c r="F15" t="n">
        <v>775</v>
      </c>
      <c r="G15" t="n">
        <v>0</v>
      </c>
      <c r="H15" t="n">
        <v>0</v>
      </c>
      <c r="I15" t="n">
        <v>0</v>
      </c>
      <c r="J15" t="n">
        <v>0</v>
      </c>
      <c r="K15" t="n">
        <v>2008</v>
      </c>
      <c r="L15" t="n">
        <v>930</v>
      </c>
      <c r="M15" t="n">
        <v>45.6</v>
      </c>
      <c r="N15" t="n">
        <v>46.3</v>
      </c>
    </row>
    <row r="16">
      <c r="A16" t="inlineStr">
        <is>
          <t>Pailin</t>
        </is>
      </c>
      <c r="B16" t="n">
        <v>17</v>
      </c>
      <c r="C16" t="n">
        <v>465</v>
      </c>
      <c r="D16" t="n">
        <v>220</v>
      </c>
      <c r="E16" t="n">
        <v>1239</v>
      </c>
      <c r="F16" t="n">
        <v>608</v>
      </c>
      <c r="G16" t="n">
        <v>0</v>
      </c>
      <c r="H16" t="n">
        <v>0</v>
      </c>
      <c r="I16" t="n">
        <v>0</v>
      </c>
      <c r="J16" t="n">
        <v>0</v>
      </c>
      <c r="K16" t="n">
        <v>1721</v>
      </c>
      <c r="L16" t="n">
        <v>835</v>
      </c>
      <c r="M16" t="n">
        <v>49.1</v>
      </c>
      <c r="N16" t="n">
        <v>48.5</v>
      </c>
    </row>
    <row r="17">
      <c r="A17" t="inlineStr">
        <is>
          <t>Phnom Penh</t>
        </is>
      </c>
      <c r="B17" t="n">
        <v>776</v>
      </c>
      <c r="C17" t="n">
        <v>15615</v>
      </c>
      <c r="D17" t="n">
        <v>7862</v>
      </c>
      <c r="E17" t="n">
        <v>63948</v>
      </c>
      <c r="F17" t="n">
        <v>31737</v>
      </c>
      <c r="G17" t="n">
        <v>21630</v>
      </c>
      <c r="H17" t="n">
        <v>11157</v>
      </c>
      <c r="I17" t="n">
        <v>14969</v>
      </c>
      <c r="J17" t="n">
        <v>7739</v>
      </c>
      <c r="K17" t="n">
        <v>117304</v>
      </c>
      <c r="L17" t="n">
        <v>59085</v>
      </c>
      <c r="M17" t="n">
        <v>49.6</v>
      </c>
      <c r="N17" t="n">
        <v>50.4</v>
      </c>
    </row>
    <row r="18">
      <c r="A18" t="inlineStr">
        <is>
          <t>Preah Sihanouk</t>
        </is>
      </c>
      <c r="B18" t="n">
        <v>61</v>
      </c>
      <c r="C18" t="n">
        <v>1521</v>
      </c>
      <c r="D18" t="n">
        <v>731</v>
      </c>
      <c r="E18" t="n">
        <v>4862</v>
      </c>
      <c r="F18" t="n">
        <v>2381</v>
      </c>
      <c r="G18" t="n">
        <v>1173</v>
      </c>
      <c r="H18" t="n">
        <v>550</v>
      </c>
      <c r="I18" t="n">
        <v>833</v>
      </c>
      <c r="J18" t="n">
        <v>388</v>
      </c>
      <c r="K18" t="n">
        <v>8573</v>
      </c>
      <c r="L18" t="n">
        <v>4126</v>
      </c>
      <c r="M18" t="n">
        <v>49</v>
      </c>
      <c r="N18" t="n">
        <v>48.1</v>
      </c>
    </row>
    <row r="19">
      <c r="A19" t="inlineStr">
        <is>
          <t>Preah Vihear</t>
        </is>
      </c>
      <c r="B19" t="n">
        <v>4</v>
      </c>
      <c r="C19" t="n">
        <v>50</v>
      </c>
      <c r="D19" t="n">
        <v>23</v>
      </c>
      <c r="E19" t="n">
        <v>126</v>
      </c>
      <c r="F19" t="n">
        <v>59</v>
      </c>
      <c r="G19" t="n">
        <v>0</v>
      </c>
      <c r="H19" t="n">
        <v>0</v>
      </c>
      <c r="I19" t="n">
        <v>0</v>
      </c>
      <c r="J19" t="n">
        <v>0</v>
      </c>
      <c r="K19" t="n">
        <v>180</v>
      </c>
      <c r="L19" t="n">
        <v>83</v>
      </c>
      <c r="M19" t="n">
        <v>46.8</v>
      </c>
      <c r="N19" t="n">
        <v>46.1</v>
      </c>
    </row>
    <row r="20">
      <c r="A20" t="inlineStr">
        <is>
          <t>Prey Veng</t>
        </is>
      </c>
      <c r="B20" t="n">
        <v>5</v>
      </c>
      <c r="C20" t="n">
        <v>75</v>
      </c>
      <c r="D20" t="n">
        <v>40</v>
      </c>
      <c r="E20" t="n">
        <v>37</v>
      </c>
      <c r="F20" t="n">
        <v>19</v>
      </c>
      <c r="G20" t="n">
        <v>0</v>
      </c>
      <c r="H20" t="n">
        <v>0</v>
      </c>
      <c r="I20" t="n">
        <v>135</v>
      </c>
      <c r="J20" t="n">
        <v>86</v>
      </c>
      <c r="K20" t="n">
        <v>247</v>
      </c>
      <c r="L20" t="n">
        <v>145</v>
      </c>
      <c r="M20" t="n">
        <v>51.4</v>
      </c>
      <c r="N20" t="n">
        <v>58.7</v>
      </c>
    </row>
    <row r="21">
      <c r="A21" t="inlineStr">
        <is>
          <t>Pursat</t>
        </is>
      </c>
      <c r="B21" t="n">
        <v>6</v>
      </c>
      <c r="C21" t="n">
        <v>580</v>
      </c>
      <c r="D21" t="n">
        <v>297</v>
      </c>
      <c r="E21" t="n">
        <v>130</v>
      </c>
      <c r="F21" t="n">
        <v>69</v>
      </c>
      <c r="G21" t="n">
        <v>0</v>
      </c>
      <c r="H21" t="n">
        <v>0</v>
      </c>
      <c r="I21" t="n">
        <v>0</v>
      </c>
      <c r="J21" t="n">
        <v>0</v>
      </c>
      <c r="K21" t="n">
        <v>710</v>
      </c>
      <c r="L21" t="n">
        <v>366</v>
      </c>
      <c r="M21" t="n">
        <v>53.1</v>
      </c>
      <c r="N21" t="n">
        <v>51.5</v>
      </c>
    </row>
    <row r="22">
      <c r="A22" t="inlineStr">
        <is>
          <t>Ratanak Kiri</t>
        </is>
      </c>
      <c r="B22" t="n">
        <v>12</v>
      </c>
      <c r="C22" t="n">
        <v>524</v>
      </c>
      <c r="D22" t="n">
        <v>268</v>
      </c>
      <c r="E22" t="n">
        <v>1135</v>
      </c>
      <c r="F22" t="n">
        <v>538</v>
      </c>
      <c r="G22" t="n">
        <v>313</v>
      </c>
      <c r="H22" t="n">
        <v>139</v>
      </c>
      <c r="I22" t="n">
        <v>224</v>
      </c>
      <c r="J22" t="n">
        <v>96</v>
      </c>
      <c r="K22" t="n">
        <v>2197</v>
      </c>
      <c r="L22" t="n">
        <v>1041</v>
      </c>
      <c r="M22" t="n">
        <v>47.4</v>
      </c>
      <c r="N22" t="n">
        <v>47.4</v>
      </c>
    </row>
    <row r="23">
      <c r="A23" t="inlineStr">
        <is>
          <t>Siemreap</t>
        </is>
      </c>
      <c r="B23" t="n">
        <v>123</v>
      </c>
      <c r="C23" t="n">
        <v>7732</v>
      </c>
      <c r="D23" t="n">
        <v>1684</v>
      </c>
      <c r="E23" t="n">
        <v>6234</v>
      </c>
      <c r="F23" t="n">
        <v>3045</v>
      </c>
      <c r="G23" t="n">
        <v>2503</v>
      </c>
      <c r="H23" t="n">
        <v>1240</v>
      </c>
      <c r="I23" t="n">
        <v>1777</v>
      </c>
      <c r="J23" t="n">
        <v>888</v>
      </c>
      <c r="K23" t="n">
        <v>18412</v>
      </c>
      <c r="L23" t="n">
        <v>6934</v>
      </c>
      <c r="M23" t="n">
        <v>48.8</v>
      </c>
      <c r="N23" t="n">
        <v>37.7</v>
      </c>
    </row>
    <row r="24">
      <c r="A24" t="inlineStr">
        <is>
          <t>Stung Treng</t>
        </is>
      </c>
      <c r="B24" t="n">
        <v>10</v>
      </c>
      <c r="C24" t="n">
        <v>232</v>
      </c>
      <c r="D24" t="n">
        <v>120</v>
      </c>
      <c r="E24" t="n">
        <v>344</v>
      </c>
      <c r="F24" t="n">
        <v>175</v>
      </c>
      <c r="G24" t="n">
        <v>73</v>
      </c>
      <c r="H24" t="n">
        <v>36</v>
      </c>
      <c r="I24" t="n">
        <v>22</v>
      </c>
      <c r="J24" t="n">
        <v>16</v>
      </c>
      <c r="K24" t="n">
        <v>671</v>
      </c>
      <c r="L24" t="n">
        <v>347</v>
      </c>
      <c r="M24" t="n">
        <v>50.9</v>
      </c>
      <c r="N24" t="n">
        <v>51.7</v>
      </c>
    </row>
    <row r="25">
      <c r="A25" t="inlineStr">
        <is>
          <t>Svay Rieng</t>
        </is>
      </c>
      <c r="B25" t="n">
        <v>8</v>
      </c>
      <c r="C25" t="n">
        <v>157</v>
      </c>
      <c r="D25" t="n">
        <v>77</v>
      </c>
      <c r="E25" t="n">
        <v>214</v>
      </c>
      <c r="F25" t="n">
        <v>88</v>
      </c>
      <c r="G25" t="n">
        <v>0</v>
      </c>
      <c r="H25" t="n">
        <v>0</v>
      </c>
      <c r="I25" t="n">
        <v>0</v>
      </c>
      <c r="J25" t="n">
        <v>0</v>
      </c>
      <c r="K25" t="n">
        <v>373</v>
      </c>
      <c r="L25" t="n">
        <v>166</v>
      </c>
      <c r="M25" t="n">
        <v>41.1</v>
      </c>
      <c r="N25" t="n">
        <v>44.5</v>
      </c>
    </row>
    <row r="26">
      <c r="A26" t="inlineStr">
        <is>
          <t>Takeo</t>
        </is>
      </c>
      <c r="B26" t="n">
        <v>52</v>
      </c>
      <c r="C26" t="n">
        <v>1240</v>
      </c>
      <c r="D26" t="n">
        <v>589</v>
      </c>
      <c r="E26" t="n">
        <v>3187</v>
      </c>
      <c r="F26" t="n">
        <v>1578</v>
      </c>
      <c r="G26" t="n">
        <v>658</v>
      </c>
      <c r="H26" t="n">
        <v>340</v>
      </c>
      <c r="I26" t="n">
        <v>570</v>
      </c>
      <c r="J26" t="n">
        <v>273</v>
      </c>
      <c r="K26" t="n">
        <v>5697</v>
      </c>
      <c r="L26" t="n">
        <v>2797</v>
      </c>
      <c r="M26" t="n">
        <v>49.5</v>
      </c>
      <c r="N26" t="n">
        <v>49.1</v>
      </c>
    </row>
    <row r="27">
      <c r="A27" t="inlineStr">
        <is>
          <t>Tbaung Khmum</t>
        </is>
      </c>
      <c r="B27" t="n">
        <v>27</v>
      </c>
      <c r="C27" t="n">
        <v>410</v>
      </c>
      <c r="D27" t="n">
        <v>230</v>
      </c>
      <c r="E27" t="n">
        <v>1765</v>
      </c>
      <c r="F27" t="n">
        <v>920</v>
      </c>
      <c r="G27" t="n">
        <v>1778</v>
      </c>
      <c r="H27" t="n">
        <v>961</v>
      </c>
      <c r="I27" t="n">
        <v>606</v>
      </c>
      <c r="J27" t="n">
        <v>475</v>
      </c>
      <c r="K27" t="n">
        <v>4692</v>
      </c>
      <c r="L27" t="n">
        <v>2671</v>
      </c>
      <c r="M27" t="n">
        <v>52.1</v>
      </c>
      <c r="N27" t="n">
        <v>56.9</v>
      </c>
    </row>
    <row r="28">
      <c r="A28" t="inlineStr">
        <is>
          <t>Whole Kingdom</t>
        </is>
      </c>
      <c r="B28" t="n">
        <v>1666</v>
      </c>
      <c r="C28" t="n">
        <v>41615</v>
      </c>
      <c r="D28" t="n">
        <v>18588</v>
      </c>
      <c r="E28" t="n">
        <v>128172</v>
      </c>
      <c r="F28" t="n">
        <v>63509</v>
      </c>
      <c r="G28" t="n">
        <v>40899</v>
      </c>
      <c r="H28" t="n">
        <v>20714</v>
      </c>
      <c r="I28" t="n">
        <v>27077</v>
      </c>
      <c r="J28" t="n">
        <v>13925</v>
      </c>
      <c r="K28" t="n">
        <v>240550</v>
      </c>
      <c r="L28" t="n">
        <v>118049</v>
      </c>
      <c r="M28" t="n">
        <v>49.5</v>
      </c>
      <c r="N28" t="n">
        <v>49.1</v>
      </c>
    </row>
    <row r="29">
      <c r="A29" t="inlineStr">
        <is>
          <t>- Urban Area</t>
        </is>
      </c>
      <c r="B29" t="n">
        <v>1320</v>
      </c>
      <c r="C29" t="n">
        <v>33389</v>
      </c>
      <c r="D29" t="n">
        <v>14416</v>
      </c>
      <c r="E29" t="n">
        <v>102590</v>
      </c>
      <c r="F29" t="n">
        <v>50729</v>
      </c>
      <c r="G29" t="n">
        <v>34555</v>
      </c>
      <c r="H29" t="n">
        <v>17715</v>
      </c>
      <c r="I29" t="n">
        <v>24139</v>
      </c>
      <c r="J29" t="n">
        <v>12456</v>
      </c>
      <c r="K29" t="n">
        <v>196707</v>
      </c>
      <c r="L29" t="n">
        <v>96293</v>
      </c>
      <c r="M29" t="n">
        <v>49.4</v>
      </c>
      <c r="N29" t="n">
        <v>49</v>
      </c>
    </row>
    <row r="30">
      <c r="A30" t="inlineStr">
        <is>
          <t>- Rural Area</t>
        </is>
      </c>
      <c r="B30" t="n">
        <v>346</v>
      </c>
      <c r="C30" t="n">
        <v>8226</v>
      </c>
      <c r="D30" t="n">
        <v>4172</v>
      </c>
      <c r="E30" t="n">
        <v>25582</v>
      </c>
      <c r="F30" t="n">
        <v>12780</v>
      </c>
      <c r="G30" t="n">
        <v>6344</v>
      </c>
      <c r="H30" t="n">
        <v>2999</v>
      </c>
      <c r="I30" t="n">
        <v>2938</v>
      </c>
      <c r="J30" t="n">
        <v>1469</v>
      </c>
      <c r="K30" t="n">
        <v>43843</v>
      </c>
      <c r="L30" t="n">
        <v>21756</v>
      </c>
      <c r="M30" t="n">
        <v>50</v>
      </c>
      <c r="N30" t="n">
        <v>49.6</v>
      </c>
    </row>
  </sheetData>
  <mergeCells count="8">
    <mergeCell ref="C1:D1"/>
    <mergeCell ref="G1:H1"/>
    <mergeCell ref="E1:F1"/>
    <mergeCell ref="K1:L1"/>
    <mergeCell ref="B1:B2"/>
    <mergeCell ref="M1:N1"/>
    <mergeCell ref="I1:J1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B9BD5"/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9.1640625" customWidth="1" min="1" max="1"/>
    <col width="12.5" customWidth="1" min="2" max="2"/>
  </cols>
  <sheetData>
    <row r="1">
      <c r="A1" t="inlineStr">
        <is>
          <t>Table 1: Schools, Classes, Students and Staff</t>
        </is>
      </c>
      <c r="B1" t="inlineStr">
        <is>
          <t>Number of
Schools</t>
        </is>
      </c>
      <c r="C1" t="inlineStr">
        <is>
          <t>Pre-School</t>
        </is>
      </c>
      <c r="E1" t="inlineStr">
        <is>
          <t>Primary</t>
        </is>
      </c>
      <c r="G1" t="inlineStr">
        <is>
          <t>Lower Sec.</t>
        </is>
      </c>
      <c r="I1" t="inlineStr">
        <is>
          <t>Upper Sec.</t>
        </is>
      </c>
      <c r="K1" t="inlineStr">
        <is>
          <t>Total</t>
        </is>
      </c>
      <c r="M1" t="inlineStr">
        <is>
          <t>%Female</t>
        </is>
      </c>
    </row>
    <row r="2">
      <c r="C2" t="inlineStr">
        <is>
          <t>Total</t>
        </is>
      </c>
      <c r="D2" t="inlineStr">
        <is>
          <t>Girl</t>
        </is>
      </c>
      <c r="E2" t="inlineStr">
        <is>
          <t>Total</t>
        </is>
      </c>
      <c r="F2" t="inlineStr">
        <is>
          <t>Girl</t>
        </is>
      </c>
      <c r="G2" t="inlineStr">
        <is>
          <t>Total</t>
        </is>
      </c>
      <c r="H2" t="inlineStr">
        <is>
          <t>Girl</t>
        </is>
      </c>
      <c r="I2" t="inlineStr">
        <is>
          <t>Total</t>
        </is>
      </c>
      <c r="J2" t="inlineStr">
        <is>
          <t>Girl</t>
        </is>
      </c>
      <c r="K2" t="inlineStr">
        <is>
          <t>Total</t>
        </is>
      </c>
      <c r="L2" t="inlineStr">
        <is>
          <t>Girl</t>
        </is>
      </c>
      <c r="M2" t="inlineStr">
        <is>
          <t>Primary</t>
        </is>
      </c>
      <c r="N2" t="inlineStr">
        <is>
          <t>All Level</t>
        </is>
      </c>
    </row>
    <row r="3">
      <c r="A3" t="inlineStr">
        <is>
          <t>Banteay Meanchey</t>
        </is>
      </c>
      <c r="B3" t="n">
        <v>132</v>
      </c>
      <c r="C3" t="n">
        <v>2427</v>
      </c>
      <c r="D3" t="n">
        <v>1143</v>
      </c>
      <c r="E3" t="n">
        <v>11652</v>
      </c>
      <c r="F3" t="n">
        <v>5631</v>
      </c>
      <c r="G3" t="n">
        <v>3679</v>
      </c>
      <c r="H3" t="n">
        <v>1893</v>
      </c>
      <c r="I3" t="n">
        <v>1943</v>
      </c>
      <c r="J3" t="n">
        <v>981</v>
      </c>
      <c r="K3" t="n">
        <v>19701</v>
      </c>
      <c r="L3" t="n">
        <v>9648</v>
      </c>
      <c r="M3" t="n">
        <v>48.3</v>
      </c>
      <c r="N3" t="n">
        <v>49</v>
      </c>
    </row>
    <row r="4">
      <c r="A4" t="inlineStr">
        <is>
          <t>Battambang</t>
        </is>
      </c>
      <c r="B4" t="n">
        <v>58</v>
      </c>
      <c r="C4" t="n">
        <v>1622</v>
      </c>
      <c r="D4" t="n">
        <v>805</v>
      </c>
      <c r="E4" t="n">
        <v>3816</v>
      </c>
      <c r="F4" t="n">
        <v>1774</v>
      </c>
      <c r="G4" t="n">
        <v>1748</v>
      </c>
      <c r="H4" t="n">
        <v>898</v>
      </c>
      <c r="I4" t="n">
        <v>1664</v>
      </c>
      <c r="J4" t="n">
        <v>890</v>
      </c>
      <c r="K4" t="n">
        <v>8850</v>
      </c>
      <c r="L4" t="n">
        <v>4367</v>
      </c>
      <c r="M4" t="n">
        <v>46.5</v>
      </c>
      <c r="N4" t="n">
        <v>49.3</v>
      </c>
    </row>
    <row r="5">
      <c r="A5" t="inlineStr">
        <is>
          <t>Kampong Cham</t>
        </is>
      </c>
      <c r="B5" t="n">
        <v>23</v>
      </c>
      <c r="C5" t="n">
        <v>722</v>
      </c>
      <c r="D5" t="n">
        <v>425</v>
      </c>
      <c r="E5" t="n">
        <v>1894</v>
      </c>
      <c r="F5" t="n">
        <v>940</v>
      </c>
      <c r="G5" t="n">
        <v>386</v>
      </c>
      <c r="H5" t="n">
        <v>185</v>
      </c>
      <c r="I5" t="n">
        <v>241</v>
      </c>
      <c r="J5" t="n">
        <v>128</v>
      </c>
      <c r="K5" t="n">
        <v>3243</v>
      </c>
      <c r="L5" t="n">
        <v>1678</v>
      </c>
      <c r="M5" t="n">
        <v>49.6</v>
      </c>
      <c r="N5" t="n">
        <v>51.7</v>
      </c>
    </row>
    <row r="6">
      <c r="A6" t="inlineStr">
        <is>
          <t>Kampong Chhnang</t>
        </is>
      </c>
      <c r="B6" t="n">
        <v>27</v>
      </c>
      <c r="C6" t="n">
        <v>1180</v>
      </c>
      <c r="D6" t="n">
        <v>609</v>
      </c>
      <c r="E6" t="n">
        <v>1965</v>
      </c>
      <c r="F6" t="n">
        <v>948</v>
      </c>
      <c r="G6" t="n">
        <v>608</v>
      </c>
      <c r="H6" t="n">
        <v>222</v>
      </c>
      <c r="I6" t="n">
        <v>318</v>
      </c>
      <c r="J6" t="n">
        <v>118</v>
      </c>
      <c r="K6" t="n">
        <v>4071</v>
      </c>
      <c r="L6" t="n">
        <v>1897</v>
      </c>
      <c r="M6" t="n">
        <v>48.2</v>
      </c>
      <c r="N6" t="n">
        <v>46.6</v>
      </c>
    </row>
    <row r="7">
      <c r="A7" t="inlineStr">
        <is>
          <t>Kampong Speu</t>
        </is>
      </c>
      <c r="B7" t="n">
        <v>53</v>
      </c>
      <c r="C7" t="n">
        <v>2001</v>
      </c>
      <c r="D7" t="n">
        <v>1036</v>
      </c>
      <c r="E7" t="n">
        <v>3916</v>
      </c>
      <c r="F7" t="n">
        <v>1856</v>
      </c>
      <c r="G7" t="n">
        <v>718</v>
      </c>
      <c r="H7" t="n">
        <v>373</v>
      </c>
      <c r="I7" t="n">
        <v>229</v>
      </c>
      <c r="J7" t="n">
        <v>112</v>
      </c>
      <c r="K7" t="n">
        <v>6864</v>
      </c>
      <c r="L7" t="n">
        <v>3377</v>
      </c>
      <c r="M7" t="n">
        <v>47.4</v>
      </c>
      <c r="N7" t="n">
        <v>49.2</v>
      </c>
    </row>
    <row r="8">
      <c r="A8" t="inlineStr">
        <is>
          <t>Kampong Thom</t>
        </is>
      </c>
      <c r="B8" t="n">
        <v>46</v>
      </c>
      <c r="C8" t="n">
        <v>560</v>
      </c>
      <c r="D8" t="n">
        <v>263</v>
      </c>
      <c r="E8" t="n">
        <v>3320</v>
      </c>
      <c r="F8" t="n">
        <v>1423</v>
      </c>
      <c r="G8" t="n">
        <v>376</v>
      </c>
      <c r="H8" t="n">
        <v>181</v>
      </c>
      <c r="I8" t="n">
        <v>148</v>
      </c>
      <c r="J8" t="n">
        <v>66</v>
      </c>
      <c r="K8" t="n">
        <v>4404</v>
      </c>
      <c r="L8" t="n">
        <v>1933</v>
      </c>
      <c r="M8" t="n">
        <v>42.9</v>
      </c>
      <c r="N8" t="n">
        <v>43.9</v>
      </c>
    </row>
    <row r="9">
      <c r="A9" t="inlineStr">
        <is>
          <t>Kampot</t>
        </is>
      </c>
      <c r="B9" t="n">
        <v>47</v>
      </c>
      <c r="C9" t="n">
        <v>1033</v>
      </c>
      <c r="D9" t="n">
        <v>492</v>
      </c>
      <c r="E9" t="n">
        <v>4908</v>
      </c>
      <c r="F9" t="n">
        <v>2556</v>
      </c>
      <c r="G9" t="n">
        <v>1648</v>
      </c>
      <c r="H9" t="n">
        <v>863</v>
      </c>
      <c r="I9" t="n">
        <v>1242</v>
      </c>
      <c r="J9" t="n">
        <v>652</v>
      </c>
      <c r="K9" t="n">
        <v>8831</v>
      </c>
      <c r="L9" t="n">
        <v>4563</v>
      </c>
      <c r="M9" t="n">
        <v>52.1</v>
      </c>
      <c r="N9" t="n">
        <v>51.7</v>
      </c>
    </row>
    <row r="10">
      <c r="A10" t="inlineStr">
        <is>
          <t>Kandal</t>
        </is>
      </c>
      <c r="B10" t="n">
        <v>68</v>
      </c>
      <c r="C10" t="n">
        <v>2414</v>
      </c>
      <c r="D10" t="n">
        <v>1317</v>
      </c>
      <c r="E10" t="n">
        <v>5576</v>
      </c>
      <c r="F10" t="n">
        <v>2786</v>
      </c>
      <c r="G10" t="n">
        <v>2339</v>
      </c>
      <c r="H10" t="n">
        <v>1109</v>
      </c>
      <c r="I10" t="n">
        <v>1435</v>
      </c>
      <c r="J10" t="n">
        <v>646</v>
      </c>
      <c r="K10" t="n">
        <v>11764</v>
      </c>
      <c r="L10" t="n">
        <v>5858</v>
      </c>
      <c r="M10" t="n">
        <v>50</v>
      </c>
      <c r="N10" t="n">
        <v>49.8</v>
      </c>
    </row>
    <row r="11">
      <c r="A11" t="inlineStr">
        <is>
          <t>Kep</t>
        </is>
      </c>
      <c r="B11" t="n">
        <v>1</v>
      </c>
      <c r="C11" t="n">
        <v>0</v>
      </c>
      <c r="D11" t="n">
        <v>0</v>
      </c>
      <c r="E11" t="n">
        <v>781</v>
      </c>
      <c r="F11" t="n">
        <v>438</v>
      </c>
      <c r="G11" t="n">
        <v>0</v>
      </c>
      <c r="H11" t="n">
        <v>0</v>
      </c>
      <c r="I11" t="n">
        <v>0</v>
      </c>
      <c r="J11" t="n">
        <v>0</v>
      </c>
      <c r="K11" t="n">
        <v>781</v>
      </c>
      <c r="L11" t="n">
        <v>438</v>
      </c>
      <c r="M11" t="n">
        <v>56.1</v>
      </c>
      <c r="N11" t="n">
        <v>56.1</v>
      </c>
    </row>
    <row r="12">
      <c r="A12" t="inlineStr">
        <is>
          <t>Koh Kong</t>
        </is>
      </c>
      <c r="B12" t="n">
        <v>17</v>
      </c>
      <c r="C12" t="n">
        <v>440</v>
      </c>
      <c r="D12" t="n">
        <v>238</v>
      </c>
      <c r="E12" t="n">
        <v>1491</v>
      </c>
      <c r="F12" t="n">
        <v>784</v>
      </c>
      <c r="G12" t="n">
        <v>195</v>
      </c>
      <c r="H12" t="n">
        <v>97</v>
      </c>
      <c r="I12" t="n">
        <v>19</v>
      </c>
      <c r="J12" t="n">
        <v>3</v>
      </c>
      <c r="K12" t="n">
        <v>2145</v>
      </c>
      <c r="L12" t="n">
        <v>1122</v>
      </c>
      <c r="M12" t="n">
        <v>52.6</v>
      </c>
      <c r="N12" t="n">
        <v>52.3</v>
      </c>
    </row>
    <row r="13">
      <c r="A13" t="inlineStr">
        <is>
          <t>Kratie</t>
        </is>
      </c>
      <c r="B13" t="n">
        <v>9</v>
      </c>
      <c r="C13" t="n">
        <v>178</v>
      </c>
      <c r="D13" t="n">
        <v>96</v>
      </c>
      <c r="E13" t="n">
        <v>600</v>
      </c>
      <c r="F13" t="n">
        <v>315</v>
      </c>
      <c r="G13" t="n">
        <v>41</v>
      </c>
      <c r="H13" t="n">
        <v>20</v>
      </c>
      <c r="I13" t="n">
        <v>59</v>
      </c>
      <c r="J13" t="n">
        <v>35</v>
      </c>
      <c r="K13" t="n">
        <v>878</v>
      </c>
      <c r="L13" t="n">
        <v>466</v>
      </c>
      <c r="M13" t="n">
        <v>52.5</v>
      </c>
      <c r="N13" t="n">
        <v>53.1</v>
      </c>
    </row>
    <row r="14">
      <c r="A14" t="inlineStr">
        <is>
          <t>Mondul Kiri</t>
        </is>
      </c>
      <c r="B14" t="n">
        <v>9</v>
      </c>
      <c r="C14" t="n">
        <v>131</v>
      </c>
      <c r="D14" t="n">
        <v>67</v>
      </c>
      <c r="E14" t="n">
        <v>267</v>
      </c>
      <c r="F14" t="n">
        <v>119</v>
      </c>
      <c r="G14" t="n">
        <v>89</v>
      </c>
      <c r="H14" t="n">
        <v>40</v>
      </c>
      <c r="I14" t="n">
        <v>39</v>
      </c>
      <c r="J14" t="n">
        <v>15</v>
      </c>
      <c r="K14" t="n">
        <v>526</v>
      </c>
      <c r="L14" t="n">
        <v>241</v>
      </c>
      <c r="M14" t="n">
        <v>44.6</v>
      </c>
      <c r="N14" t="n">
        <v>45.8</v>
      </c>
    </row>
    <row r="15">
      <c r="A15" t="inlineStr">
        <is>
          <t>Otdar Meanchey</t>
        </is>
      </c>
      <c r="B15" t="n">
        <v>12</v>
      </c>
      <c r="C15" t="n">
        <v>295</v>
      </c>
      <c r="D15" t="n">
        <v>147</v>
      </c>
      <c r="E15" t="n">
        <v>1439</v>
      </c>
      <c r="F15" t="n">
        <v>651</v>
      </c>
      <c r="G15" t="n">
        <v>0</v>
      </c>
      <c r="H15" t="n">
        <v>0</v>
      </c>
      <c r="I15" t="n">
        <v>0</v>
      </c>
      <c r="J15" t="n">
        <v>0</v>
      </c>
      <c r="K15" t="n">
        <v>1734</v>
      </c>
      <c r="L15" t="n">
        <v>798</v>
      </c>
      <c r="M15" t="n">
        <v>45.2</v>
      </c>
      <c r="N15" t="n">
        <v>46</v>
      </c>
    </row>
    <row r="16">
      <c r="A16" t="inlineStr">
        <is>
          <t>Pailin</t>
        </is>
      </c>
      <c r="B16" t="n">
        <v>17</v>
      </c>
      <c r="C16" t="n">
        <v>522</v>
      </c>
      <c r="D16" t="n">
        <v>275</v>
      </c>
      <c r="E16" t="n">
        <v>1090</v>
      </c>
      <c r="F16" t="n">
        <v>541</v>
      </c>
      <c r="G16" t="n">
        <v>0</v>
      </c>
      <c r="H16" t="n">
        <v>0</v>
      </c>
      <c r="I16" t="n">
        <v>0</v>
      </c>
      <c r="J16" t="n">
        <v>0</v>
      </c>
      <c r="K16" t="n">
        <v>1612</v>
      </c>
      <c r="L16" t="n">
        <v>816</v>
      </c>
      <c r="M16" t="n">
        <v>49.6</v>
      </c>
      <c r="N16" t="n">
        <v>50.6</v>
      </c>
    </row>
    <row r="17">
      <c r="A17" t="inlineStr">
        <is>
          <t>Phnom Penh</t>
        </is>
      </c>
      <c r="B17" t="n">
        <v>529</v>
      </c>
      <c r="C17" t="n">
        <v>16742</v>
      </c>
      <c r="D17" t="n">
        <v>8241</v>
      </c>
      <c r="E17" t="n">
        <v>61219</v>
      </c>
      <c r="F17" t="n">
        <v>30557</v>
      </c>
      <c r="G17" t="n">
        <v>21024</v>
      </c>
      <c r="H17" t="n">
        <v>10567</v>
      </c>
      <c r="I17" t="n">
        <v>15781</v>
      </c>
      <c r="J17" t="n">
        <v>7903</v>
      </c>
      <c r="K17" t="n">
        <v>114766</v>
      </c>
      <c r="L17" t="n">
        <v>57268</v>
      </c>
      <c r="M17" t="n">
        <v>49.9</v>
      </c>
      <c r="N17" t="n">
        <v>49.9</v>
      </c>
    </row>
    <row r="18">
      <c r="A18" t="inlineStr">
        <is>
          <t>Preah Sihanouk</t>
        </is>
      </c>
      <c r="B18" t="n">
        <v>58</v>
      </c>
      <c r="C18" t="n">
        <v>1951</v>
      </c>
      <c r="D18" t="n">
        <v>922</v>
      </c>
      <c r="E18" t="n">
        <v>4387</v>
      </c>
      <c r="F18" t="n">
        <v>2097</v>
      </c>
      <c r="G18" t="n">
        <v>1086</v>
      </c>
      <c r="H18" t="n">
        <v>544</v>
      </c>
      <c r="I18" t="n">
        <v>735</v>
      </c>
      <c r="J18" t="n">
        <v>349</v>
      </c>
      <c r="K18" t="n">
        <v>8159</v>
      </c>
      <c r="L18" t="n">
        <v>3912</v>
      </c>
      <c r="M18" t="n">
        <v>47.8</v>
      </c>
      <c r="N18" t="n">
        <v>47.9</v>
      </c>
    </row>
    <row r="19">
      <c r="A19" t="inlineStr">
        <is>
          <t>Preah Vihear</t>
        </is>
      </c>
      <c r="B19" t="n">
        <v>5</v>
      </c>
      <c r="C19" t="n">
        <v>81</v>
      </c>
      <c r="D19" t="n">
        <v>27</v>
      </c>
      <c r="E19" t="n">
        <v>110</v>
      </c>
      <c r="F19" t="n">
        <v>50</v>
      </c>
      <c r="G19" t="n">
        <v>0</v>
      </c>
      <c r="H19" t="n">
        <v>0</v>
      </c>
      <c r="I19" t="n">
        <v>0</v>
      </c>
      <c r="J19" t="n">
        <v>0</v>
      </c>
      <c r="K19" t="n">
        <v>191</v>
      </c>
      <c r="L19" t="n">
        <v>77</v>
      </c>
      <c r="M19" t="n">
        <v>45.5</v>
      </c>
      <c r="N19" t="n">
        <v>40.3</v>
      </c>
    </row>
    <row r="20">
      <c r="A20" t="inlineStr">
        <is>
          <t>Prey Veng</t>
        </is>
      </c>
      <c r="B20" t="n">
        <v>5</v>
      </c>
      <c r="C20" t="n">
        <v>106</v>
      </c>
      <c r="D20" t="n">
        <v>59</v>
      </c>
      <c r="E20" t="n">
        <v>46</v>
      </c>
      <c r="F20" t="n">
        <v>16</v>
      </c>
      <c r="G20" t="n">
        <v>0</v>
      </c>
      <c r="H20" t="n">
        <v>0</v>
      </c>
      <c r="I20" t="n">
        <v>135</v>
      </c>
      <c r="J20" t="n">
        <v>86</v>
      </c>
      <c r="K20" t="n">
        <v>287</v>
      </c>
      <c r="L20" t="n">
        <v>161</v>
      </c>
      <c r="M20" t="n">
        <v>34.8</v>
      </c>
      <c r="N20" t="n">
        <v>56.1</v>
      </c>
    </row>
    <row r="21">
      <c r="A21" t="inlineStr">
        <is>
          <t>Pursat</t>
        </is>
      </c>
      <c r="B21" t="n">
        <v>10</v>
      </c>
      <c r="C21" t="n">
        <v>577</v>
      </c>
      <c r="D21" t="n">
        <v>294</v>
      </c>
      <c r="E21" t="n">
        <v>317</v>
      </c>
      <c r="F21" t="n">
        <v>156</v>
      </c>
      <c r="G21" t="n">
        <v>0</v>
      </c>
      <c r="H21" t="n">
        <v>0</v>
      </c>
      <c r="I21" t="n">
        <v>0</v>
      </c>
      <c r="J21" t="n">
        <v>0</v>
      </c>
      <c r="K21" t="n">
        <v>894</v>
      </c>
      <c r="L21" t="n">
        <v>450</v>
      </c>
      <c r="M21" t="n">
        <v>49.2</v>
      </c>
      <c r="N21" t="n">
        <v>50.3</v>
      </c>
    </row>
    <row r="22">
      <c r="A22" t="inlineStr">
        <is>
          <t>Ratanak Kiri</t>
        </is>
      </c>
      <c r="B22" t="n">
        <v>12</v>
      </c>
      <c r="C22" t="n">
        <v>649</v>
      </c>
      <c r="D22" t="n">
        <v>302</v>
      </c>
      <c r="E22" t="n">
        <v>1224</v>
      </c>
      <c r="F22" t="n">
        <v>602</v>
      </c>
      <c r="G22" t="n">
        <v>349</v>
      </c>
      <c r="H22" t="n">
        <v>162</v>
      </c>
      <c r="I22" t="n">
        <v>177</v>
      </c>
      <c r="J22" t="n">
        <v>78</v>
      </c>
      <c r="K22" t="n">
        <v>2399</v>
      </c>
      <c r="L22" t="n">
        <v>1144</v>
      </c>
      <c r="M22" t="n">
        <v>49.2</v>
      </c>
      <c r="N22" t="n">
        <v>47.7</v>
      </c>
    </row>
    <row r="23">
      <c r="A23" t="inlineStr">
        <is>
          <t>Siemreap</t>
        </is>
      </c>
      <c r="B23" t="n">
        <v>71</v>
      </c>
      <c r="C23" t="n">
        <v>1727</v>
      </c>
      <c r="D23" t="n">
        <v>925</v>
      </c>
      <c r="E23" t="n">
        <v>3170</v>
      </c>
      <c r="F23" t="n">
        <v>1581</v>
      </c>
      <c r="G23" t="n">
        <v>764</v>
      </c>
      <c r="H23" t="n">
        <v>385</v>
      </c>
      <c r="I23" t="n">
        <v>543</v>
      </c>
      <c r="J23" t="n">
        <v>280</v>
      </c>
      <c r="K23" t="n">
        <v>6204</v>
      </c>
      <c r="L23" t="n">
        <v>3171</v>
      </c>
      <c r="M23" t="n">
        <v>49.9</v>
      </c>
      <c r="N23" t="n">
        <v>51.1</v>
      </c>
    </row>
    <row r="24">
      <c r="A24" t="inlineStr">
        <is>
          <t>Stung Treng</t>
        </is>
      </c>
      <c r="B24" t="n">
        <v>11</v>
      </c>
      <c r="C24" t="n">
        <v>402</v>
      </c>
      <c r="D24" t="n">
        <v>200</v>
      </c>
      <c r="E24" t="n">
        <v>292</v>
      </c>
      <c r="F24" t="n">
        <v>143</v>
      </c>
      <c r="G24" t="n">
        <v>64</v>
      </c>
      <c r="H24" t="n">
        <v>35</v>
      </c>
      <c r="I24" t="n">
        <v>11</v>
      </c>
      <c r="J24" t="n">
        <v>9</v>
      </c>
      <c r="K24" t="n">
        <v>769</v>
      </c>
      <c r="L24" t="n">
        <v>387</v>
      </c>
      <c r="M24" t="n">
        <v>49</v>
      </c>
      <c r="N24" t="n">
        <v>50.3</v>
      </c>
    </row>
    <row r="25">
      <c r="A25" t="inlineStr">
        <is>
          <t>Svay Rieng</t>
        </is>
      </c>
      <c r="B25" t="n">
        <v>10</v>
      </c>
      <c r="C25" t="n">
        <v>227</v>
      </c>
      <c r="D25" t="n">
        <v>121</v>
      </c>
      <c r="E25" t="n">
        <v>236</v>
      </c>
      <c r="F25" t="n">
        <v>100</v>
      </c>
      <c r="G25" t="n">
        <v>0</v>
      </c>
      <c r="H25" t="n">
        <v>0</v>
      </c>
      <c r="I25" t="n">
        <v>0</v>
      </c>
      <c r="J25" t="n">
        <v>0</v>
      </c>
      <c r="K25" t="n">
        <v>463</v>
      </c>
      <c r="L25" t="n">
        <v>221</v>
      </c>
      <c r="M25" t="n">
        <v>42.4</v>
      </c>
      <c r="N25" t="n">
        <v>47.7</v>
      </c>
    </row>
    <row r="26">
      <c r="A26" t="inlineStr">
        <is>
          <t>Takeo</t>
        </is>
      </c>
      <c r="B26" t="n">
        <v>51</v>
      </c>
      <c r="C26" t="n">
        <v>1240</v>
      </c>
      <c r="D26" t="n">
        <v>589</v>
      </c>
      <c r="E26" t="n">
        <v>2854</v>
      </c>
      <c r="F26" t="n">
        <v>1401</v>
      </c>
      <c r="G26" t="n">
        <v>748</v>
      </c>
      <c r="H26" t="n">
        <v>365</v>
      </c>
      <c r="I26" t="n">
        <v>568</v>
      </c>
      <c r="J26" t="n">
        <v>265</v>
      </c>
      <c r="K26" t="n">
        <v>5410</v>
      </c>
      <c r="L26" t="n">
        <v>2620</v>
      </c>
      <c r="M26" t="n">
        <v>49.1</v>
      </c>
      <c r="N26" t="n">
        <v>48.4</v>
      </c>
    </row>
    <row r="27">
      <c r="A27" t="inlineStr">
        <is>
          <t>Tbaung Khmum</t>
        </is>
      </c>
      <c r="B27" t="n">
        <v>26</v>
      </c>
      <c r="C27" t="n">
        <v>474</v>
      </c>
      <c r="D27" t="n">
        <v>231</v>
      </c>
      <c r="E27" t="n">
        <v>1866</v>
      </c>
      <c r="F27" t="n">
        <v>1013</v>
      </c>
      <c r="G27" t="n">
        <v>1857</v>
      </c>
      <c r="H27" t="n">
        <v>1072</v>
      </c>
      <c r="I27" t="n">
        <v>675</v>
      </c>
      <c r="J27" t="n">
        <v>496</v>
      </c>
      <c r="K27" t="n">
        <v>4872</v>
      </c>
      <c r="L27" t="n">
        <v>2812</v>
      </c>
      <c r="M27" t="n">
        <v>54.3</v>
      </c>
      <c r="N27" t="n">
        <v>57.7</v>
      </c>
    </row>
    <row r="28">
      <c r="A28" t="inlineStr">
        <is>
          <t>Whole Kingdom</t>
        </is>
      </c>
      <c r="B28" t="n">
        <v>1307</v>
      </c>
      <c r="C28" t="n">
        <v>37701</v>
      </c>
      <c r="D28" t="n">
        <v>18824</v>
      </c>
      <c r="E28" t="n">
        <v>118436</v>
      </c>
      <c r="F28" t="n">
        <v>58478</v>
      </c>
      <c r="G28" t="n">
        <v>37719</v>
      </c>
      <c r="H28" t="n">
        <v>19011</v>
      </c>
      <c r="I28" t="n">
        <v>25962</v>
      </c>
      <c r="J28" t="n">
        <v>13112</v>
      </c>
      <c r="K28" t="n">
        <v>219818</v>
      </c>
      <c r="L28" t="n">
        <v>109425</v>
      </c>
      <c r="M28" t="n">
        <v>49.4</v>
      </c>
      <c r="N28" t="n">
        <v>49.8</v>
      </c>
    </row>
    <row r="29">
      <c r="A29" t="inlineStr">
        <is>
          <t>- Urban Area</t>
        </is>
      </c>
      <c r="B29" t="n">
        <v>1007</v>
      </c>
      <c r="C29" t="n">
        <v>30568</v>
      </c>
      <c r="D29" t="n">
        <v>15168</v>
      </c>
      <c r="E29" t="n">
        <v>96297</v>
      </c>
      <c r="F29" t="n">
        <v>47753</v>
      </c>
      <c r="G29" t="n">
        <v>31644</v>
      </c>
      <c r="H29" t="n">
        <v>16022</v>
      </c>
      <c r="I29" t="n">
        <v>23314</v>
      </c>
      <c r="J29" t="n">
        <v>11763</v>
      </c>
      <c r="K29" t="n">
        <v>181823</v>
      </c>
      <c r="L29" t="n">
        <v>90706</v>
      </c>
      <c r="M29" t="n">
        <v>49.6</v>
      </c>
      <c r="N29" t="n">
        <v>49.9</v>
      </c>
    </row>
    <row r="30">
      <c r="A30" t="inlineStr">
        <is>
          <t>- Rural Area</t>
        </is>
      </c>
      <c r="B30" t="n">
        <v>300</v>
      </c>
      <c r="C30" t="n">
        <v>7133</v>
      </c>
      <c r="D30" t="n">
        <v>3656</v>
      </c>
      <c r="E30" t="n">
        <v>22139</v>
      </c>
      <c r="F30" t="n">
        <v>10725</v>
      </c>
      <c r="G30" t="n">
        <v>6075</v>
      </c>
      <c r="H30" t="n">
        <v>2989</v>
      </c>
      <c r="I30" t="n">
        <v>2648</v>
      </c>
      <c r="J30" t="n">
        <v>1349</v>
      </c>
      <c r="K30" t="n">
        <v>37995</v>
      </c>
      <c r="L30" t="n">
        <v>18719</v>
      </c>
      <c r="M30" t="n">
        <v>48.4</v>
      </c>
      <c r="N30" t="n">
        <v>49.3</v>
      </c>
    </row>
  </sheetData>
  <mergeCells count="8">
    <mergeCell ref="C1:D1"/>
    <mergeCell ref="G1:H1"/>
    <mergeCell ref="E1:F1"/>
    <mergeCell ref="K1:L1"/>
    <mergeCell ref="B1:B2"/>
    <mergeCell ref="M1:N1"/>
    <mergeCell ref="I1:J1"/>
    <mergeCell ref="A1: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B9BD5"/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19.1640625" customWidth="1" min="1" max="1"/>
    <col width="10.1640625" customWidth="1" min="2" max="2"/>
    <col width="10" customWidth="1" min="3" max="3"/>
    <col width="10.1640625" customWidth="1" min="4" max="4"/>
    <col width="11.1640625" customWidth="1" min="5" max="5"/>
    <col width="10.5" customWidth="1" min="6" max="6"/>
    <col width="10.83203125" customWidth="1" min="9" max="9"/>
    <col width="10.6640625" customWidth="1" min="10" max="10"/>
    <col width="10.5" customWidth="1" min="11" max="11"/>
    <col width="10.6640625" customWidth="1" min="12" max="12"/>
    <col width="10.83203125" customWidth="1" min="13" max="13"/>
    <col width="11.1640625" customWidth="1" min="14" max="14"/>
    <col width="10.83203125" customWidth="1" min="15" max="15"/>
  </cols>
  <sheetData>
    <row r="1">
      <c r="A1" t="inlineStr">
        <is>
          <t>Table 1: Schools, Classes, Students and Staff</t>
        </is>
      </c>
      <c r="B1" t="inlineStr">
        <is>
          <t>Grade 1</t>
        </is>
      </c>
      <c r="D1" t="inlineStr">
        <is>
          <t>Primary Enrollment</t>
        </is>
      </c>
      <c r="F1" t="inlineStr">
        <is>
          <t>New Grade 7</t>
        </is>
      </c>
      <c r="H1" t="inlineStr">
        <is>
          <t>L.Sec. Enrollment</t>
        </is>
      </c>
      <c r="J1" t="inlineStr">
        <is>
          <t>New Grade 10</t>
        </is>
      </c>
      <c r="L1" t="inlineStr">
        <is>
          <t>U. Sec. Enrollment</t>
        </is>
      </c>
      <c r="N1" t="inlineStr">
        <is>
          <t>%Over-age Enrollment in</t>
        </is>
      </c>
    </row>
    <row r="2">
      <c r="B2" t="inlineStr">
        <is>
          <t>Total</t>
        </is>
      </c>
      <c r="C2" t="inlineStr">
        <is>
          <t>Aged 6</t>
        </is>
      </c>
      <c r="D2" t="inlineStr">
        <is>
          <t>Total</t>
        </is>
      </c>
      <c r="E2" t="inlineStr">
        <is>
          <t>Aged 11+</t>
        </is>
      </c>
      <c r="F2" t="inlineStr">
        <is>
          <t>Total</t>
        </is>
      </c>
      <c r="G2" t="inlineStr">
        <is>
          <t>Aged 12</t>
        </is>
      </c>
      <c r="H2" t="inlineStr">
        <is>
          <t>Total</t>
        </is>
      </c>
      <c r="I2" t="inlineStr">
        <is>
          <t>Aged 14+</t>
        </is>
      </c>
      <c r="J2" t="inlineStr">
        <is>
          <t>Total</t>
        </is>
      </c>
      <c r="K2" t="inlineStr">
        <is>
          <t>Aged 15</t>
        </is>
      </c>
      <c r="L2" t="inlineStr">
        <is>
          <t>Total</t>
        </is>
      </c>
      <c r="M2" t="inlineStr">
        <is>
          <t>Age 17+</t>
        </is>
      </c>
      <c r="N2" t="inlineStr">
        <is>
          <t>Primary</t>
        </is>
      </c>
      <c r="O2" t="inlineStr">
        <is>
          <t>L.Sec.</t>
        </is>
      </c>
      <c r="P2" t="inlineStr">
        <is>
          <t>U.sec.</t>
        </is>
      </c>
    </row>
    <row r="3">
      <c r="A3" t="inlineStr">
        <is>
          <t>Banteay Meanchey</t>
        </is>
      </c>
      <c r="B3" t="n">
        <v>2684</v>
      </c>
      <c r="C3" t="n">
        <v>1298</v>
      </c>
      <c r="D3" t="n">
        <v>11669</v>
      </c>
      <c r="E3" t="n">
        <v>1682</v>
      </c>
      <c r="F3" t="n">
        <v>1382</v>
      </c>
      <c r="G3" t="n">
        <v>538</v>
      </c>
      <c r="H3" t="n">
        <v>3910</v>
      </c>
      <c r="I3" t="n">
        <v>1164</v>
      </c>
      <c r="J3" t="n">
        <v>832</v>
      </c>
      <c r="K3" t="n">
        <v>441</v>
      </c>
      <c r="L3" t="n">
        <v>2079</v>
      </c>
      <c r="M3" t="n">
        <v>419</v>
      </c>
      <c r="N3" t="n">
        <v>14.4</v>
      </c>
      <c r="O3" t="n">
        <v>29.8</v>
      </c>
      <c r="P3" t="n">
        <v>21.2</v>
      </c>
    </row>
    <row r="4">
      <c r="A4" t="inlineStr">
        <is>
          <t>Battambang</t>
        </is>
      </c>
      <c r="B4" t="n">
        <v>912</v>
      </c>
      <c r="C4" t="n">
        <v>630</v>
      </c>
      <c r="D4" t="n">
        <v>4030</v>
      </c>
      <c r="E4" t="n">
        <v>390</v>
      </c>
      <c r="F4" t="n">
        <v>622</v>
      </c>
      <c r="G4" t="n">
        <v>329</v>
      </c>
      <c r="H4" t="n">
        <v>1875</v>
      </c>
      <c r="I4" t="n">
        <v>432</v>
      </c>
      <c r="J4" t="n">
        <v>599</v>
      </c>
      <c r="K4" t="n">
        <v>441</v>
      </c>
      <c r="L4" t="n">
        <v>1763</v>
      </c>
      <c r="M4" t="n">
        <v>306</v>
      </c>
      <c r="N4" t="n">
        <v>9.699999999999999</v>
      </c>
      <c r="O4" t="n">
        <v>23</v>
      </c>
      <c r="P4" t="n">
        <v>25</v>
      </c>
    </row>
    <row r="5">
      <c r="A5" t="inlineStr">
        <is>
          <t>Kampong Cham</t>
        </is>
      </c>
      <c r="B5" t="n">
        <v>482</v>
      </c>
      <c r="C5" t="n">
        <v>192</v>
      </c>
      <c r="D5" t="n">
        <v>2264</v>
      </c>
      <c r="E5" t="n">
        <v>545</v>
      </c>
      <c r="F5" t="n">
        <v>230</v>
      </c>
      <c r="G5" t="n">
        <v>136</v>
      </c>
      <c r="H5" t="n">
        <v>742</v>
      </c>
      <c r="I5" t="n">
        <v>87</v>
      </c>
      <c r="J5" t="n">
        <v>163</v>
      </c>
      <c r="K5" t="n">
        <v>39</v>
      </c>
      <c r="L5" t="n">
        <v>371</v>
      </c>
      <c r="M5" t="n">
        <v>116</v>
      </c>
      <c r="N5" t="n">
        <v>24.1</v>
      </c>
      <c r="O5" t="n">
        <v>11.7</v>
      </c>
      <c r="P5" t="n">
        <v>10.5</v>
      </c>
    </row>
    <row r="6">
      <c r="A6" t="inlineStr">
        <is>
          <t>Kampong Chhnang</t>
        </is>
      </c>
      <c r="B6" t="n">
        <v>437</v>
      </c>
      <c r="C6" t="n">
        <v>337</v>
      </c>
      <c r="D6" t="n">
        <v>1920</v>
      </c>
      <c r="E6" t="n">
        <v>94</v>
      </c>
      <c r="F6" t="n">
        <v>240</v>
      </c>
      <c r="G6" t="n">
        <v>141</v>
      </c>
      <c r="H6" t="n">
        <v>656</v>
      </c>
      <c r="I6" t="n">
        <v>120</v>
      </c>
      <c r="J6" t="n">
        <v>137</v>
      </c>
      <c r="K6" t="n">
        <v>64</v>
      </c>
      <c r="L6" t="n">
        <v>356</v>
      </c>
      <c r="M6" t="n">
        <v>69</v>
      </c>
      <c r="N6" t="n">
        <v>4.9</v>
      </c>
      <c r="O6" t="n">
        <v>18.3</v>
      </c>
      <c r="P6" t="n">
        <v>18</v>
      </c>
    </row>
    <row r="7">
      <c r="A7" t="inlineStr">
        <is>
          <t>Kampong Speu</t>
        </is>
      </c>
      <c r="B7" t="n">
        <v>1235</v>
      </c>
      <c r="C7" t="n">
        <v>903</v>
      </c>
      <c r="D7" t="n">
        <v>4545</v>
      </c>
      <c r="E7" t="n">
        <v>531</v>
      </c>
      <c r="F7" t="n">
        <v>329</v>
      </c>
      <c r="G7" t="n">
        <v>129</v>
      </c>
      <c r="H7" t="n">
        <v>709</v>
      </c>
      <c r="I7" t="n">
        <v>185</v>
      </c>
      <c r="J7" t="n">
        <v>91</v>
      </c>
      <c r="K7" t="n">
        <v>64</v>
      </c>
      <c r="L7" t="n">
        <v>239</v>
      </c>
      <c r="M7" t="n">
        <v>53</v>
      </c>
      <c r="N7" t="n">
        <v>11.7</v>
      </c>
      <c r="O7" t="n">
        <v>26.1</v>
      </c>
      <c r="P7" t="n">
        <v>26.8</v>
      </c>
    </row>
    <row r="8">
      <c r="A8" t="inlineStr">
        <is>
          <t>Kampong Thom</t>
        </is>
      </c>
      <c r="B8" t="n">
        <v>864</v>
      </c>
      <c r="C8" t="n">
        <v>769</v>
      </c>
      <c r="D8" t="n">
        <v>2938</v>
      </c>
      <c r="E8" t="n">
        <v>167</v>
      </c>
      <c r="F8" t="n">
        <v>219</v>
      </c>
      <c r="G8" t="n">
        <v>104</v>
      </c>
      <c r="H8" t="n">
        <v>557</v>
      </c>
      <c r="I8" t="n">
        <v>126</v>
      </c>
      <c r="J8" t="n">
        <v>91</v>
      </c>
      <c r="K8" t="n">
        <v>76</v>
      </c>
      <c r="L8" t="n">
        <v>228</v>
      </c>
      <c r="M8" t="n">
        <v>31</v>
      </c>
      <c r="N8" t="n">
        <v>5.7</v>
      </c>
      <c r="O8" t="n">
        <v>22.6</v>
      </c>
      <c r="P8" t="n">
        <v>33.3</v>
      </c>
    </row>
    <row r="9">
      <c r="A9" t="inlineStr">
        <is>
          <t>Kampot</t>
        </is>
      </c>
      <c r="B9" t="n">
        <v>1344</v>
      </c>
      <c r="C9" t="n">
        <v>505</v>
      </c>
      <c r="D9" t="n">
        <v>5120</v>
      </c>
      <c r="E9" t="n">
        <v>2268</v>
      </c>
      <c r="F9" t="n">
        <v>585</v>
      </c>
      <c r="G9" t="n">
        <v>177</v>
      </c>
      <c r="H9" t="n">
        <v>1548</v>
      </c>
      <c r="I9" t="n">
        <v>596</v>
      </c>
      <c r="J9" t="n">
        <v>391</v>
      </c>
      <c r="K9" t="n">
        <v>349</v>
      </c>
      <c r="L9" t="n">
        <v>1146</v>
      </c>
      <c r="M9" t="n">
        <v>139</v>
      </c>
      <c r="N9" t="n">
        <v>44.3</v>
      </c>
      <c r="O9" t="n">
        <v>38.5</v>
      </c>
      <c r="P9" t="n">
        <v>30.5</v>
      </c>
    </row>
    <row r="10">
      <c r="A10" t="inlineStr">
        <is>
          <t>Kandal</t>
        </is>
      </c>
      <c r="B10" t="n">
        <v>1771</v>
      </c>
      <c r="C10" t="n">
        <v>1087</v>
      </c>
      <c r="D10" t="n">
        <v>7462</v>
      </c>
      <c r="E10" t="n">
        <v>1426</v>
      </c>
      <c r="F10" t="n">
        <v>875</v>
      </c>
      <c r="G10" t="n">
        <v>490</v>
      </c>
      <c r="H10" t="n">
        <v>2456</v>
      </c>
      <c r="I10" t="n">
        <v>484</v>
      </c>
      <c r="J10" t="n">
        <v>647</v>
      </c>
      <c r="K10" t="n">
        <v>275</v>
      </c>
      <c r="L10" t="n">
        <v>1654</v>
      </c>
      <c r="M10" t="n">
        <v>379</v>
      </c>
      <c r="N10" t="n">
        <v>19.1</v>
      </c>
      <c r="O10" t="n">
        <v>19.7</v>
      </c>
      <c r="P10" t="n">
        <v>16.6</v>
      </c>
    </row>
    <row r="11">
      <c r="A11" t="inlineStr">
        <is>
          <t>Kep</t>
        </is>
      </c>
      <c r="B11" t="n">
        <v>214</v>
      </c>
      <c r="C11" t="n">
        <v>0</v>
      </c>
      <c r="D11" t="n">
        <v>499</v>
      </c>
      <c r="E11" t="n">
        <v>491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98.40000000000001</v>
      </c>
      <c r="O11" t="n">
        <v>0</v>
      </c>
      <c r="P11" t="n">
        <v>0</v>
      </c>
    </row>
    <row r="12">
      <c r="A12" t="inlineStr">
        <is>
          <t>Koh Kong</t>
        </is>
      </c>
      <c r="B12" t="n">
        <v>428</v>
      </c>
      <c r="C12" t="n">
        <v>175</v>
      </c>
      <c r="D12" t="n">
        <v>1611</v>
      </c>
      <c r="E12" t="n">
        <v>271</v>
      </c>
      <c r="F12" t="n">
        <v>46</v>
      </c>
      <c r="G12" t="n">
        <v>29</v>
      </c>
      <c r="H12" t="n">
        <v>159</v>
      </c>
      <c r="I12" t="n">
        <v>54</v>
      </c>
      <c r="J12" t="n">
        <v>0</v>
      </c>
      <c r="K12" t="n">
        <v>0</v>
      </c>
      <c r="L12" t="n">
        <v>0</v>
      </c>
      <c r="M12" t="n">
        <v>0</v>
      </c>
      <c r="N12" t="n">
        <v>16.8</v>
      </c>
      <c r="O12" t="n">
        <v>34</v>
      </c>
      <c r="P12" t="n">
        <v>0</v>
      </c>
    </row>
    <row r="13">
      <c r="A13" t="inlineStr">
        <is>
          <t>Kratie</t>
        </is>
      </c>
      <c r="B13" t="n">
        <v>523</v>
      </c>
      <c r="C13" t="n">
        <v>52</v>
      </c>
      <c r="D13" t="n">
        <v>892</v>
      </c>
      <c r="E13" t="n">
        <v>640</v>
      </c>
      <c r="F13" t="n">
        <v>21</v>
      </c>
      <c r="G13" t="n">
        <v>6</v>
      </c>
      <c r="H13" t="n">
        <v>58</v>
      </c>
      <c r="I13" t="n">
        <v>21</v>
      </c>
      <c r="J13" t="n">
        <v>14</v>
      </c>
      <c r="K13" t="n">
        <v>22</v>
      </c>
      <c r="L13" t="n">
        <v>59</v>
      </c>
      <c r="M13" t="n">
        <v>9</v>
      </c>
      <c r="N13" t="n">
        <v>71.7</v>
      </c>
      <c r="O13" t="n">
        <v>36.2</v>
      </c>
      <c r="P13" t="n">
        <v>37.3</v>
      </c>
    </row>
    <row r="14">
      <c r="A14" t="inlineStr">
        <is>
          <t>Mondul Kiri</t>
        </is>
      </c>
      <c r="B14" t="n">
        <v>91</v>
      </c>
      <c r="C14" t="n">
        <v>55</v>
      </c>
      <c r="D14" t="n">
        <v>303</v>
      </c>
      <c r="E14" t="n">
        <v>11</v>
      </c>
      <c r="F14" t="n">
        <v>33</v>
      </c>
      <c r="G14" t="n">
        <v>13</v>
      </c>
      <c r="H14" t="n">
        <v>101</v>
      </c>
      <c r="I14" t="n">
        <v>25</v>
      </c>
      <c r="J14" t="n">
        <v>18</v>
      </c>
      <c r="K14" t="n">
        <v>10</v>
      </c>
      <c r="L14" t="n">
        <v>46</v>
      </c>
      <c r="M14" t="n">
        <v>7</v>
      </c>
      <c r="N14" t="n">
        <v>3.6</v>
      </c>
      <c r="O14" t="n">
        <v>24.8</v>
      </c>
      <c r="P14" t="n">
        <v>21.7</v>
      </c>
    </row>
    <row r="15">
      <c r="A15" t="inlineStr">
        <is>
          <t>Otdar Meanchey</t>
        </is>
      </c>
      <c r="B15" t="n">
        <v>429</v>
      </c>
      <c r="C15" t="n">
        <v>375</v>
      </c>
      <c r="D15" t="n">
        <v>1698</v>
      </c>
      <c r="E15" t="n">
        <v>132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7.8</v>
      </c>
      <c r="O15" t="n">
        <v>0</v>
      </c>
      <c r="P15" t="n">
        <v>0</v>
      </c>
    </row>
    <row r="16">
      <c r="A16" t="inlineStr">
        <is>
          <t>Pailin</t>
        </is>
      </c>
      <c r="B16" t="n">
        <v>330</v>
      </c>
      <c r="C16" t="n">
        <v>211</v>
      </c>
      <c r="D16" t="n">
        <v>1239</v>
      </c>
      <c r="E16" t="n">
        <v>119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9.6</v>
      </c>
      <c r="O16" t="n">
        <v>0</v>
      </c>
      <c r="P16" t="n">
        <v>0</v>
      </c>
    </row>
    <row r="17">
      <c r="A17" t="inlineStr">
        <is>
          <t>Phnom Penh</t>
        </is>
      </c>
      <c r="B17" t="n">
        <v>13761</v>
      </c>
      <c r="C17" t="n">
        <v>10339</v>
      </c>
      <c r="D17" t="n">
        <v>63948</v>
      </c>
      <c r="E17" t="n">
        <v>4312</v>
      </c>
      <c r="F17" t="n">
        <v>7643</v>
      </c>
      <c r="G17" t="n">
        <v>4199</v>
      </c>
      <c r="H17" t="n">
        <v>21630</v>
      </c>
      <c r="I17" t="n">
        <v>3675</v>
      </c>
      <c r="J17" t="n">
        <v>5447</v>
      </c>
      <c r="K17" t="n">
        <v>2059</v>
      </c>
      <c r="L17" t="n">
        <v>14969</v>
      </c>
      <c r="M17" t="n">
        <v>3518</v>
      </c>
      <c r="N17" t="n">
        <v>6.7</v>
      </c>
      <c r="O17" t="n">
        <v>17</v>
      </c>
      <c r="P17" t="n">
        <v>13.8</v>
      </c>
    </row>
    <row r="18">
      <c r="A18" t="inlineStr">
        <is>
          <t>Preah Sihanouk</t>
        </is>
      </c>
      <c r="B18" t="n">
        <v>1234</v>
      </c>
      <c r="C18" t="n">
        <v>430</v>
      </c>
      <c r="D18" t="n">
        <v>4862</v>
      </c>
      <c r="E18" t="n">
        <v>905</v>
      </c>
      <c r="F18" t="n">
        <v>418</v>
      </c>
      <c r="G18" t="n">
        <v>187</v>
      </c>
      <c r="H18" t="n">
        <v>1173</v>
      </c>
      <c r="I18" t="n">
        <v>252</v>
      </c>
      <c r="J18" t="n">
        <v>311</v>
      </c>
      <c r="K18" t="n">
        <v>221</v>
      </c>
      <c r="L18" t="n">
        <v>833</v>
      </c>
      <c r="M18" t="n">
        <v>167</v>
      </c>
      <c r="N18" t="n">
        <v>18.6</v>
      </c>
      <c r="O18" t="n">
        <v>21.5</v>
      </c>
      <c r="P18" t="n">
        <v>26.5</v>
      </c>
    </row>
    <row r="19">
      <c r="A19" t="inlineStr">
        <is>
          <t>Preah Vihear</t>
        </is>
      </c>
      <c r="B19" t="n">
        <v>60</v>
      </c>
      <c r="C19" t="n">
        <v>56</v>
      </c>
      <c r="D19" t="n">
        <v>126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0.8</v>
      </c>
      <c r="O19" t="n">
        <v>0</v>
      </c>
      <c r="P19" t="n">
        <v>0</v>
      </c>
    </row>
    <row r="20">
      <c r="A20" t="inlineStr">
        <is>
          <t>Prey Veng</t>
        </is>
      </c>
      <c r="B20" t="n">
        <v>14</v>
      </c>
      <c r="C20" t="n">
        <v>14</v>
      </c>
      <c r="D20" t="n">
        <v>37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</v>
      </c>
      <c r="K20" t="n">
        <v>22</v>
      </c>
      <c r="L20" t="n">
        <v>135</v>
      </c>
      <c r="M20" t="n">
        <v>37</v>
      </c>
      <c r="N20" t="n">
        <v>0</v>
      </c>
      <c r="O20" t="n">
        <v>0</v>
      </c>
      <c r="P20" t="n">
        <v>16.3</v>
      </c>
    </row>
    <row r="21">
      <c r="A21" t="inlineStr">
        <is>
          <t>Pursat</t>
        </is>
      </c>
      <c r="B21" t="n">
        <v>61</v>
      </c>
      <c r="C21" t="n">
        <v>59</v>
      </c>
      <c r="D21" t="n">
        <v>130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Ratanak Kiri</t>
        </is>
      </c>
      <c r="B22" t="n">
        <v>343</v>
      </c>
      <c r="C22" t="n">
        <v>263</v>
      </c>
      <c r="D22" t="n">
        <v>1135</v>
      </c>
      <c r="E22" t="n">
        <v>36</v>
      </c>
      <c r="F22" t="n">
        <v>125</v>
      </c>
      <c r="G22" t="n">
        <v>90</v>
      </c>
      <c r="H22" t="n">
        <v>313</v>
      </c>
      <c r="I22" t="n">
        <v>29</v>
      </c>
      <c r="J22" t="n">
        <v>76</v>
      </c>
      <c r="K22" t="n">
        <v>43</v>
      </c>
      <c r="L22" t="n">
        <v>224</v>
      </c>
      <c r="M22" t="n">
        <v>50</v>
      </c>
      <c r="N22" t="n">
        <v>3.2</v>
      </c>
      <c r="O22" t="n">
        <v>9.300000000000001</v>
      </c>
      <c r="P22" t="n">
        <v>19.2</v>
      </c>
    </row>
    <row r="23">
      <c r="A23" t="inlineStr">
        <is>
          <t>Siemreap</t>
        </is>
      </c>
      <c r="B23" t="n">
        <v>1427</v>
      </c>
      <c r="C23" t="n">
        <v>963</v>
      </c>
      <c r="D23" t="n">
        <v>6234</v>
      </c>
      <c r="E23" t="n">
        <v>505</v>
      </c>
      <c r="F23" t="n">
        <v>821</v>
      </c>
      <c r="G23" t="n">
        <v>498</v>
      </c>
      <c r="H23" t="n">
        <v>2503</v>
      </c>
      <c r="I23" t="n">
        <v>465</v>
      </c>
      <c r="J23" t="n">
        <v>664</v>
      </c>
      <c r="K23" t="n">
        <v>316</v>
      </c>
      <c r="L23" t="n">
        <v>1777</v>
      </c>
      <c r="M23" t="n">
        <v>356</v>
      </c>
      <c r="N23" t="n">
        <v>8.1</v>
      </c>
      <c r="O23" t="n">
        <v>18.6</v>
      </c>
      <c r="P23" t="n">
        <v>17.8</v>
      </c>
    </row>
    <row r="24">
      <c r="A24" t="inlineStr">
        <is>
          <t>Stung Treng</t>
        </is>
      </c>
      <c r="B24" t="n">
        <v>122</v>
      </c>
      <c r="C24" t="n">
        <v>106</v>
      </c>
      <c r="D24" t="n">
        <v>344</v>
      </c>
      <c r="E24" t="n">
        <v>0</v>
      </c>
      <c r="F24" t="n">
        <v>37</v>
      </c>
      <c r="G24" t="n">
        <v>37</v>
      </c>
      <c r="H24" t="n">
        <v>73</v>
      </c>
      <c r="I24" t="n">
        <v>0</v>
      </c>
      <c r="J24" t="n">
        <v>15</v>
      </c>
      <c r="K24" t="n">
        <v>0</v>
      </c>
      <c r="L24" t="n">
        <v>22</v>
      </c>
      <c r="M24" t="n">
        <v>15</v>
      </c>
      <c r="N24" t="n">
        <v>0</v>
      </c>
      <c r="O24" t="n">
        <v>0</v>
      </c>
      <c r="P24" t="n">
        <v>0</v>
      </c>
    </row>
    <row r="25">
      <c r="A25" t="inlineStr">
        <is>
          <t>Svay Rieng</t>
        </is>
      </c>
      <c r="B25" t="n">
        <v>71</v>
      </c>
      <c r="C25" t="n">
        <v>65</v>
      </c>
      <c r="D25" t="n">
        <v>214</v>
      </c>
      <c r="E25" t="n">
        <v>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3.3</v>
      </c>
      <c r="O25" t="n">
        <v>0</v>
      </c>
      <c r="P25" t="n">
        <v>0</v>
      </c>
    </row>
    <row r="26">
      <c r="A26" t="inlineStr">
        <is>
          <t>Takeo</t>
        </is>
      </c>
      <c r="B26" t="n">
        <v>823</v>
      </c>
      <c r="C26" t="n">
        <v>518</v>
      </c>
      <c r="D26" t="n">
        <v>3187</v>
      </c>
      <c r="E26" t="n">
        <v>310</v>
      </c>
      <c r="F26" t="n">
        <v>220</v>
      </c>
      <c r="G26" t="n">
        <v>91</v>
      </c>
      <c r="H26" t="n">
        <v>658</v>
      </c>
      <c r="I26" t="n">
        <v>149</v>
      </c>
      <c r="J26" t="n">
        <v>218</v>
      </c>
      <c r="K26" t="n">
        <v>131</v>
      </c>
      <c r="L26" t="n">
        <v>570</v>
      </c>
      <c r="M26" t="n">
        <v>90</v>
      </c>
      <c r="N26" t="n">
        <v>9.699999999999999</v>
      </c>
      <c r="O26" t="n">
        <v>22.6</v>
      </c>
      <c r="P26" t="n">
        <v>23</v>
      </c>
    </row>
    <row r="27">
      <c r="A27" t="inlineStr">
        <is>
          <t>Tbaung Khmum</t>
        </is>
      </c>
      <c r="B27" t="n">
        <v>386</v>
      </c>
      <c r="C27" t="n">
        <v>211</v>
      </c>
      <c r="D27" t="n">
        <v>1765</v>
      </c>
      <c r="E27" t="n">
        <v>287</v>
      </c>
      <c r="F27" t="n">
        <v>706</v>
      </c>
      <c r="G27" t="n">
        <v>123</v>
      </c>
      <c r="H27" t="n">
        <v>1778</v>
      </c>
      <c r="I27" t="n">
        <v>837</v>
      </c>
      <c r="J27" t="n">
        <v>292</v>
      </c>
      <c r="K27" t="n">
        <v>232</v>
      </c>
      <c r="L27" t="n">
        <v>606</v>
      </c>
      <c r="M27" t="n">
        <v>81</v>
      </c>
      <c r="N27" t="n">
        <v>16.3</v>
      </c>
      <c r="O27" t="n">
        <v>47.1</v>
      </c>
      <c r="P27" t="n">
        <v>38.3</v>
      </c>
    </row>
    <row r="28">
      <c r="A28" t="inlineStr">
        <is>
          <t>Whole Kingdom</t>
        </is>
      </c>
      <c r="B28" t="n">
        <v>30046</v>
      </c>
      <c r="C28" t="n">
        <v>19613</v>
      </c>
      <c r="D28" t="n">
        <v>128172</v>
      </c>
      <c r="E28" t="n">
        <v>15130</v>
      </c>
      <c r="F28" t="n">
        <v>14552</v>
      </c>
      <c r="G28" t="n">
        <v>7317</v>
      </c>
      <c r="H28" t="n">
        <v>40899</v>
      </c>
      <c r="I28" t="n">
        <v>8701</v>
      </c>
      <c r="J28" t="n">
        <v>10051</v>
      </c>
      <c r="K28" t="n">
        <v>4805</v>
      </c>
      <c r="L28" t="n">
        <v>27077</v>
      </c>
      <c r="M28" t="n">
        <v>5842</v>
      </c>
      <c r="N28" t="n">
        <v>11.8</v>
      </c>
      <c r="O28" t="n">
        <v>21.3</v>
      </c>
      <c r="P28" t="n">
        <v>17.7</v>
      </c>
    </row>
    <row r="29">
      <c r="A29" t="inlineStr">
        <is>
          <t>- Urban Area</t>
        </is>
      </c>
      <c r="B29" t="n">
        <v>7016</v>
      </c>
      <c r="C29" t="n">
        <v>3742</v>
      </c>
      <c r="D29" t="n">
        <v>25582</v>
      </c>
      <c r="E29" t="n">
        <v>5974</v>
      </c>
      <c r="F29" t="n">
        <v>2402</v>
      </c>
      <c r="G29" t="n">
        <v>851</v>
      </c>
      <c r="H29" t="n">
        <v>6344</v>
      </c>
      <c r="I29" t="n">
        <v>2070</v>
      </c>
      <c r="J29" t="n">
        <v>1242</v>
      </c>
      <c r="K29" t="n">
        <v>856</v>
      </c>
      <c r="L29" t="n">
        <v>2938</v>
      </c>
      <c r="M29" t="n">
        <v>518</v>
      </c>
      <c r="N29" t="n">
        <v>23.4</v>
      </c>
      <c r="O29" t="n">
        <v>32.6</v>
      </c>
      <c r="P29" t="n">
        <v>29.1</v>
      </c>
    </row>
    <row r="30">
      <c r="A30" t="inlineStr">
        <is>
          <t>- Rural Area</t>
        </is>
      </c>
      <c r="B30" t="n">
        <v>23030</v>
      </c>
      <c r="C30" t="n">
        <v>15871</v>
      </c>
      <c r="D30" t="n">
        <v>102590</v>
      </c>
      <c r="E30" t="n">
        <v>9156</v>
      </c>
      <c r="F30" t="n">
        <v>12150</v>
      </c>
      <c r="G30" t="n">
        <v>6466</v>
      </c>
      <c r="H30" t="n">
        <v>34555</v>
      </c>
      <c r="I30" t="n">
        <v>6631</v>
      </c>
      <c r="J30" t="n">
        <v>8809</v>
      </c>
      <c r="K30" t="n">
        <v>3949</v>
      </c>
      <c r="L30" t="n">
        <v>24139</v>
      </c>
      <c r="M30" t="n">
        <v>5324</v>
      </c>
      <c r="N30" t="n">
        <v>8.9</v>
      </c>
      <c r="O30" t="n">
        <v>19.2</v>
      </c>
      <c r="P30" t="n">
        <v>16.4</v>
      </c>
    </row>
  </sheetData>
  <mergeCells count="8">
    <mergeCell ref="D1:E1"/>
    <mergeCell ref="H1:I1"/>
    <mergeCell ref="L1:M1"/>
    <mergeCell ref="J1:K1"/>
    <mergeCell ref="N1:P1"/>
    <mergeCell ref="B1:C1"/>
    <mergeCell ref="F1:G1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B9BD5"/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19.1640625" customWidth="1" min="1" max="1"/>
    <col width="10.5" customWidth="1" min="2" max="2"/>
    <col width="10.6640625" customWidth="1" min="3" max="3"/>
    <col width="10.5" customWidth="1" min="5" max="5"/>
    <col width="10.6640625" customWidth="1" min="6" max="6"/>
    <col width="10.5" customWidth="1" min="7" max="7"/>
    <col width="10.6640625" customWidth="1" min="8" max="8"/>
    <col width="10.5" customWidth="1" min="10" max="10"/>
    <col width="10.6640625" customWidth="1" min="11" max="11"/>
    <col width="10.5" customWidth="1" min="12" max="12"/>
    <col width="10.6640625" customWidth="1" min="13" max="13"/>
    <col width="10.5" customWidth="1" min="15" max="15"/>
    <col width="10.6640625" customWidth="1" min="16" max="16"/>
  </cols>
  <sheetData>
    <row r="1">
      <c r="A1" t="inlineStr">
        <is>
          <t>Table 1: Schools, Classes, Students and Staff</t>
        </is>
      </c>
      <c r="B1" t="inlineStr">
        <is>
          <t>Grade 1</t>
        </is>
      </c>
      <c r="D1" t="inlineStr">
        <is>
          <t>Primary Enrollment</t>
        </is>
      </c>
      <c r="F1" t="inlineStr">
        <is>
          <t>New Grade 7</t>
        </is>
      </c>
      <c r="H1" t="inlineStr">
        <is>
          <t>L.Sec. Enrollment</t>
        </is>
      </c>
      <c r="J1" t="inlineStr">
        <is>
          <t>New Grade 10</t>
        </is>
      </c>
      <c r="L1" t="inlineStr">
        <is>
          <t>U. Sec. Enrollment</t>
        </is>
      </c>
      <c r="N1" t="inlineStr">
        <is>
          <t>%Over-age Enrollment in</t>
        </is>
      </c>
    </row>
    <row r="2">
      <c r="B2" t="inlineStr">
        <is>
          <t>Total</t>
        </is>
      </c>
      <c r="C2" t="inlineStr">
        <is>
          <t>Aged 6</t>
        </is>
      </c>
      <c r="D2" t="inlineStr">
        <is>
          <t>Total</t>
        </is>
      </c>
      <c r="E2" t="inlineStr">
        <is>
          <t>Aged 11+</t>
        </is>
      </c>
      <c r="F2" t="inlineStr">
        <is>
          <t>Total</t>
        </is>
      </c>
      <c r="G2" t="inlineStr">
        <is>
          <t>Aged 12</t>
        </is>
      </c>
      <c r="H2" t="inlineStr">
        <is>
          <t>Total</t>
        </is>
      </c>
      <c r="I2" t="inlineStr">
        <is>
          <t>Aged 14+</t>
        </is>
      </c>
      <c r="J2" t="inlineStr">
        <is>
          <t>Total</t>
        </is>
      </c>
      <c r="K2" t="inlineStr">
        <is>
          <t>Aged 15</t>
        </is>
      </c>
      <c r="L2" t="inlineStr">
        <is>
          <t>Total</t>
        </is>
      </c>
      <c r="M2" t="inlineStr">
        <is>
          <t>Age 17+</t>
        </is>
      </c>
      <c r="N2" t="inlineStr">
        <is>
          <t>Primary</t>
        </is>
      </c>
      <c r="O2" t="inlineStr">
        <is>
          <t>L.Sec.</t>
        </is>
      </c>
      <c r="P2" t="inlineStr">
        <is>
          <t>U.sec.</t>
        </is>
      </c>
    </row>
    <row r="3">
      <c r="A3" t="inlineStr">
        <is>
          <t>Banteay Meanchey</t>
        </is>
      </c>
      <c r="B3" t="n">
        <v>1265</v>
      </c>
      <c r="C3" t="n">
        <v>637</v>
      </c>
      <c r="D3" t="n">
        <v>5673</v>
      </c>
      <c r="E3" t="n">
        <v>727</v>
      </c>
      <c r="F3" t="n">
        <v>701</v>
      </c>
      <c r="G3" t="n">
        <v>294</v>
      </c>
      <c r="H3" t="n">
        <v>2002</v>
      </c>
      <c r="I3" t="n">
        <v>535</v>
      </c>
      <c r="J3" t="n">
        <v>447</v>
      </c>
      <c r="K3" t="n">
        <v>188</v>
      </c>
      <c r="L3" t="n">
        <v>1049</v>
      </c>
      <c r="M3" t="n">
        <v>251</v>
      </c>
      <c r="N3" t="n">
        <v>12.8</v>
      </c>
      <c r="O3" t="n">
        <v>26.7</v>
      </c>
      <c r="P3" t="n">
        <v>17.9</v>
      </c>
    </row>
    <row r="4">
      <c r="A4" t="inlineStr">
        <is>
          <t>Battambang</t>
        </is>
      </c>
      <c r="B4" t="n">
        <v>415</v>
      </c>
      <c r="C4" t="n">
        <v>299</v>
      </c>
      <c r="D4" t="n">
        <v>1869</v>
      </c>
      <c r="E4" t="n">
        <v>147</v>
      </c>
      <c r="F4" t="n">
        <v>308</v>
      </c>
      <c r="G4" t="n">
        <v>164</v>
      </c>
      <c r="H4" t="n">
        <v>962</v>
      </c>
      <c r="I4" t="n">
        <v>214</v>
      </c>
      <c r="J4" t="n">
        <v>332</v>
      </c>
      <c r="K4" t="n">
        <v>237</v>
      </c>
      <c r="L4" t="n">
        <v>959</v>
      </c>
      <c r="M4" t="n">
        <v>179</v>
      </c>
      <c r="N4" t="n">
        <v>7.9</v>
      </c>
      <c r="O4" t="n">
        <v>22.2</v>
      </c>
      <c r="P4" t="n">
        <v>24.7</v>
      </c>
    </row>
    <row r="5">
      <c r="A5" t="inlineStr">
        <is>
          <t>Kampong Cham</t>
        </is>
      </c>
      <c r="B5" t="n">
        <v>242</v>
      </c>
      <c r="C5" t="n">
        <v>103</v>
      </c>
      <c r="D5" t="n">
        <v>1175</v>
      </c>
      <c r="E5" t="n">
        <v>296</v>
      </c>
      <c r="F5" t="n">
        <v>128</v>
      </c>
      <c r="G5" t="n">
        <v>70</v>
      </c>
      <c r="H5" t="n">
        <v>386</v>
      </c>
      <c r="I5" t="n">
        <v>47</v>
      </c>
      <c r="J5" t="n">
        <v>77</v>
      </c>
      <c r="K5" t="n">
        <v>13</v>
      </c>
      <c r="L5" t="n">
        <v>169</v>
      </c>
      <c r="M5" t="n">
        <v>54</v>
      </c>
      <c r="N5" t="n">
        <v>25.2</v>
      </c>
      <c r="O5" t="n">
        <v>12.2</v>
      </c>
      <c r="P5" t="n">
        <v>7.7</v>
      </c>
    </row>
    <row r="6">
      <c r="A6" t="inlineStr">
        <is>
          <t>Kampong Chhnang</t>
        </is>
      </c>
      <c r="B6" t="n">
        <v>189</v>
      </c>
      <c r="C6" t="n">
        <v>154</v>
      </c>
      <c r="D6" t="n">
        <v>875</v>
      </c>
      <c r="E6" t="n">
        <v>36</v>
      </c>
      <c r="F6" t="n">
        <v>88</v>
      </c>
      <c r="G6" t="n">
        <v>59</v>
      </c>
      <c r="H6" t="n">
        <v>252</v>
      </c>
      <c r="I6" t="n">
        <v>42</v>
      </c>
      <c r="J6" t="n">
        <v>46</v>
      </c>
      <c r="K6" t="n">
        <v>16</v>
      </c>
      <c r="L6" t="n">
        <v>119</v>
      </c>
      <c r="M6" t="n">
        <v>24</v>
      </c>
      <c r="N6" t="n">
        <v>4.1</v>
      </c>
      <c r="O6" t="n">
        <v>16.7</v>
      </c>
      <c r="P6" t="n">
        <v>13.4</v>
      </c>
    </row>
    <row r="7">
      <c r="A7" t="inlineStr">
        <is>
          <t>Kampong Speu</t>
        </is>
      </c>
      <c r="B7" t="n">
        <v>596</v>
      </c>
      <c r="C7" t="n">
        <v>421</v>
      </c>
      <c r="D7" t="n">
        <v>2195</v>
      </c>
      <c r="E7" t="n">
        <v>249</v>
      </c>
      <c r="F7" t="n">
        <v>146</v>
      </c>
      <c r="G7" t="n">
        <v>57</v>
      </c>
      <c r="H7" t="n">
        <v>347</v>
      </c>
      <c r="I7" t="n">
        <v>94</v>
      </c>
      <c r="J7" t="n">
        <v>44</v>
      </c>
      <c r="K7" t="n">
        <v>39</v>
      </c>
      <c r="L7" t="n">
        <v>120</v>
      </c>
      <c r="M7" t="n">
        <v>28</v>
      </c>
      <c r="N7" t="n">
        <v>11.3</v>
      </c>
      <c r="O7" t="n">
        <v>27.1</v>
      </c>
      <c r="P7" t="n">
        <v>32.5</v>
      </c>
    </row>
    <row r="8">
      <c r="A8" t="inlineStr">
        <is>
          <t>Kampong Thom</t>
        </is>
      </c>
      <c r="B8" t="n">
        <v>418</v>
      </c>
      <c r="C8" t="n">
        <v>382</v>
      </c>
      <c r="D8" t="n">
        <v>1410</v>
      </c>
      <c r="E8" t="n">
        <v>76</v>
      </c>
      <c r="F8" t="n">
        <v>115</v>
      </c>
      <c r="G8" t="n">
        <v>61</v>
      </c>
      <c r="H8" t="n">
        <v>289</v>
      </c>
      <c r="I8" t="n">
        <v>53</v>
      </c>
      <c r="J8" t="n">
        <v>43</v>
      </c>
      <c r="K8" t="n">
        <v>32</v>
      </c>
      <c r="L8" t="n">
        <v>106</v>
      </c>
      <c r="M8" t="n">
        <v>20</v>
      </c>
      <c r="N8" t="n">
        <v>5.4</v>
      </c>
      <c r="O8" t="n">
        <v>18.3</v>
      </c>
      <c r="P8" t="n">
        <v>30.2</v>
      </c>
    </row>
    <row r="9">
      <c r="A9" t="inlineStr">
        <is>
          <t>Kampot</t>
        </is>
      </c>
      <c r="B9" t="n">
        <v>713</v>
      </c>
      <c r="C9" t="n">
        <v>262</v>
      </c>
      <c r="D9" t="n">
        <v>2737</v>
      </c>
      <c r="E9" t="n">
        <v>1158</v>
      </c>
      <c r="F9" t="n">
        <v>289</v>
      </c>
      <c r="G9" t="n">
        <v>94</v>
      </c>
      <c r="H9" t="n">
        <v>771</v>
      </c>
      <c r="I9" t="n">
        <v>266</v>
      </c>
      <c r="J9" t="n">
        <v>200</v>
      </c>
      <c r="K9" t="n">
        <v>169</v>
      </c>
      <c r="L9" t="n">
        <v>611</v>
      </c>
      <c r="M9" t="n">
        <v>79</v>
      </c>
      <c r="N9" t="n">
        <v>42.3</v>
      </c>
      <c r="O9" t="n">
        <v>34.5</v>
      </c>
      <c r="P9" t="n">
        <v>27.7</v>
      </c>
    </row>
    <row r="10">
      <c r="A10" t="inlineStr">
        <is>
          <t>Kandal</t>
        </is>
      </c>
      <c r="B10" t="n">
        <v>897</v>
      </c>
      <c r="C10" t="n">
        <v>544</v>
      </c>
      <c r="D10" t="n">
        <v>3813</v>
      </c>
      <c r="E10" t="n">
        <v>751</v>
      </c>
      <c r="F10" t="n">
        <v>365</v>
      </c>
      <c r="G10" t="n">
        <v>233</v>
      </c>
      <c r="H10" t="n">
        <v>1134</v>
      </c>
      <c r="I10" t="n">
        <v>226</v>
      </c>
      <c r="J10" t="n">
        <v>315</v>
      </c>
      <c r="K10" t="n">
        <v>114</v>
      </c>
      <c r="L10" t="n">
        <v>778</v>
      </c>
      <c r="M10" t="n">
        <v>202</v>
      </c>
      <c r="N10" t="n">
        <v>19.7</v>
      </c>
      <c r="O10" t="n">
        <v>19.9</v>
      </c>
      <c r="P10" t="n">
        <v>14.7</v>
      </c>
    </row>
    <row r="11">
      <c r="A11" t="inlineStr">
        <is>
          <t>Kep</t>
        </is>
      </c>
      <c r="B11" t="n">
        <v>116</v>
      </c>
      <c r="C11" t="n">
        <v>0</v>
      </c>
      <c r="D11" t="n">
        <v>282</v>
      </c>
      <c r="E11" t="n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91.09999999999999</v>
      </c>
      <c r="O11" t="e">
        <v>#NULL!</v>
      </c>
      <c r="P11" t="e">
        <v>#NULL!</v>
      </c>
    </row>
    <row r="12">
      <c r="A12" t="inlineStr">
        <is>
          <t>Koh Kong</t>
        </is>
      </c>
      <c r="B12" t="n">
        <v>217</v>
      </c>
      <c r="C12" t="n">
        <v>94</v>
      </c>
      <c r="D12" t="n">
        <v>834</v>
      </c>
      <c r="E12" t="n">
        <v>123</v>
      </c>
      <c r="F12" t="n">
        <v>28</v>
      </c>
      <c r="G12" t="n">
        <v>17</v>
      </c>
      <c r="H12" t="n">
        <v>81</v>
      </c>
      <c r="I12" t="n">
        <v>20</v>
      </c>
      <c r="J12" t="n">
        <v>0</v>
      </c>
      <c r="K12" t="n">
        <v>0</v>
      </c>
      <c r="L12" t="n">
        <v>0</v>
      </c>
      <c r="M12" t="n">
        <v>0</v>
      </c>
      <c r="N12" t="n">
        <v>14.7</v>
      </c>
      <c r="O12" t="n">
        <v>24.7</v>
      </c>
      <c r="P12" t="e">
        <v>#NULL!</v>
      </c>
    </row>
    <row r="13">
      <c r="A13" t="inlineStr">
        <is>
          <t>Kratie</t>
        </is>
      </c>
      <c r="B13" t="n">
        <v>319</v>
      </c>
      <c r="C13" t="n">
        <v>22</v>
      </c>
      <c r="D13" t="n">
        <v>518</v>
      </c>
      <c r="E13" t="n">
        <v>378</v>
      </c>
      <c r="F13" t="n">
        <v>12</v>
      </c>
      <c r="G13" t="n">
        <v>3</v>
      </c>
      <c r="H13" t="n">
        <v>29</v>
      </c>
      <c r="I13" t="n">
        <v>9</v>
      </c>
      <c r="J13" t="n">
        <v>4</v>
      </c>
      <c r="K13" t="n">
        <v>13</v>
      </c>
      <c r="L13" t="n">
        <v>31</v>
      </c>
      <c r="M13" t="n">
        <v>2</v>
      </c>
      <c r="N13" t="n">
        <v>73</v>
      </c>
      <c r="O13" t="n">
        <v>31</v>
      </c>
      <c r="P13" t="n">
        <v>41.9</v>
      </c>
    </row>
    <row r="14">
      <c r="A14" t="inlineStr">
        <is>
          <t>Mondul Kiri</t>
        </is>
      </c>
      <c r="B14" t="n">
        <v>42</v>
      </c>
      <c r="C14" t="n">
        <v>26</v>
      </c>
      <c r="D14" t="n">
        <v>136</v>
      </c>
      <c r="E14" t="n">
        <v>3</v>
      </c>
      <c r="F14" t="n">
        <v>11</v>
      </c>
      <c r="G14" t="n">
        <v>3</v>
      </c>
      <c r="H14" t="n">
        <v>38</v>
      </c>
      <c r="I14" t="n">
        <v>10</v>
      </c>
      <c r="J14" t="n">
        <v>10</v>
      </c>
      <c r="K14" t="n">
        <v>2</v>
      </c>
      <c r="L14" t="n">
        <v>22</v>
      </c>
      <c r="M14" t="n">
        <v>3</v>
      </c>
      <c r="N14" t="n">
        <v>2.2</v>
      </c>
      <c r="O14" t="n">
        <v>26.3</v>
      </c>
      <c r="P14" t="n">
        <v>9.1</v>
      </c>
    </row>
    <row r="15">
      <c r="A15" t="inlineStr">
        <is>
          <t>Otdar Meanchey</t>
        </is>
      </c>
      <c r="B15" t="n">
        <v>204</v>
      </c>
      <c r="C15" t="n">
        <v>179</v>
      </c>
      <c r="D15" t="n">
        <v>775</v>
      </c>
      <c r="E15" t="n">
        <v>50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6.5</v>
      </c>
      <c r="O15" t="e">
        <v>#NULL!</v>
      </c>
      <c r="P15" t="e">
        <v>#NULL!</v>
      </c>
    </row>
    <row r="16">
      <c r="A16" t="inlineStr">
        <is>
          <t>Pailin</t>
        </is>
      </c>
      <c r="B16" t="n">
        <v>163</v>
      </c>
      <c r="C16" t="n">
        <v>109</v>
      </c>
      <c r="D16" t="n">
        <v>608</v>
      </c>
      <c r="E16" t="n">
        <v>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9.699999999999999</v>
      </c>
      <c r="O16" t="e">
        <v>#NULL!</v>
      </c>
      <c r="P16" t="e">
        <v>#NULL!</v>
      </c>
    </row>
    <row r="17">
      <c r="A17" t="inlineStr">
        <is>
          <t>Phnom Penh</t>
        </is>
      </c>
      <c r="B17" t="n">
        <v>6620</v>
      </c>
      <c r="C17" t="n">
        <v>4967</v>
      </c>
      <c r="D17" t="n">
        <v>31737</v>
      </c>
      <c r="E17" t="n">
        <v>1888</v>
      </c>
      <c r="F17" t="n">
        <v>3825</v>
      </c>
      <c r="G17" t="n">
        <v>2172</v>
      </c>
      <c r="H17" t="n">
        <v>11157</v>
      </c>
      <c r="I17" t="n">
        <v>1848</v>
      </c>
      <c r="J17" t="n">
        <v>2745</v>
      </c>
      <c r="K17" t="n">
        <v>999</v>
      </c>
      <c r="L17" t="n">
        <v>7739</v>
      </c>
      <c r="M17" t="n">
        <v>1804</v>
      </c>
      <c r="N17" t="n">
        <v>5.9</v>
      </c>
      <c r="O17" t="n">
        <v>16.6</v>
      </c>
      <c r="P17" t="n">
        <v>12.9</v>
      </c>
    </row>
    <row r="18">
      <c r="A18" t="inlineStr">
        <is>
          <t>Preah Sihanouk</t>
        </is>
      </c>
      <c r="B18" t="n">
        <v>601</v>
      </c>
      <c r="C18" t="n">
        <v>226</v>
      </c>
      <c r="D18" t="n">
        <v>2381</v>
      </c>
      <c r="E18" t="n">
        <v>404</v>
      </c>
      <c r="F18" t="n">
        <v>189</v>
      </c>
      <c r="G18" t="n">
        <v>86</v>
      </c>
      <c r="H18" t="n">
        <v>550</v>
      </c>
      <c r="I18" t="n">
        <v>123</v>
      </c>
      <c r="J18" t="n">
        <v>145</v>
      </c>
      <c r="K18" t="n">
        <v>83</v>
      </c>
      <c r="L18" t="n">
        <v>388</v>
      </c>
      <c r="M18" t="n">
        <v>90</v>
      </c>
      <c r="N18" t="n">
        <v>17</v>
      </c>
      <c r="O18" t="n">
        <v>22.4</v>
      </c>
      <c r="P18" t="n">
        <v>21.4</v>
      </c>
    </row>
    <row r="19">
      <c r="A19" t="inlineStr">
        <is>
          <t>Preah Vihear</t>
        </is>
      </c>
      <c r="B19" t="n">
        <v>25</v>
      </c>
      <c r="C19" t="n">
        <v>22</v>
      </c>
      <c r="D19" t="n">
        <v>59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e">
        <v>#NULL!</v>
      </c>
      <c r="P19" t="e">
        <v>#NULL!</v>
      </c>
    </row>
    <row r="20">
      <c r="A20" t="inlineStr">
        <is>
          <t>Prey Veng</t>
        </is>
      </c>
      <c r="B20" t="n">
        <v>7</v>
      </c>
      <c r="C20" t="n">
        <v>7</v>
      </c>
      <c r="D20" t="n">
        <v>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</v>
      </c>
      <c r="K20" t="n">
        <v>15</v>
      </c>
      <c r="L20" t="n">
        <v>86</v>
      </c>
      <c r="M20" t="n">
        <v>25</v>
      </c>
      <c r="N20" t="n">
        <v>0</v>
      </c>
      <c r="O20" t="e">
        <v>#NULL!</v>
      </c>
      <c r="P20" t="n">
        <v>17.4</v>
      </c>
    </row>
    <row r="21">
      <c r="A21" t="inlineStr">
        <is>
          <t>Pursat</t>
        </is>
      </c>
      <c r="B21" t="n">
        <v>35</v>
      </c>
      <c r="C21" t="n">
        <v>35</v>
      </c>
      <c r="D21" t="n">
        <v>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e">
        <v>#NULL!</v>
      </c>
      <c r="P21" t="e">
        <v>#NULL!</v>
      </c>
    </row>
    <row r="22">
      <c r="A22" t="inlineStr">
        <is>
          <t>Ratanak Kiri</t>
        </is>
      </c>
      <c r="B22" t="n">
        <v>140</v>
      </c>
      <c r="C22" t="n">
        <v>113</v>
      </c>
      <c r="D22" t="n">
        <v>538</v>
      </c>
      <c r="E22" t="n">
        <v>17</v>
      </c>
      <c r="F22" t="n">
        <v>51</v>
      </c>
      <c r="G22" t="n">
        <v>40</v>
      </c>
      <c r="H22" t="n">
        <v>139</v>
      </c>
      <c r="I22" t="n">
        <v>9</v>
      </c>
      <c r="J22" t="n">
        <v>29</v>
      </c>
      <c r="K22" t="n">
        <v>15</v>
      </c>
      <c r="L22" t="n">
        <v>96</v>
      </c>
      <c r="M22" t="n">
        <v>23</v>
      </c>
      <c r="N22" t="n">
        <v>3.2</v>
      </c>
      <c r="O22" t="n">
        <v>6.5</v>
      </c>
      <c r="P22" t="n">
        <v>15.6</v>
      </c>
    </row>
    <row r="23">
      <c r="A23" t="inlineStr">
        <is>
          <t>Siemreap</t>
        </is>
      </c>
      <c r="B23" t="n">
        <v>735</v>
      </c>
      <c r="C23" t="n">
        <v>514</v>
      </c>
      <c r="D23" t="n">
        <v>3045</v>
      </c>
      <c r="E23" t="n">
        <v>224</v>
      </c>
      <c r="F23" t="n">
        <v>416</v>
      </c>
      <c r="G23" t="n">
        <v>268</v>
      </c>
      <c r="H23" t="n">
        <v>1240</v>
      </c>
      <c r="I23" t="n">
        <v>225</v>
      </c>
      <c r="J23" t="n">
        <v>325</v>
      </c>
      <c r="K23" t="n">
        <v>146</v>
      </c>
      <c r="L23" t="n">
        <v>888</v>
      </c>
      <c r="M23" t="n">
        <v>186</v>
      </c>
      <c r="N23" t="n">
        <v>7.4</v>
      </c>
      <c r="O23" t="n">
        <v>18.1</v>
      </c>
      <c r="P23" t="n">
        <v>16.4</v>
      </c>
    </row>
    <row r="24">
      <c r="A24" t="inlineStr">
        <is>
          <t>Stung Treng</t>
        </is>
      </c>
      <c r="B24" t="n">
        <v>64</v>
      </c>
      <c r="C24" t="n">
        <v>55</v>
      </c>
      <c r="D24" t="n">
        <v>175</v>
      </c>
      <c r="E24" t="n">
        <v>0</v>
      </c>
      <c r="F24" t="n">
        <v>19</v>
      </c>
      <c r="G24" t="n">
        <v>19</v>
      </c>
      <c r="H24" t="n">
        <v>36</v>
      </c>
      <c r="I24" t="n">
        <v>0</v>
      </c>
      <c r="J24" t="n">
        <v>10</v>
      </c>
      <c r="K24" t="n">
        <v>0</v>
      </c>
      <c r="L24" t="n">
        <v>16</v>
      </c>
      <c r="M24" t="n">
        <v>10</v>
      </c>
      <c r="N24" t="n">
        <v>0</v>
      </c>
      <c r="O24" t="n">
        <v>0</v>
      </c>
      <c r="P24" t="n">
        <v>0</v>
      </c>
    </row>
    <row r="25">
      <c r="A25" t="inlineStr">
        <is>
          <t>Svay Rieng</t>
        </is>
      </c>
      <c r="B25" t="n">
        <v>27</v>
      </c>
      <c r="C25" t="n">
        <v>23</v>
      </c>
      <c r="D25" t="n">
        <v>88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3.4</v>
      </c>
      <c r="O25" t="e">
        <v>#NULL!</v>
      </c>
      <c r="P25" t="e">
        <v>#NULL!</v>
      </c>
    </row>
    <row r="26">
      <c r="A26" t="inlineStr">
        <is>
          <t>Takeo</t>
        </is>
      </c>
      <c r="B26" t="n">
        <v>383</v>
      </c>
      <c r="C26" t="n">
        <v>247</v>
      </c>
      <c r="D26" t="n">
        <v>1578</v>
      </c>
      <c r="E26" t="n">
        <v>151</v>
      </c>
      <c r="F26" t="n">
        <v>118</v>
      </c>
      <c r="G26" t="n">
        <v>48</v>
      </c>
      <c r="H26" t="n">
        <v>340</v>
      </c>
      <c r="I26" t="n">
        <v>67</v>
      </c>
      <c r="J26" t="n">
        <v>99</v>
      </c>
      <c r="K26" t="n">
        <v>63</v>
      </c>
      <c r="L26" t="n">
        <v>273</v>
      </c>
      <c r="M26" t="n">
        <v>43</v>
      </c>
      <c r="N26" t="n">
        <v>9.6</v>
      </c>
      <c r="O26" t="n">
        <v>19.7</v>
      </c>
      <c r="P26" t="n">
        <v>23.1</v>
      </c>
    </row>
    <row r="27">
      <c r="A27" t="inlineStr">
        <is>
          <t>Tbaung Khmum</t>
        </is>
      </c>
      <c r="B27" t="n">
        <v>203</v>
      </c>
      <c r="C27" t="n">
        <v>110</v>
      </c>
      <c r="D27" t="n">
        <v>920</v>
      </c>
      <c r="E27" t="n">
        <v>156</v>
      </c>
      <c r="F27" t="n">
        <v>382</v>
      </c>
      <c r="G27" t="n">
        <v>71</v>
      </c>
      <c r="H27" t="n">
        <v>961</v>
      </c>
      <c r="I27" t="n">
        <v>392</v>
      </c>
      <c r="J27" t="n">
        <v>233</v>
      </c>
      <c r="K27" t="n">
        <v>165</v>
      </c>
      <c r="L27" t="n">
        <v>475</v>
      </c>
      <c r="M27" t="n">
        <v>69</v>
      </c>
      <c r="N27" t="n">
        <v>17</v>
      </c>
      <c r="O27" t="n">
        <v>40.8</v>
      </c>
      <c r="P27" t="n">
        <v>34.7</v>
      </c>
    </row>
    <row r="28">
      <c r="A28" t="inlineStr">
        <is>
          <t>Whole Kingdom</t>
        </is>
      </c>
      <c r="B28" t="n">
        <v>14636</v>
      </c>
      <c r="C28" t="n">
        <v>9551</v>
      </c>
      <c r="D28" t="n">
        <v>63509</v>
      </c>
      <c r="E28" t="n">
        <v>7153</v>
      </c>
      <c r="F28" t="n">
        <v>7191</v>
      </c>
      <c r="G28" t="n">
        <v>3759</v>
      </c>
      <c r="H28" t="n">
        <v>20714</v>
      </c>
      <c r="I28" t="n">
        <v>4180</v>
      </c>
      <c r="J28" t="n">
        <v>5133</v>
      </c>
      <c r="K28" t="n">
        <v>2309</v>
      </c>
      <c r="L28" t="n">
        <v>13925</v>
      </c>
      <c r="M28" t="n">
        <v>3092</v>
      </c>
      <c r="N28" t="n">
        <v>11.3</v>
      </c>
      <c r="O28" t="n">
        <v>20.2</v>
      </c>
      <c r="P28" t="n">
        <v>16.6</v>
      </c>
    </row>
    <row r="29">
      <c r="A29" t="inlineStr">
        <is>
          <t>- Urban Area</t>
        </is>
      </c>
      <c r="B29" t="n">
        <v>3622</v>
      </c>
      <c r="C29" t="n">
        <v>1901</v>
      </c>
      <c r="D29" t="n">
        <v>12780</v>
      </c>
      <c r="E29" t="n">
        <v>3007</v>
      </c>
      <c r="F29" t="n">
        <v>1109</v>
      </c>
      <c r="G29" t="n">
        <v>403</v>
      </c>
      <c r="H29" t="n">
        <v>2999</v>
      </c>
      <c r="I29" t="n">
        <v>913</v>
      </c>
      <c r="J29" t="n">
        <v>644</v>
      </c>
      <c r="K29" t="n">
        <v>410</v>
      </c>
      <c r="L29" t="n">
        <v>1469</v>
      </c>
      <c r="M29" t="n">
        <v>274</v>
      </c>
      <c r="N29" t="n">
        <v>23.5</v>
      </c>
      <c r="O29" t="n">
        <v>30.4</v>
      </c>
      <c r="P29" t="n">
        <v>27.9</v>
      </c>
    </row>
    <row r="30">
      <c r="A30" t="inlineStr">
        <is>
          <t>- Rural Area</t>
        </is>
      </c>
      <c r="B30" t="n">
        <v>11014</v>
      </c>
      <c r="C30" t="n">
        <v>7650</v>
      </c>
      <c r="D30" t="n">
        <v>50729</v>
      </c>
      <c r="E30" t="n">
        <v>4146</v>
      </c>
      <c r="F30" t="n">
        <v>6082</v>
      </c>
      <c r="G30" t="n">
        <v>3356</v>
      </c>
      <c r="H30" t="n">
        <v>17715</v>
      </c>
      <c r="I30" t="n">
        <v>3267</v>
      </c>
      <c r="J30" t="n">
        <v>4489</v>
      </c>
      <c r="K30" t="n">
        <v>1899</v>
      </c>
      <c r="L30" t="n">
        <v>12456</v>
      </c>
      <c r="M30" t="n">
        <v>2818</v>
      </c>
      <c r="N30" t="n">
        <v>8.199999999999999</v>
      </c>
      <c r="O30" t="n">
        <v>18.4</v>
      </c>
      <c r="P30" t="n">
        <v>15.2</v>
      </c>
    </row>
  </sheetData>
  <mergeCells count="8">
    <mergeCell ref="D1:E1"/>
    <mergeCell ref="H1:I1"/>
    <mergeCell ref="L1:M1"/>
    <mergeCell ref="J1:K1"/>
    <mergeCell ref="N1:P1"/>
    <mergeCell ref="B1:C1"/>
    <mergeCell ref="F1:G1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5B9BD5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7.33203125" customWidth="1" min="1" max="1"/>
    <col width="23.83203125" customWidth="1" min="2" max="2"/>
  </cols>
  <sheetData>
    <row r="1">
      <c r="A1" t="inlineStr">
        <is>
          <t>Table 1: Schools, Classes, Students and Staff</t>
        </is>
      </c>
      <c r="B1" t="inlineStr">
        <is>
          <t>Age 3</t>
        </is>
      </c>
      <c r="D1" t="inlineStr">
        <is>
          <t>Age 4</t>
        </is>
      </c>
      <c r="F1" t="inlineStr">
        <is>
          <t>Age 5</t>
        </is>
      </c>
    </row>
    <row r="2">
      <c r="B2" t="inlineStr">
        <is>
          <t>Total</t>
        </is>
      </c>
      <c r="C2" t="inlineStr">
        <is>
          <t>Girl</t>
        </is>
      </c>
      <c r="D2" t="inlineStr">
        <is>
          <t>Total</t>
        </is>
      </c>
      <c r="E2" t="inlineStr">
        <is>
          <t>Girl</t>
        </is>
      </c>
      <c r="F2" t="inlineStr">
        <is>
          <t>Total</t>
        </is>
      </c>
      <c r="G2" t="inlineStr">
        <is>
          <t>Girl</t>
        </is>
      </c>
    </row>
    <row r="3">
      <c r="A3" t="inlineStr">
        <is>
          <t>Banteay Meanchey</t>
        </is>
      </c>
      <c r="B3" t="n">
        <v>383</v>
      </c>
      <c r="C3" t="n">
        <v>186</v>
      </c>
      <c r="D3" t="n">
        <v>660</v>
      </c>
      <c r="E3" t="n">
        <v>341</v>
      </c>
      <c r="F3" t="n">
        <v>1460</v>
      </c>
      <c r="G3" t="n">
        <v>709</v>
      </c>
    </row>
    <row r="4">
      <c r="A4" t="inlineStr">
        <is>
          <t>Battambang</t>
        </is>
      </c>
      <c r="B4" t="n">
        <v>284</v>
      </c>
      <c r="C4" t="n">
        <v>137</v>
      </c>
      <c r="D4" t="n">
        <v>431</v>
      </c>
      <c r="E4" t="n">
        <v>202</v>
      </c>
      <c r="F4" t="n">
        <v>774</v>
      </c>
      <c r="G4" t="n">
        <v>378</v>
      </c>
    </row>
    <row r="5">
      <c r="A5" t="inlineStr">
        <is>
          <t>Kampong Cham</t>
        </is>
      </c>
      <c r="B5" t="n">
        <v>457</v>
      </c>
      <c r="C5" t="n">
        <v>247</v>
      </c>
      <c r="D5" t="n">
        <v>69</v>
      </c>
      <c r="E5" t="n">
        <v>30</v>
      </c>
      <c r="F5" t="n">
        <v>243</v>
      </c>
      <c r="G5" t="n">
        <v>122</v>
      </c>
    </row>
    <row r="6">
      <c r="A6" t="inlineStr">
        <is>
          <t>Kampong Chhnang</t>
        </is>
      </c>
      <c r="B6" t="n">
        <v>162</v>
      </c>
      <c r="C6" t="n">
        <v>91</v>
      </c>
      <c r="D6" t="n">
        <v>266</v>
      </c>
      <c r="E6" t="n">
        <v>138</v>
      </c>
      <c r="F6" t="n">
        <v>337</v>
      </c>
      <c r="G6" t="n">
        <v>161</v>
      </c>
    </row>
    <row r="7">
      <c r="A7" t="inlineStr">
        <is>
          <t>Kampong Speu</t>
        </is>
      </c>
      <c r="B7" t="n">
        <v>480</v>
      </c>
      <c r="C7" t="n">
        <v>216</v>
      </c>
      <c r="D7" t="n">
        <v>649</v>
      </c>
      <c r="E7" t="n">
        <v>327</v>
      </c>
      <c r="F7" t="n">
        <v>1023</v>
      </c>
      <c r="G7" t="n">
        <v>500</v>
      </c>
    </row>
    <row r="8">
      <c r="A8" t="inlineStr">
        <is>
          <t>Kampong Thom</t>
        </is>
      </c>
      <c r="B8" t="n">
        <v>159</v>
      </c>
      <c r="C8" t="n">
        <v>73</v>
      </c>
      <c r="D8" t="n">
        <v>172</v>
      </c>
      <c r="E8" t="n">
        <v>96</v>
      </c>
      <c r="F8" t="n">
        <v>337</v>
      </c>
      <c r="G8" t="n">
        <v>153</v>
      </c>
    </row>
    <row r="9">
      <c r="A9" t="inlineStr">
        <is>
          <t>Kampot</t>
        </is>
      </c>
      <c r="B9" t="n">
        <v>177</v>
      </c>
      <c r="C9" t="n">
        <v>88</v>
      </c>
      <c r="D9" t="n">
        <v>217</v>
      </c>
      <c r="E9" t="n">
        <v>117</v>
      </c>
      <c r="F9" t="n">
        <v>415</v>
      </c>
      <c r="G9" t="n">
        <v>221</v>
      </c>
    </row>
    <row r="10">
      <c r="A10" t="inlineStr">
        <is>
          <t>Kandal</t>
        </is>
      </c>
      <c r="B10" t="n">
        <v>273</v>
      </c>
      <c r="C10" t="n">
        <v>128</v>
      </c>
      <c r="D10" t="n">
        <v>608</v>
      </c>
      <c r="E10" t="n">
        <v>290</v>
      </c>
      <c r="F10" t="n">
        <v>1867</v>
      </c>
      <c r="G10" t="n">
        <v>931</v>
      </c>
    </row>
    <row r="11">
      <c r="A11" t="inlineStr">
        <is>
          <t>Kep</t>
        </is>
      </c>
      <c r="B11" t="n">
        <v>18</v>
      </c>
      <c r="C11" t="n">
        <v>12</v>
      </c>
      <c r="D11" t="n">
        <v>14</v>
      </c>
      <c r="E11" t="n">
        <v>4</v>
      </c>
      <c r="F11" t="n">
        <v>5</v>
      </c>
      <c r="G11" t="n">
        <v>2</v>
      </c>
    </row>
    <row r="12">
      <c r="A12" t="inlineStr">
        <is>
          <t>Koh Kong</t>
        </is>
      </c>
      <c r="B12" t="n">
        <v>106</v>
      </c>
      <c r="C12" t="n">
        <v>52</v>
      </c>
      <c r="D12" t="n">
        <v>186</v>
      </c>
      <c r="E12" t="n">
        <v>106</v>
      </c>
      <c r="F12" t="n">
        <v>235</v>
      </c>
      <c r="G12" t="n">
        <v>112</v>
      </c>
    </row>
    <row r="13">
      <c r="A13" t="inlineStr">
        <is>
          <t>Kratie</t>
        </is>
      </c>
      <c r="B13" t="n">
        <v>34</v>
      </c>
      <c r="C13" t="n">
        <v>13</v>
      </c>
      <c r="D13" t="n">
        <v>73</v>
      </c>
      <c r="E13" t="n">
        <v>40</v>
      </c>
      <c r="F13" t="n">
        <v>72</v>
      </c>
      <c r="G13" t="n">
        <v>30</v>
      </c>
    </row>
    <row r="14">
      <c r="A14" t="inlineStr">
        <is>
          <t>Mondul Kiri</t>
        </is>
      </c>
      <c r="B14" t="n">
        <v>0</v>
      </c>
      <c r="C14" t="n">
        <v>0</v>
      </c>
      <c r="D14" t="n">
        <v>34</v>
      </c>
      <c r="E14" t="n">
        <v>17</v>
      </c>
      <c r="F14" t="n">
        <v>58</v>
      </c>
      <c r="G14" t="n">
        <v>34</v>
      </c>
    </row>
    <row r="15">
      <c r="A15" t="inlineStr">
        <is>
          <t>Otdar Meanchey</t>
        </is>
      </c>
      <c r="B15" t="n">
        <v>28</v>
      </c>
      <c r="C15" t="n">
        <v>14</v>
      </c>
      <c r="D15" t="n">
        <v>96</v>
      </c>
      <c r="E15" t="n">
        <v>58</v>
      </c>
      <c r="F15" t="n">
        <v>152</v>
      </c>
      <c r="G15" t="n">
        <v>71</v>
      </c>
    </row>
    <row r="16">
      <c r="A16" t="inlineStr">
        <is>
          <t>Pailin</t>
        </is>
      </c>
      <c r="B16" t="n">
        <v>17</v>
      </c>
      <c r="C16" t="n">
        <v>5</v>
      </c>
      <c r="D16" t="n">
        <v>162</v>
      </c>
      <c r="E16" t="n">
        <v>74</v>
      </c>
      <c r="F16" t="n">
        <v>286</v>
      </c>
      <c r="G16" t="n">
        <v>141</v>
      </c>
    </row>
    <row r="17">
      <c r="A17" t="inlineStr">
        <is>
          <t>Phnom Penh</t>
        </is>
      </c>
      <c r="B17" t="n">
        <v>2623</v>
      </c>
      <c r="C17" t="n">
        <v>1315</v>
      </c>
      <c r="D17" t="n">
        <v>4372</v>
      </c>
      <c r="E17" t="n">
        <v>2167</v>
      </c>
      <c r="F17" t="n">
        <v>8620</v>
      </c>
      <c r="G17" t="n">
        <v>4380</v>
      </c>
    </row>
    <row r="18">
      <c r="A18" t="inlineStr">
        <is>
          <t>Preah Sihanouk</t>
        </is>
      </c>
      <c r="B18" t="n">
        <v>147</v>
      </c>
      <c r="C18" t="n">
        <v>52</v>
      </c>
      <c r="D18" t="n">
        <v>424</v>
      </c>
      <c r="E18" t="n">
        <v>204</v>
      </c>
      <c r="F18" t="n">
        <v>950</v>
      </c>
      <c r="G18" t="n">
        <v>475</v>
      </c>
    </row>
    <row r="19">
      <c r="A19" t="inlineStr">
        <is>
          <t>Preah Vihear</t>
        </is>
      </c>
      <c r="B19" t="n">
        <v>25</v>
      </c>
      <c r="C19" t="n">
        <v>15</v>
      </c>
      <c r="D19" t="n">
        <v>3</v>
      </c>
      <c r="E19" t="n">
        <v>1</v>
      </c>
      <c r="F19" t="n">
        <v>22</v>
      </c>
      <c r="G19" t="n">
        <v>7</v>
      </c>
    </row>
    <row r="20">
      <c r="A20" t="inlineStr">
        <is>
          <t>Prey Veng</t>
        </is>
      </c>
      <c r="B20" t="n">
        <v>41</v>
      </c>
      <c r="C20" t="n">
        <v>17</v>
      </c>
      <c r="D20" t="n">
        <v>20</v>
      </c>
      <c r="E20" t="n">
        <v>15</v>
      </c>
      <c r="F20" t="n">
        <v>14</v>
      </c>
      <c r="G20" t="n">
        <v>8</v>
      </c>
    </row>
    <row r="21">
      <c r="A21" t="inlineStr">
        <is>
          <t>Pursat</t>
        </is>
      </c>
      <c r="B21" t="n">
        <v>5</v>
      </c>
      <c r="C21" t="n">
        <v>5</v>
      </c>
      <c r="D21" t="n">
        <v>10</v>
      </c>
      <c r="E21" t="n">
        <v>4</v>
      </c>
      <c r="F21" t="n">
        <v>565</v>
      </c>
      <c r="G21" t="n">
        <v>288</v>
      </c>
    </row>
    <row r="22">
      <c r="A22" t="inlineStr">
        <is>
          <t>Ratanak Kiri</t>
        </is>
      </c>
      <c r="B22" t="n">
        <v>164</v>
      </c>
      <c r="C22" t="n">
        <v>84</v>
      </c>
      <c r="D22" t="n">
        <v>96</v>
      </c>
      <c r="E22" t="n">
        <v>49</v>
      </c>
      <c r="F22" t="n">
        <v>264</v>
      </c>
      <c r="G22" t="n">
        <v>135</v>
      </c>
    </row>
    <row r="23">
      <c r="A23" t="inlineStr">
        <is>
          <t>Siemreap</t>
        </is>
      </c>
      <c r="B23" t="n">
        <v>415</v>
      </c>
      <c r="C23" t="n">
        <v>205</v>
      </c>
      <c r="D23" t="n">
        <v>586</v>
      </c>
      <c r="E23" t="n">
        <v>308</v>
      </c>
      <c r="F23" t="n">
        <v>6731</v>
      </c>
      <c r="G23" t="n">
        <v>1171</v>
      </c>
    </row>
    <row r="24">
      <c r="A24" t="inlineStr">
        <is>
          <t>Stung Treng</t>
        </is>
      </c>
      <c r="B24" t="n">
        <v>33</v>
      </c>
      <c r="C24" t="n">
        <v>22</v>
      </c>
      <c r="D24" t="n">
        <v>76</v>
      </c>
      <c r="E24" t="n">
        <v>43</v>
      </c>
      <c r="F24" t="n">
        <v>123</v>
      </c>
      <c r="G24" t="n">
        <v>55</v>
      </c>
    </row>
    <row r="25">
      <c r="A25" t="inlineStr">
        <is>
          <t>Svay Rieng</t>
        </is>
      </c>
      <c r="B25" t="n">
        <v>24</v>
      </c>
      <c r="C25" t="n">
        <v>8</v>
      </c>
      <c r="D25" t="n">
        <v>65</v>
      </c>
      <c r="E25" t="n">
        <v>32</v>
      </c>
      <c r="F25" t="n">
        <v>68</v>
      </c>
      <c r="G25" t="n">
        <v>37</v>
      </c>
    </row>
    <row r="26">
      <c r="A26" t="inlineStr">
        <is>
          <t>Takeo</t>
        </is>
      </c>
      <c r="B26" t="n">
        <v>168</v>
      </c>
      <c r="C26" t="n">
        <v>78</v>
      </c>
      <c r="D26" t="n">
        <v>319</v>
      </c>
      <c r="E26" t="n">
        <v>164</v>
      </c>
      <c r="F26" t="n">
        <v>753</v>
      </c>
      <c r="G26" t="n">
        <v>347</v>
      </c>
    </row>
    <row r="27">
      <c r="A27" t="inlineStr">
        <is>
          <t>Tbaung Khmum</t>
        </is>
      </c>
      <c r="B27" t="n">
        <v>65</v>
      </c>
      <c r="C27" t="n">
        <v>38</v>
      </c>
      <c r="D27" t="n">
        <v>120</v>
      </c>
      <c r="E27" t="n">
        <v>71</v>
      </c>
      <c r="F27" t="n">
        <v>225</v>
      </c>
      <c r="G27" t="n">
        <v>121</v>
      </c>
    </row>
    <row r="28">
      <c r="A28" t="inlineStr">
        <is>
          <t>Whole Kingdom</t>
        </is>
      </c>
      <c r="B28" t="n">
        <v>6288</v>
      </c>
      <c r="C28" t="n">
        <v>3101</v>
      </c>
      <c r="D28" t="n">
        <v>9728</v>
      </c>
      <c r="E28" t="n">
        <v>4898</v>
      </c>
      <c r="F28" t="n">
        <v>25599</v>
      </c>
      <c r="G28" t="n">
        <v>10589</v>
      </c>
    </row>
    <row r="29">
      <c r="A29" t="inlineStr">
        <is>
          <t>- Urban Area</t>
        </is>
      </c>
      <c r="B29" t="n">
        <v>4671</v>
      </c>
      <c r="C29" t="n">
        <v>2287</v>
      </c>
      <c r="D29" t="n">
        <v>7514</v>
      </c>
      <c r="E29" t="n">
        <v>3751</v>
      </c>
      <c r="F29" t="n">
        <v>21204</v>
      </c>
      <c r="G29" t="n">
        <v>8378</v>
      </c>
    </row>
    <row r="30">
      <c r="A30" t="inlineStr">
        <is>
          <t>- Rural Area</t>
        </is>
      </c>
      <c r="B30" t="n">
        <v>1617</v>
      </c>
      <c r="C30" t="n">
        <v>814</v>
      </c>
      <c r="D30" t="n">
        <v>2214</v>
      </c>
      <c r="E30" t="n">
        <v>1147</v>
      </c>
      <c r="F30" t="n">
        <v>4395</v>
      </c>
      <c r="G30" t="n">
        <v>2211</v>
      </c>
    </row>
  </sheetData>
  <mergeCells count="4">
    <mergeCell ref="B1:C1"/>
    <mergeCell ref="F1:G1"/>
    <mergeCell ref="D1:E1"/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5B9BD5"/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23.5" customWidth="1" min="1" max="1"/>
    <col width="2.5" customWidth="1" min="2" max="2"/>
    <col width="12.83203125" customWidth="1" min="3" max="3"/>
    <col width="2" customWidth="1" min="4" max="4"/>
    <col width="13.33203125" customWidth="1" min="5" max="5"/>
    <col width="1.83203125" customWidth="1" min="6" max="6"/>
    <col width="13.5" customWidth="1" min="7" max="7"/>
    <col width="1.33203125" customWidth="1" min="8" max="8"/>
    <col width="14.5" customWidth="1" min="9" max="9"/>
    <col width="0.6640625" customWidth="1" min="10" max="10"/>
    <col width="15.1640625" customWidth="1" min="11" max="11"/>
    <col width="15.33203125" customWidth="1" min="12" max="12"/>
    <col width="14.83203125" customWidth="1" min="15" max="15"/>
    <col width="1.1640625" customWidth="1" min="16" max="16"/>
    <col width="14.1640625" customWidth="1" min="17" max="17"/>
    <col width="1.33203125" customWidth="1" min="18" max="18"/>
  </cols>
  <sheetData>
    <row r="1">
      <c r="A1" t="inlineStr">
        <is>
          <t>Table 1: Schools, Classes, Students and Staff</t>
        </is>
      </c>
      <c r="C1" t="inlineStr">
        <is>
          <t>Lowest Step</t>
        </is>
      </c>
      <c r="G1" t="inlineStr">
        <is>
          <t>Medium Step</t>
        </is>
      </c>
      <c r="K1" t="inlineStr">
        <is>
          <t>Highest Step</t>
        </is>
      </c>
      <c r="M1" t="inlineStr">
        <is>
          <t>Mixed Step</t>
        </is>
      </c>
      <c r="O1" t="inlineStr">
        <is>
          <t>Total</t>
        </is>
      </c>
    </row>
    <row r="2">
      <c r="C2" t="inlineStr">
        <is>
          <t>Total</t>
        </is>
      </c>
      <c r="E2" t="inlineStr">
        <is>
          <t>Girl</t>
        </is>
      </c>
      <c r="G2" t="inlineStr">
        <is>
          <t>Total</t>
        </is>
      </c>
      <c r="I2" t="inlineStr">
        <is>
          <t>Girl</t>
        </is>
      </c>
      <c r="K2" t="inlineStr">
        <is>
          <t>Total</t>
        </is>
      </c>
      <c r="L2" t="inlineStr">
        <is>
          <t>Girl</t>
        </is>
      </c>
      <c r="M2" t="inlineStr">
        <is>
          <t>Total</t>
        </is>
      </c>
      <c r="N2" t="inlineStr">
        <is>
          <t>Girl</t>
        </is>
      </c>
      <c r="O2" t="inlineStr">
        <is>
          <t>Total</t>
        </is>
      </c>
      <c r="P2" t="inlineStr">
        <is>
          <t>Girl</t>
        </is>
      </c>
    </row>
    <row r="3">
      <c r="A3" t="inlineStr">
        <is>
          <t>Banteay Meanchey</t>
        </is>
      </c>
      <c r="C3" t="n">
        <v>209</v>
      </c>
      <c r="E3" t="n">
        <v>112</v>
      </c>
      <c r="G3" t="n">
        <v>309</v>
      </c>
      <c r="I3" t="n">
        <v>165</v>
      </c>
      <c r="K3" t="n">
        <v>471</v>
      </c>
      <c r="L3" t="n">
        <v>233</v>
      </c>
      <c r="M3" t="n">
        <v>1514</v>
      </c>
      <c r="N3" t="n">
        <v>726</v>
      </c>
      <c r="O3" t="n">
        <v>2503</v>
      </c>
      <c r="P3" t="n">
        <v>1236</v>
      </c>
    </row>
    <row r="4">
      <c r="A4" t="inlineStr">
        <is>
          <t>Battambang</t>
        </is>
      </c>
      <c r="C4" t="n">
        <v>266</v>
      </c>
      <c r="E4" t="n">
        <v>129</v>
      </c>
      <c r="G4" t="n">
        <v>384</v>
      </c>
      <c r="I4" t="n">
        <v>186</v>
      </c>
      <c r="K4" t="n">
        <v>533</v>
      </c>
      <c r="L4" t="n">
        <v>262</v>
      </c>
      <c r="M4" t="n">
        <v>306</v>
      </c>
      <c r="N4" t="n">
        <v>140</v>
      </c>
      <c r="O4" t="n">
        <v>1489</v>
      </c>
      <c r="P4" t="n">
        <v>717</v>
      </c>
    </row>
    <row r="5">
      <c r="A5" t="inlineStr">
        <is>
          <t>Kampong Cham</t>
        </is>
      </c>
      <c r="C5" t="n">
        <v>87</v>
      </c>
      <c r="E5" t="n">
        <v>50</v>
      </c>
      <c r="G5" t="n">
        <v>49</v>
      </c>
      <c r="I5" t="n">
        <v>21</v>
      </c>
      <c r="K5" t="n">
        <v>82</v>
      </c>
      <c r="L5" t="n">
        <v>40</v>
      </c>
      <c r="M5" t="n">
        <v>551</v>
      </c>
      <c r="N5" t="n">
        <v>288</v>
      </c>
      <c r="O5" t="n">
        <v>769</v>
      </c>
      <c r="P5" t="n">
        <v>399</v>
      </c>
    </row>
    <row r="6">
      <c r="A6" t="inlineStr">
        <is>
          <t>Kampong Chhnang</t>
        </is>
      </c>
      <c r="C6" t="n">
        <v>138</v>
      </c>
      <c r="E6" t="n">
        <v>73</v>
      </c>
      <c r="G6" t="n">
        <v>245</v>
      </c>
      <c r="I6" t="n">
        <v>127</v>
      </c>
      <c r="K6" t="n">
        <v>314</v>
      </c>
      <c r="L6" t="n">
        <v>148</v>
      </c>
      <c r="M6" t="n">
        <v>68</v>
      </c>
      <c r="N6" t="n">
        <v>42</v>
      </c>
      <c r="O6" t="n">
        <v>765</v>
      </c>
      <c r="P6" t="n">
        <v>390</v>
      </c>
    </row>
    <row r="7">
      <c r="A7" t="inlineStr">
        <is>
          <t>Kampong Speu</t>
        </is>
      </c>
      <c r="C7" t="n">
        <v>455</v>
      </c>
      <c r="E7" t="n">
        <v>203</v>
      </c>
      <c r="G7" t="n">
        <v>530</v>
      </c>
      <c r="I7" t="n">
        <v>261</v>
      </c>
      <c r="K7" t="n">
        <v>750</v>
      </c>
      <c r="L7" t="n">
        <v>364</v>
      </c>
      <c r="M7" t="n">
        <v>417</v>
      </c>
      <c r="N7" t="n">
        <v>215</v>
      </c>
      <c r="O7" t="n">
        <v>2152</v>
      </c>
      <c r="P7" t="n">
        <v>1043</v>
      </c>
    </row>
    <row r="8">
      <c r="A8" t="inlineStr">
        <is>
          <t>Kampong Thom</t>
        </is>
      </c>
      <c r="C8" t="n">
        <v>104</v>
      </c>
      <c r="E8" t="n">
        <v>44</v>
      </c>
      <c r="G8" t="n">
        <v>69</v>
      </c>
      <c r="I8" t="n">
        <v>34</v>
      </c>
      <c r="K8" t="n">
        <v>162</v>
      </c>
      <c r="L8" t="n">
        <v>80</v>
      </c>
      <c r="M8" t="n">
        <v>333</v>
      </c>
      <c r="N8" t="n">
        <v>164</v>
      </c>
      <c r="O8" t="n">
        <v>668</v>
      </c>
      <c r="P8" t="n">
        <v>322</v>
      </c>
    </row>
    <row r="9">
      <c r="A9" t="inlineStr">
        <is>
          <t>Kampot</t>
        </is>
      </c>
      <c r="C9" t="n">
        <v>177</v>
      </c>
      <c r="E9" t="n">
        <v>88</v>
      </c>
      <c r="G9" t="n">
        <v>214</v>
      </c>
      <c r="I9" t="n">
        <v>115</v>
      </c>
      <c r="K9" t="n">
        <v>401</v>
      </c>
      <c r="L9" t="n">
        <v>216</v>
      </c>
      <c r="M9" t="n">
        <v>17</v>
      </c>
      <c r="N9" t="n">
        <v>7</v>
      </c>
      <c r="O9" t="n">
        <v>809</v>
      </c>
      <c r="P9" t="n">
        <v>426</v>
      </c>
    </row>
    <row r="10">
      <c r="A10" t="inlineStr">
        <is>
          <t>Kandal</t>
        </is>
      </c>
      <c r="C10" t="n">
        <v>192</v>
      </c>
      <c r="E10" t="n">
        <v>82</v>
      </c>
      <c r="G10" t="n">
        <v>364</v>
      </c>
      <c r="I10" t="n">
        <v>173</v>
      </c>
      <c r="K10" t="n">
        <v>676</v>
      </c>
      <c r="L10" t="n">
        <v>313</v>
      </c>
      <c r="M10" t="n">
        <v>1516</v>
      </c>
      <c r="N10" t="n">
        <v>781</v>
      </c>
      <c r="O10" t="n">
        <v>2748</v>
      </c>
      <c r="P10" t="n">
        <v>1349</v>
      </c>
    </row>
    <row r="11">
      <c r="A11" t="inlineStr">
        <is>
          <t>Kep</t>
        </is>
      </c>
      <c r="C11" t="n">
        <v>4</v>
      </c>
      <c r="E11" t="n">
        <v>3</v>
      </c>
      <c r="G11" t="n">
        <v>5</v>
      </c>
      <c r="I11" t="n">
        <v>3</v>
      </c>
      <c r="K11" t="n">
        <v>5</v>
      </c>
      <c r="L11" t="n">
        <v>2</v>
      </c>
      <c r="M11" t="n">
        <v>23</v>
      </c>
      <c r="N11" t="n">
        <v>10</v>
      </c>
      <c r="O11" t="n">
        <v>37</v>
      </c>
      <c r="P11" t="n">
        <v>18</v>
      </c>
    </row>
    <row r="12">
      <c r="A12" t="inlineStr">
        <is>
          <t>Koh Kong</t>
        </is>
      </c>
      <c r="C12" t="n">
        <v>104</v>
      </c>
      <c r="E12" t="n">
        <v>52</v>
      </c>
      <c r="G12" t="n">
        <v>130</v>
      </c>
      <c r="I12" t="n">
        <v>73</v>
      </c>
      <c r="K12" t="n">
        <v>124</v>
      </c>
      <c r="L12" t="n">
        <v>57</v>
      </c>
      <c r="M12" t="n">
        <v>169</v>
      </c>
      <c r="N12" t="n">
        <v>88</v>
      </c>
      <c r="O12" t="n">
        <v>527</v>
      </c>
      <c r="P12" t="n">
        <v>270</v>
      </c>
    </row>
    <row r="13">
      <c r="A13" t="inlineStr">
        <is>
          <t>Kratie</t>
        </is>
      </c>
      <c r="C13" t="n">
        <v>24</v>
      </c>
      <c r="E13" t="n">
        <v>8</v>
      </c>
      <c r="G13" t="n">
        <v>49</v>
      </c>
      <c r="I13" t="n">
        <v>26</v>
      </c>
      <c r="K13" t="n">
        <v>59</v>
      </c>
      <c r="L13" t="n">
        <v>24</v>
      </c>
      <c r="M13" t="n">
        <v>47</v>
      </c>
      <c r="N13" t="n">
        <v>25</v>
      </c>
      <c r="O13" t="n">
        <v>179</v>
      </c>
      <c r="P13" t="n">
        <v>83</v>
      </c>
    </row>
    <row r="14">
      <c r="A14" t="inlineStr">
        <is>
          <t>Mondul Kiri</t>
        </is>
      </c>
      <c r="C14" t="n">
        <v>0</v>
      </c>
      <c r="E14" t="n">
        <v>0</v>
      </c>
      <c r="G14" t="n">
        <v>30</v>
      </c>
      <c r="I14" t="n">
        <v>14</v>
      </c>
      <c r="K14" t="n">
        <v>51</v>
      </c>
      <c r="L14" t="n">
        <v>31</v>
      </c>
      <c r="M14" t="n">
        <v>11</v>
      </c>
      <c r="N14" t="n">
        <v>6</v>
      </c>
      <c r="O14" t="n">
        <v>92</v>
      </c>
      <c r="P14" t="n">
        <v>51</v>
      </c>
    </row>
    <row r="15">
      <c r="A15" t="inlineStr">
        <is>
          <t>Otdar Meanchey</t>
        </is>
      </c>
      <c r="C15" t="n">
        <v>18</v>
      </c>
      <c r="E15" t="n">
        <v>6</v>
      </c>
      <c r="G15" t="n">
        <v>57</v>
      </c>
      <c r="I15" t="n">
        <v>33</v>
      </c>
      <c r="K15" t="n">
        <v>92</v>
      </c>
      <c r="L15" t="n">
        <v>47</v>
      </c>
      <c r="M15" t="n">
        <v>109</v>
      </c>
      <c r="N15" t="n">
        <v>57</v>
      </c>
      <c r="O15" t="n">
        <v>276</v>
      </c>
      <c r="P15" t="n">
        <v>143</v>
      </c>
    </row>
    <row r="16">
      <c r="A16" t="inlineStr">
        <is>
          <t>Pailin</t>
        </is>
      </c>
      <c r="C16" t="n">
        <v>15</v>
      </c>
      <c r="E16" t="n">
        <v>4</v>
      </c>
      <c r="G16" t="n">
        <v>153</v>
      </c>
      <c r="I16" t="n">
        <v>69</v>
      </c>
      <c r="K16" t="n">
        <v>208</v>
      </c>
      <c r="L16" t="n">
        <v>100</v>
      </c>
      <c r="M16" t="n">
        <v>89</v>
      </c>
      <c r="N16" t="n">
        <v>47</v>
      </c>
      <c r="O16" t="n">
        <v>465</v>
      </c>
      <c r="P16" t="n">
        <v>220</v>
      </c>
    </row>
    <row r="17">
      <c r="A17" t="inlineStr">
        <is>
          <t>Phnom Penh</t>
        </is>
      </c>
      <c r="C17" t="n">
        <v>2293</v>
      </c>
      <c r="E17" t="n">
        <v>1138</v>
      </c>
      <c r="G17" t="n">
        <v>3533</v>
      </c>
      <c r="I17" t="n">
        <v>1776</v>
      </c>
      <c r="K17" t="n">
        <v>6253</v>
      </c>
      <c r="L17" t="n">
        <v>3169</v>
      </c>
      <c r="M17" t="n">
        <v>3536</v>
      </c>
      <c r="N17" t="n">
        <v>1779</v>
      </c>
      <c r="O17" t="n">
        <v>15615</v>
      </c>
      <c r="P17" t="n">
        <v>7862</v>
      </c>
    </row>
    <row r="18">
      <c r="A18" t="inlineStr">
        <is>
          <t>Preah Sihanouk</t>
        </is>
      </c>
      <c r="C18" t="n">
        <v>93</v>
      </c>
      <c r="E18" t="n">
        <v>33</v>
      </c>
      <c r="G18" t="n">
        <v>263</v>
      </c>
      <c r="I18" t="n">
        <v>125</v>
      </c>
      <c r="K18" t="n">
        <v>385</v>
      </c>
      <c r="L18" t="n">
        <v>189</v>
      </c>
      <c r="M18" t="n">
        <v>780</v>
      </c>
      <c r="N18" t="n">
        <v>384</v>
      </c>
      <c r="O18" t="n">
        <v>1521</v>
      </c>
      <c r="P18" t="n">
        <v>731</v>
      </c>
    </row>
    <row r="19">
      <c r="A19" t="inlineStr">
        <is>
          <t>Preah Vihear</t>
        </is>
      </c>
      <c r="C19" t="n">
        <v>25</v>
      </c>
      <c r="E19" t="n">
        <v>15</v>
      </c>
      <c r="G19" t="n">
        <v>0</v>
      </c>
      <c r="I19" t="n">
        <v>0</v>
      </c>
      <c r="K19" t="n">
        <v>15</v>
      </c>
      <c r="L19" t="n">
        <v>4</v>
      </c>
      <c r="M19" t="n">
        <v>10</v>
      </c>
      <c r="N19" t="n">
        <v>4</v>
      </c>
      <c r="O19" t="n">
        <v>50</v>
      </c>
      <c r="P19" t="n">
        <v>23</v>
      </c>
    </row>
    <row r="20">
      <c r="A20" t="inlineStr">
        <is>
          <t>Prey Veng</t>
        </is>
      </c>
      <c r="C20" t="n">
        <v>29</v>
      </c>
      <c r="E20" t="n">
        <v>12</v>
      </c>
      <c r="G20" t="n">
        <v>20</v>
      </c>
      <c r="I20" t="n">
        <v>15</v>
      </c>
      <c r="K20" t="n">
        <v>14</v>
      </c>
      <c r="L20" t="n">
        <v>8</v>
      </c>
      <c r="M20" t="n">
        <v>12</v>
      </c>
      <c r="N20" t="n">
        <v>5</v>
      </c>
      <c r="O20" t="n">
        <v>75</v>
      </c>
      <c r="P20" t="n">
        <v>40</v>
      </c>
    </row>
    <row r="21">
      <c r="A21" t="inlineStr">
        <is>
          <t>Pursat</t>
        </is>
      </c>
      <c r="C21" t="n">
        <v>0</v>
      </c>
      <c r="E21" t="n">
        <v>0</v>
      </c>
      <c r="G21" t="n">
        <v>0</v>
      </c>
      <c r="I21" t="n">
        <v>0</v>
      </c>
      <c r="K21" t="n">
        <v>154</v>
      </c>
      <c r="L21" t="n">
        <v>78</v>
      </c>
      <c r="M21" t="n">
        <v>426</v>
      </c>
      <c r="N21" t="n">
        <v>219</v>
      </c>
      <c r="O21" t="n">
        <v>580</v>
      </c>
      <c r="P21" t="n">
        <v>297</v>
      </c>
    </row>
    <row r="22">
      <c r="A22" t="inlineStr">
        <is>
          <t>Ratanak Kiri</t>
        </is>
      </c>
      <c r="C22" t="n">
        <v>164</v>
      </c>
      <c r="E22" t="n">
        <v>84</v>
      </c>
      <c r="G22" t="n">
        <v>96</v>
      </c>
      <c r="I22" t="n">
        <v>49</v>
      </c>
      <c r="K22" t="n">
        <v>206</v>
      </c>
      <c r="L22" t="n">
        <v>111</v>
      </c>
      <c r="M22" t="n">
        <v>58</v>
      </c>
      <c r="N22" t="n">
        <v>24</v>
      </c>
      <c r="O22" t="n">
        <v>524</v>
      </c>
      <c r="P22" t="n">
        <v>268</v>
      </c>
    </row>
    <row r="23">
      <c r="A23" t="inlineStr">
        <is>
          <t>Siemreap</t>
        </is>
      </c>
      <c r="C23" t="n">
        <v>357</v>
      </c>
      <c r="E23" t="n">
        <v>174</v>
      </c>
      <c r="G23" t="n">
        <v>494</v>
      </c>
      <c r="I23" t="n">
        <v>256</v>
      </c>
      <c r="K23" t="n">
        <v>5631</v>
      </c>
      <c r="L23" t="n">
        <v>586</v>
      </c>
      <c r="M23" t="n">
        <v>1250</v>
      </c>
      <c r="N23" t="n">
        <v>668</v>
      </c>
      <c r="O23" t="n">
        <v>7732</v>
      </c>
      <c r="P23" t="n">
        <v>1684</v>
      </c>
    </row>
    <row r="24">
      <c r="A24" t="inlineStr">
        <is>
          <t>Stung Treng</t>
        </is>
      </c>
      <c r="C24" t="n">
        <v>26</v>
      </c>
      <c r="E24" t="n">
        <v>18</v>
      </c>
      <c r="G24" t="n">
        <v>62</v>
      </c>
      <c r="I24" t="n">
        <v>33</v>
      </c>
      <c r="K24" t="n">
        <v>75</v>
      </c>
      <c r="L24" t="n">
        <v>30</v>
      </c>
      <c r="M24" t="n">
        <v>69</v>
      </c>
      <c r="N24" t="n">
        <v>39</v>
      </c>
      <c r="O24" t="n">
        <v>232</v>
      </c>
      <c r="P24" t="n">
        <v>120</v>
      </c>
    </row>
    <row r="25">
      <c r="A25" t="inlineStr">
        <is>
          <t>Svay Rieng</t>
        </is>
      </c>
      <c r="C25" t="n">
        <v>17</v>
      </c>
      <c r="E25" t="n">
        <v>7</v>
      </c>
      <c r="G25" t="n">
        <v>20</v>
      </c>
      <c r="I25" t="n">
        <v>10</v>
      </c>
      <c r="K25" t="n">
        <v>37</v>
      </c>
      <c r="L25" t="n">
        <v>19</v>
      </c>
      <c r="M25" t="n">
        <v>83</v>
      </c>
      <c r="N25" t="n">
        <v>41</v>
      </c>
      <c r="O25" t="n">
        <v>157</v>
      </c>
      <c r="P25" t="n">
        <v>77</v>
      </c>
    </row>
    <row r="26">
      <c r="A26" t="inlineStr">
        <is>
          <t>Takeo</t>
        </is>
      </c>
      <c r="C26" t="n">
        <v>142</v>
      </c>
      <c r="E26" t="n">
        <v>68</v>
      </c>
      <c r="G26" t="n">
        <v>296</v>
      </c>
      <c r="I26" t="n">
        <v>152</v>
      </c>
      <c r="K26" t="n">
        <v>506</v>
      </c>
      <c r="L26" t="n">
        <v>224</v>
      </c>
      <c r="M26" t="n">
        <v>296</v>
      </c>
      <c r="N26" t="n">
        <v>145</v>
      </c>
      <c r="O26" t="n">
        <v>1240</v>
      </c>
      <c r="P26" t="n">
        <v>589</v>
      </c>
    </row>
    <row r="27">
      <c r="A27" t="inlineStr">
        <is>
          <t>Tbaung Khmum</t>
        </is>
      </c>
      <c r="C27" t="n">
        <v>47</v>
      </c>
      <c r="E27" t="n">
        <v>27</v>
      </c>
      <c r="G27" t="n">
        <v>36</v>
      </c>
      <c r="I27" t="n">
        <v>21</v>
      </c>
      <c r="K27" t="n">
        <v>41</v>
      </c>
      <c r="L27" t="n">
        <v>21</v>
      </c>
      <c r="M27" t="n">
        <v>286</v>
      </c>
      <c r="N27" t="n">
        <v>161</v>
      </c>
      <c r="O27" t="n">
        <v>410</v>
      </c>
      <c r="P27" t="n">
        <v>230</v>
      </c>
    </row>
    <row r="28">
      <c r="A28" t="inlineStr">
        <is>
          <t>Whole Kingdom</t>
        </is>
      </c>
      <c r="C28" t="n">
        <v>4986</v>
      </c>
      <c r="E28" t="n">
        <v>2430</v>
      </c>
      <c r="G28" t="n">
        <v>7408</v>
      </c>
      <c r="I28" t="n">
        <v>3737</v>
      </c>
      <c r="K28" t="n">
        <v>17245</v>
      </c>
      <c r="L28" t="n">
        <v>6356</v>
      </c>
      <c r="M28" t="n">
        <v>11976</v>
      </c>
      <c r="N28" t="n">
        <v>6065</v>
      </c>
      <c r="O28" t="n">
        <v>41615</v>
      </c>
      <c r="P28" t="n">
        <v>18588</v>
      </c>
    </row>
    <row r="29">
      <c r="A29" t="inlineStr">
        <is>
          <t>- Urban Area</t>
        </is>
      </c>
      <c r="C29" t="n">
        <v>4000</v>
      </c>
      <c r="E29" t="n">
        <v>1947</v>
      </c>
      <c r="G29" t="n">
        <v>5932</v>
      </c>
      <c r="I29" t="n">
        <v>2979</v>
      </c>
      <c r="K29" t="n">
        <v>14969</v>
      </c>
      <c r="L29" t="n">
        <v>5237</v>
      </c>
      <c r="M29" t="n">
        <v>8488</v>
      </c>
      <c r="N29" t="n">
        <v>4253</v>
      </c>
      <c r="O29" t="n">
        <v>33389</v>
      </c>
      <c r="P29" t="n">
        <v>14416</v>
      </c>
    </row>
    <row r="30">
      <c r="A30" t="inlineStr">
        <is>
          <t>- Rural Area</t>
        </is>
      </c>
      <c r="C30" t="n">
        <v>986</v>
      </c>
      <c r="E30" t="n">
        <v>483</v>
      </c>
      <c r="G30" t="n">
        <v>1476</v>
      </c>
      <c r="I30" t="n">
        <v>758</v>
      </c>
      <c r="K30" t="n">
        <v>2276</v>
      </c>
      <c r="L30" t="n">
        <v>1119</v>
      </c>
      <c r="M30" t="n">
        <v>3488</v>
      </c>
      <c r="N30" t="n">
        <v>1812</v>
      </c>
      <c r="O30" t="n">
        <v>8226</v>
      </c>
      <c r="P30" t="n">
        <v>4172</v>
      </c>
    </row>
  </sheetData>
  <mergeCells count="179">
    <mergeCell ref="G21:H21"/>
    <mergeCell ref="C6:D6"/>
    <mergeCell ref="A15:B15"/>
    <mergeCell ref="C15:D15"/>
    <mergeCell ref="P20:Q20"/>
    <mergeCell ref="E23:F23"/>
    <mergeCell ref="G23:H23"/>
    <mergeCell ref="I26:J26"/>
    <mergeCell ref="E8:F8"/>
    <mergeCell ref="P22:Q22"/>
    <mergeCell ref="A7:B7"/>
    <mergeCell ref="I16:J16"/>
    <mergeCell ref="P6:Q6"/>
    <mergeCell ref="I25:J25"/>
    <mergeCell ref="A27:B27"/>
    <mergeCell ref="G18:H18"/>
    <mergeCell ref="I18:J18"/>
    <mergeCell ref="C27:D27"/>
    <mergeCell ref="E27:F27"/>
    <mergeCell ref="C1:F1"/>
    <mergeCell ref="A17:B17"/>
    <mergeCell ref="P13:Q13"/>
    <mergeCell ref="C17:D17"/>
    <mergeCell ref="A22:B22"/>
    <mergeCell ref="G20:H20"/>
    <mergeCell ref="I20:J20"/>
    <mergeCell ref="A19:B19"/>
    <mergeCell ref="P15:Q15"/>
    <mergeCell ref="C19:D19"/>
    <mergeCell ref="A28:B28"/>
    <mergeCell ref="P24:Q24"/>
    <mergeCell ref="C28:D28"/>
    <mergeCell ref="E22:F22"/>
    <mergeCell ref="I13:J13"/>
    <mergeCell ref="G22:H22"/>
    <mergeCell ref="A9:B9"/>
    <mergeCell ref="C3:D3"/>
    <mergeCell ref="E3:F3"/>
    <mergeCell ref="I30:J30"/>
    <mergeCell ref="E12:F12"/>
    <mergeCell ref="A30:B30"/>
    <mergeCell ref="P26:Q26"/>
    <mergeCell ref="G12:H12"/>
    <mergeCell ref="C30:D30"/>
    <mergeCell ref="I6:J6"/>
    <mergeCell ref="I15:J15"/>
    <mergeCell ref="A11:B11"/>
    <mergeCell ref="C5:D5"/>
    <mergeCell ref="P10:Q10"/>
    <mergeCell ref="E5:F5"/>
    <mergeCell ref="C14:D14"/>
    <mergeCell ref="P25:Q25"/>
    <mergeCell ref="E14:F14"/>
    <mergeCell ref="M1:N1"/>
    <mergeCell ref="C4:D4"/>
    <mergeCell ref="P9:Q9"/>
    <mergeCell ref="E4:F4"/>
    <mergeCell ref="G7:H7"/>
    <mergeCell ref="I7:J7"/>
    <mergeCell ref="K1:L1"/>
    <mergeCell ref="P2:Q2"/>
    <mergeCell ref="P11:Q11"/>
    <mergeCell ref="A26:B26"/>
    <mergeCell ref="G24:H24"/>
    <mergeCell ref="I24:J24"/>
    <mergeCell ref="P28:Q28"/>
    <mergeCell ref="I8:J8"/>
    <mergeCell ref="E26:F26"/>
    <mergeCell ref="A8:B8"/>
    <mergeCell ref="I17:J17"/>
    <mergeCell ref="G26:H26"/>
    <mergeCell ref="C8:D8"/>
    <mergeCell ref="E16:F16"/>
    <mergeCell ref="P30:Q30"/>
    <mergeCell ref="G16:H16"/>
    <mergeCell ref="E25:F25"/>
    <mergeCell ref="I10:J10"/>
    <mergeCell ref="G25:H25"/>
    <mergeCell ref="A10:B10"/>
    <mergeCell ref="I19:J19"/>
    <mergeCell ref="P14:Q14"/>
    <mergeCell ref="C18:D18"/>
    <mergeCell ref="G9:H9"/>
    <mergeCell ref="E18:F18"/>
    <mergeCell ref="I9:J9"/>
    <mergeCell ref="P4:Q4"/>
    <mergeCell ref="O1:Q1"/>
    <mergeCell ref="G2:H2"/>
    <mergeCell ref="I2:J2"/>
    <mergeCell ref="G11:H11"/>
    <mergeCell ref="I11:J11"/>
    <mergeCell ref="C20:D20"/>
    <mergeCell ref="E20:F20"/>
    <mergeCell ref="C29:D29"/>
    <mergeCell ref="E29:F29"/>
    <mergeCell ref="E13:F13"/>
    <mergeCell ref="C22:D22"/>
    <mergeCell ref="P27:Q27"/>
    <mergeCell ref="G13:H13"/>
    <mergeCell ref="A3:B3"/>
    <mergeCell ref="A12:B12"/>
    <mergeCell ref="I21:J21"/>
    <mergeCell ref="C12:D12"/>
    <mergeCell ref="A21:B21"/>
    <mergeCell ref="P17:Q17"/>
    <mergeCell ref="E6:F6"/>
    <mergeCell ref="C21:D21"/>
    <mergeCell ref="E15:F15"/>
    <mergeCell ref="G15:H15"/>
    <mergeCell ref="A5:B5"/>
    <mergeCell ref="A14:B14"/>
    <mergeCell ref="I23:J23"/>
    <mergeCell ref="A23:B23"/>
    <mergeCell ref="P19:Q19"/>
    <mergeCell ref="A1:B2"/>
    <mergeCell ref="C23:D23"/>
    <mergeCell ref="A4:B4"/>
    <mergeCell ref="P3:Q3"/>
    <mergeCell ref="C7:D7"/>
    <mergeCell ref="P12:Q12"/>
    <mergeCell ref="E7:F7"/>
    <mergeCell ref="P5:Q5"/>
    <mergeCell ref="A24:B24"/>
    <mergeCell ref="C24:D24"/>
    <mergeCell ref="P29:Q29"/>
    <mergeCell ref="E24:F24"/>
    <mergeCell ref="G27:H27"/>
    <mergeCell ref="I27:J27"/>
    <mergeCell ref="G1:J1"/>
    <mergeCell ref="G8:H8"/>
    <mergeCell ref="E17:F17"/>
    <mergeCell ref="C26:D26"/>
    <mergeCell ref="G17:H17"/>
    <mergeCell ref="A6:B6"/>
    <mergeCell ref="A16:B16"/>
    <mergeCell ref="C10:D10"/>
    <mergeCell ref="C16:D16"/>
    <mergeCell ref="A25:B25"/>
    <mergeCell ref="P21:Q21"/>
    <mergeCell ref="E10:F10"/>
    <mergeCell ref="C25:D25"/>
    <mergeCell ref="G10:H10"/>
    <mergeCell ref="E19:F19"/>
    <mergeCell ref="P8:Q8"/>
    <mergeCell ref="G19:H19"/>
    <mergeCell ref="E28:F28"/>
    <mergeCell ref="G28:H28"/>
    <mergeCell ref="I22:J22"/>
    <mergeCell ref="I28:J28"/>
    <mergeCell ref="A18:B18"/>
    <mergeCell ref="C9:D9"/>
    <mergeCell ref="E9:F9"/>
    <mergeCell ref="G6:H6"/>
    <mergeCell ref="P23:Q23"/>
    <mergeCell ref="G3:H3"/>
    <mergeCell ref="I3:J3"/>
    <mergeCell ref="I12:J12"/>
    <mergeCell ref="E30:F30"/>
    <mergeCell ref="C2:D2"/>
    <mergeCell ref="G30:H30"/>
    <mergeCell ref="P7:Q7"/>
    <mergeCell ref="E2:F2"/>
    <mergeCell ref="C11:D11"/>
    <mergeCell ref="P16:Q16"/>
    <mergeCell ref="E11:F11"/>
    <mergeCell ref="G5:H5"/>
    <mergeCell ref="I5:J5"/>
    <mergeCell ref="G14:H14"/>
    <mergeCell ref="I14:J14"/>
    <mergeCell ref="G29:H29"/>
    <mergeCell ref="P18:Q18"/>
    <mergeCell ref="A20:B20"/>
    <mergeCell ref="I29:J29"/>
    <mergeCell ref="G4:H4"/>
    <mergeCell ref="I4:J4"/>
    <mergeCell ref="A29:B29"/>
    <mergeCell ref="A13:B13"/>
    <mergeCell ref="C13:D13"/>
    <mergeCell ref="E21:F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FFC000"/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19.83203125" customWidth="1" min="1" max="1"/>
    <col width="8.6640625" customWidth="1" min="2" max="2"/>
    <col width="8.5" customWidth="1" min="3" max="3"/>
    <col width="9.33203125" customWidth="1" min="5" max="5"/>
    <col width="8.5" customWidth="1" min="7" max="7"/>
    <col width="8.6640625" customWidth="1" min="10" max="10"/>
    <col width="8.83203125" customWidth="1" min="11" max="11"/>
    <col width="9.33203125" customWidth="1" min="12" max="12"/>
    <col width="8.6640625" customWidth="1" min="13" max="13"/>
    <col width="8.5" customWidth="1" min="14" max="14"/>
    <col width="8.83203125" customWidth="1" min="17" max="17"/>
    <col width="9.33203125" customWidth="1" min="18" max="18"/>
    <col width="8.6640625" customWidth="1" min="19" max="19"/>
  </cols>
  <sheetData>
    <row r="1">
      <c r="A1" t="inlineStr">
        <is>
          <t>Table 1: Schools, Classes, Students and Staff</t>
        </is>
      </c>
      <c r="B1" t="inlineStr">
        <is>
          <t>pre school education</t>
        </is>
      </c>
      <c r="H1" t="inlineStr">
        <is>
          <t>Primary Education</t>
        </is>
      </c>
      <c r="N1" t="inlineStr">
        <is>
          <t>Secondary Education</t>
        </is>
      </c>
    </row>
    <row r="2">
      <c r="B2" t="inlineStr">
        <is>
          <t>Primary</t>
        </is>
      </c>
      <c r="C2" t="inlineStr">
        <is>
          <t>L.sec.</t>
        </is>
      </c>
      <c r="D2" t="inlineStr">
        <is>
          <t>U.Sec.</t>
        </is>
      </c>
      <c r="E2" t="inlineStr">
        <is>
          <t>Graduate</t>
        </is>
      </c>
      <c r="F2" t="inlineStr">
        <is>
          <t>Post
Graduate</t>
        </is>
      </c>
      <c r="G2" t="inlineStr">
        <is>
          <t>Ph_D</t>
        </is>
      </c>
      <c r="H2" t="inlineStr">
        <is>
          <t>Primary</t>
        </is>
      </c>
      <c r="I2" t="inlineStr">
        <is>
          <t>L.sec.</t>
        </is>
      </c>
      <c r="J2" t="inlineStr">
        <is>
          <t>U.Sec.</t>
        </is>
      </c>
      <c r="K2" t="inlineStr">
        <is>
          <t>Graduate</t>
        </is>
      </c>
      <c r="L2" t="inlineStr">
        <is>
          <t>Post
Graduate</t>
        </is>
      </c>
      <c r="M2" t="inlineStr">
        <is>
          <t>Ph_D</t>
        </is>
      </c>
      <c r="N2" t="inlineStr">
        <is>
          <t>Primary</t>
        </is>
      </c>
      <c r="O2" t="inlineStr">
        <is>
          <t>L.sec.</t>
        </is>
      </c>
      <c r="P2" t="inlineStr">
        <is>
          <t>U.Sec.</t>
        </is>
      </c>
      <c r="Q2" t="inlineStr">
        <is>
          <t>Graduate</t>
        </is>
      </c>
      <c r="R2" t="inlineStr">
        <is>
          <t>Post
Graduate</t>
        </is>
      </c>
      <c r="S2" t="inlineStr">
        <is>
          <t>Ph_D</t>
        </is>
      </c>
    </row>
    <row r="3">
      <c r="A3" t="inlineStr">
        <is>
          <t>Banteay Meanchey</t>
        </is>
      </c>
      <c r="B3" t="n">
        <v>18</v>
      </c>
      <c r="C3" t="n">
        <v>58</v>
      </c>
      <c r="D3" t="n">
        <v>353</v>
      </c>
      <c r="E3" t="n">
        <v>223</v>
      </c>
      <c r="F3" t="n">
        <v>11</v>
      </c>
      <c r="G3" t="n">
        <v>2</v>
      </c>
      <c r="H3" t="n">
        <v>12</v>
      </c>
      <c r="I3" t="n">
        <v>41</v>
      </c>
      <c r="J3" t="n">
        <v>268</v>
      </c>
      <c r="K3" t="n">
        <v>189</v>
      </c>
      <c r="L3" t="n">
        <v>10</v>
      </c>
      <c r="M3" t="n">
        <v>2</v>
      </c>
      <c r="N3" t="n">
        <v>0</v>
      </c>
      <c r="O3" t="n">
        <v>14</v>
      </c>
      <c r="P3" t="n">
        <v>184</v>
      </c>
      <c r="Q3" t="n">
        <v>351</v>
      </c>
      <c r="R3" t="n">
        <v>62</v>
      </c>
      <c r="S3" t="n">
        <v>2</v>
      </c>
    </row>
    <row r="4">
      <c r="A4" t="inlineStr">
        <is>
          <t>Battambang</t>
        </is>
      </c>
      <c r="B4" t="n">
        <v>7</v>
      </c>
      <c r="C4" t="n">
        <v>17</v>
      </c>
      <c r="D4" t="n">
        <v>146</v>
      </c>
      <c r="E4" t="n">
        <v>166</v>
      </c>
      <c r="F4" t="n">
        <v>12</v>
      </c>
      <c r="G4" t="n">
        <v>0</v>
      </c>
      <c r="H4" t="n">
        <v>16</v>
      </c>
      <c r="I4" t="n">
        <v>13</v>
      </c>
      <c r="J4" t="n">
        <v>99</v>
      </c>
      <c r="K4" t="n">
        <v>136</v>
      </c>
      <c r="L4" t="n">
        <v>7</v>
      </c>
      <c r="M4" t="n">
        <v>0</v>
      </c>
      <c r="N4" t="n">
        <v>0</v>
      </c>
      <c r="O4" t="n">
        <v>49</v>
      </c>
      <c r="P4" t="n">
        <v>115</v>
      </c>
      <c r="Q4" t="n">
        <v>368</v>
      </c>
      <c r="R4" t="n">
        <v>92</v>
      </c>
      <c r="S4" t="n">
        <v>0</v>
      </c>
    </row>
    <row r="5">
      <c r="A5" t="inlineStr">
        <is>
          <t>Kampong Cham</t>
        </is>
      </c>
      <c r="B5" t="n">
        <v>5</v>
      </c>
      <c r="C5" t="n">
        <v>2</v>
      </c>
      <c r="D5" t="n">
        <v>73</v>
      </c>
      <c r="E5" t="n">
        <v>40</v>
      </c>
      <c r="F5" t="n">
        <v>0</v>
      </c>
      <c r="G5" t="n">
        <v>0</v>
      </c>
      <c r="H5" t="n">
        <v>16</v>
      </c>
      <c r="I5" t="n">
        <v>7</v>
      </c>
      <c r="J5" t="n">
        <v>67</v>
      </c>
      <c r="K5" t="n">
        <v>42</v>
      </c>
      <c r="L5" t="n">
        <v>0</v>
      </c>
      <c r="M5" t="n">
        <v>0</v>
      </c>
      <c r="N5" t="n">
        <v>11</v>
      </c>
      <c r="O5" t="n">
        <v>5</v>
      </c>
      <c r="P5" t="n">
        <v>37</v>
      </c>
      <c r="Q5" t="n">
        <v>109</v>
      </c>
      <c r="R5" t="n">
        <v>2</v>
      </c>
      <c r="S5" t="n">
        <v>0</v>
      </c>
    </row>
    <row r="6">
      <c r="A6" t="inlineStr">
        <is>
          <t>Kampong Chhnang</t>
        </is>
      </c>
      <c r="B6" t="n">
        <v>3</v>
      </c>
      <c r="C6" t="n">
        <v>15</v>
      </c>
      <c r="D6" t="n">
        <v>91</v>
      </c>
      <c r="E6" t="n">
        <v>72</v>
      </c>
      <c r="F6" t="n">
        <v>1</v>
      </c>
      <c r="G6" t="n">
        <v>0</v>
      </c>
      <c r="H6" t="n">
        <v>1</v>
      </c>
      <c r="I6" t="n">
        <v>15</v>
      </c>
      <c r="J6" t="n">
        <v>62</v>
      </c>
      <c r="K6" t="n">
        <v>59</v>
      </c>
      <c r="L6" t="n">
        <v>1</v>
      </c>
      <c r="M6" t="n">
        <v>0</v>
      </c>
      <c r="N6" t="n">
        <v>4</v>
      </c>
      <c r="O6" t="n">
        <v>2</v>
      </c>
      <c r="P6" t="n">
        <v>52</v>
      </c>
      <c r="Q6" t="n">
        <v>88</v>
      </c>
      <c r="R6" t="n">
        <v>3</v>
      </c>
      <c r="S6" t="n">
        <v>0</v>
      </c>
    </row>
    <row r="7">
      <c r="A7" t="inlineStr">
        <is>
          <t>Kampong Speu</t>
        </is>
      </c>
      <c r="B7" t="n">
        <v>56</v>
      </c>
      <c r="C7" t="n">
        <v>13</v>
      </c>
      <c r="D7" t="n">
        <v>157</v>
      </c>
      <c r="E7" t="n">
        <v>118</v>
      </c>
      <c r="F7" t="n">
        <v>6</v>
      </c>
      <c r="G7" t="n">
        <v>0</v>
      </c>
      <c r="H7" t="n">
        <v>30</v>
      </c>
      <c r="I7" t="n">
        <v>8</v>
      </c>
      <c r="J7" t="n">
        <v>120</v>
      </c>
      <c r="K7" t="n">
        <v>104</v>
      </c>
      <c r="L7" t="n">
        <v>10</v>
      </c>
      <c r="M7" t="n">
        <v>1</v>
      </c>
      <c r="N7" t="n">
        <v>2</v>
      </c>
      <c r="O7" t="n">
        <v>3</v>
      </c>
      <c r="P7" t="n">
        <v>37</v>
      </c>
      <c r="Q7" t="n">
        <v>184</v>
      </c>
      <c r="R7" t="n">
        <v>15</v>
      </c>
      <c r="S7" t="n">
        <v>0</v>
      </c>
    </row>
    <row r="8">
      <c r="A8" t="inlineStr">
        <is>
          <t>Kampong Thom</t>
        </is>
      </c>
      <c r="B8" t="n">
        <v>17</v>
      </c>
      <c r="C8" t="n">
        <v>17</v>
      </c>
      <c r="D8" t="n">
        <v>72</v>
      </c>
      <c r="E8" t="n">
        <v>42</v>
      </c>
      <c r="F8" t="n">
        <v>0</v>
      </c>
      <c r="G8" t="n">
        <v>0</v>
      </c>
      <c r="H8" t="n">
        <v>45</v>
      </c>
      <c r="I8" t="n">
        <v>8</v>
      </c>
      <c r="J8" t="n">
        <v>56</v>
      </c>
      <c r="K8" t="n">
        <v>31</v>
      </c>
      <c r="L8" t="n">
        <v>0</v>
      </c>
      <c r="M8" t="n">
        <v>0</v>
      </c>
      <c r="N8" t="n">
        <v>41</v>
      </c>
      <c r="O8" t="n">
        <v>6</v>
      </c>
      <c r="P8" t="n">
        <v>12</v>
      </c>
      <c r="Q8" t="n">
        <v>98</v>
      </c>
      <c r="R8" t="n">
        <v>10</v>
      </c>
      <c r="S8" t="n">
        <v>0</v>
      </c>
    </row>
    <row r="9">
      <c r="A9" t="inlineStr">
        <is>
          <t>Kampot</t>
        </is>
      </c>
      <c r="B9" t="n">
        <v>5</v>
      </c>
      <c r="C9" t="n">
        <v>14</v>
      </c>
      <c r="D9" t="n">
        <v>92</v>
      </c>
      <c r="E9" t="n">
        <v>64</v>
      </c>
      <c r="F9" t="n">
        <v>4</v>
      </c>
      <c r="G9" t="n">
        <v>0</v>
      </c>
      <c r="H9" t="n">
        <v>41</v>
      </c>
      <c r="I9" t="n">
        <v>49</v>
      </c>
      <c r="J9" t="n">
        <v>89</v>
      </c>
      <c r="K9" t="n">
        <v>59</v>
      </c>
      <c r="L9" t="n">
        <v>2</v>
      </c>
      <c r="M9" t="n">
        <v>0</v>
      </c>
      <c r="N9" t="n">
        <v>21</v>
      </c>
      <c r="O9" t="n">
        <v>16</v>
      </c>
      <c r="P9" t="n">
        <v>41</v>
      </c>
      <c r="Q9" t="n">
        <v>218</v>
      </c>
      <c r="R9" t="n">
        <v>27</v>
      </c>
      <c r="S9" t="n">
        <v>0</v>
      </c>
    </row>
    <row r="10">
      <c r="A10" t="inlineStr">
        <is>
          <t>Kandal</t>
        </is>
      </c>
      <c r="B10" t="n">
        <v>12</v>
      </c>
      <c r="C10" t="n">
        <v>43</v>
      </c>
      <c r="D10" t="n">
        <v>194</v>
      </c>
      <c r="E10" t="n">
        <v>158</v>
      </c>
      <c r="F10" t="n">
        <v>4</v>
      </c>
      <c r="G10" t="n">
        <v>0</v>
      </c>
      <c r="H10" t="n">
        <v>34</v>
      </c>
      <c r="I10" t="n">
        <v>18</v>
      </c>
      <c r="J10" t="n">
        <v>131</v>
      </c>
      <c r="K10" t="n">
        <v>128</v>
      </c>
      <c r="L10" t="n">
        <v>2</v>
      </c>
      <c r="M10" t="n">
        <v>0</v>
      </c>
      <c r="N10" t="n">
        <v>5</v>
      </c>
      <c r="O10" t="n">
        <v>24</v>
      </c>
      <c r="P10" t="n">
        <v>76</v>
      </c>
      <c r="Q10" t="n">
        <v>234</v>
      </c>
      <c r="R10" t="n">
        <v>33</v>
      </c>
      <c r="S10" t="n">
        <v>1</v>
      </c>
    </row>
    <row r="11">
      <c r="A11" t="inlineStr">
        <is>
          <t>Kep</t>
        </is>
      </c>
      <c r="B11" t="n">
        <v>0</v>
      </c>
      <c r="C11" t="n">
        <v>0</v>
      </c>
      <c r="D11" t="n">
        <v>0</v>
      </c>
      <c r="E11" t="n">
        <v>9</v>
      </c>
      <c r="F11" t="n">
        <v>0</v>
      </c>
      <c r="G11" t="n">
        <v>0</v>
      </c>
      <c r="H11" t="n">
        <v>14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</v>
      </c>
      <c r="R11" t="n">
        <v>0</v>
      </c>
      <c r="S11" t="n">
        <v>0</v>
      </c>
    </row>
    <row r="12">
      <c r="A12" t="inlineStr">
        <is>
          <t>Koh Kong</t>
        </is>
      </c>
      <c r="B12" t="n">
        <v>8</v>
      </c>
      <c r="C12" t="n">
        <v>7</v>
      </c>
      <c r="D12" t="n">
        <v>47</v>
      </c>
      <c r="E12" t="n">
        <v>16</v>
      </c>
      <c r="F12" t="n">
        <v>0</v>
      </c>
      <c r="G12" t="n">
        <v>0</v>
      </c>
      <c r="H12" t="n">
        <v>2</v>
      </c>
      <c r="I12" t="n">
        <v>12</v>
      </c>
      <c r="J12" t="n">
        <v>42</v>
      </c>
      <c r="K12" t="n">
        <v>13</v>
      </c>
      <c r="L12" t="n">
        <v>0</v>
      </c>
      <c r="M12" t="n">
        <v>0</v>
      </c>
      <c r="N12" t="n">
        <v>0</v>
      </c>
      <c r="O12" t="n">
        <v>0</v>
      </c>
      <c r="P12" t="n">
        <v>14</v>
      </c>
      <c r="Q12" t="n">
        <v>16</v>
      </c>
      <c r="R12" t="n">
        <v>1</v>
      </c>
      <c r="S12" t="n">
        <v>0</v>
      </c>
    </row>
    <row r="13">
      <c r="A13" t="inlineStr">
        <is>
          <t>Kratie</t>
        </is>
      </c>
      <c r="B13" t="n">
        <v>0</v>
      </c>
      <c r="C13" t="n">
        <v>1</v>
      </c>
      <c r="D13" t="n">
        <v>14</v>
      </c>
      <c r="E13" t="n">
        <v>14</v>
      </c>
      <c r="F13" t="n">
        <v>1</v>
      </c>
      <c r="G13" t="n">
        <v>0</v>
      </c>
      <c r="H13" t="n">
        <v>21</v>
      </c>
      <c r="I13" t="n">
        <v>6</v>
      </c>
      <c r="J13" t="n">
        <v>10</v>
      </c>
      <c r="K13" t="n">
        <v>6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20</v>
      </c>
      <c r="R13" t="n">
        <v>9</v>
      </c>
      <c r="S13" t="n">
        <v>0</v>
      </c>
    </row>
    <row r="14">
      <c r="A14" t="inlineStr">
        <is>
          <t>Mondul Kiri</t>
        </is>
      </c>
      <c r="B14" t="n">
        <v>0</v>
      </c>
      <c r="C14" t="n">
        <v>3</v>
      </c>
      <c r="D14" t="n">
        <v>27</v>
      </c>
      <c r="E14" t="n">
        <v>10</v>
      </c>
      <c r="F14" t="n">
        <v>0</v>
      </c>
      <c r="G14" t="n">
        <v>0</v>
      </c>
      <c r="H14" t="n">
        <v>0</v>
      </c>
      <c r="I14" t="n">
        <v>2</v>
      </c>
      <c r="J14" t="n">
        <v>19</v>
      </c>
      <c r="K14" t="n">
        <v>8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18</v>
      </c>
      <c r="R14" t="n">
        <v>1</v>
      </c>
      <c r="S14" t="n">
        <v>0</v>
      </c>
    </row>
    <row r="15">
      <c r="A15" t="inlineStr">
        <is>
          <t>Otdar Meanchey</t>
        </is>
      </c>
      <c r="B15" t="n">
        <v>1</v>
      </c>
      <c r="C15" t="n">
        <v>8</v>
      </c>
      <c r="D15" t="n">
        <v>63</v>
      </c>
      <c r="E15" t="n">
        <v>7</v>
      </c>
      <c r="F15" t="n">
        <v>2</v>
      </c>
      <c r="G15" t="n">
        <v>0</v>
      </c>
      <c r="H15" t="n">
        <v>1</v>
      </c>
      <c r="I15" t="n">
        <v>5</v>
      </c>
      <c r="J15" t="n">
        <v>46</v>
      </c>
      <c r="K15" t="n">
        <v>6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Pailin</t>
        </is>
      </c>
      <c r="B16" t="n">
        <v>0</v>
      </c>
      <c r="C16" t="n">
        <v>6</v>
      </c>
      <c r="D16" t="n">
        <v>51</v>
      </c>
      <c r="E16" t="n">
        <v>22</v>
      </c>
      <c r="F16" t="n">
        <v>0</v>
      </c>
      <c r="G16" t="n">
        <v>0</v>
      </c>
      <c r="H16" t="n">
        <v>0</v>
      </c>
      <c r="I16" t="n">
        <v>3</v>
      </c>
      <c r="J16" t="n">
        <v>32</v>
      </c>
      <c r="K16" t="n">
        <v>18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  <c r="Q16" t="n">
        <v>1</v>
      </c>
      <c r="R16" t="n">
        <v>0</v>
      </c>
      <c r="S16" t="n">
        <v>0</v>
      </c>
    </row>
    <row r="17">
      <c r="A17" t="inlineStr">
        <is>
          <t>Phnom Penh</t>
        </is>
      </c>
      <c r="B17" t="n">
        <v>164</v>
      </c>
      <c r="C17" t="n">
        <v>253</v>
      </c>
      <c r="D17" t="n">
        <v>843</v>
      </c>
      <c r="E17" t="n">
        <v>1927</v>
      </c>
      <c r="F17" t="n">
        <v>119</v>
      </c>
      <c r="G17" t="n">
        <v>6</v>
      </c>
      <c r="H17" t="n">
        <v>131</v>
      </c>
      <c r="I17" t="n">
        <v>159</v>
      </c>
      <c r="J17" t="n">
        <v>595</v>
      </c>
      <c r="K17" t="n">
        <v>1688</v>
      </c>
      <c r="L17" t="n">
        <v>174</v>
      </c>
      <c r="M17" t="n">
        <v>8</v>
      </c>
      <c r="N17" t="n">
        <v>69</v>
      </c>
      <c r="O17" t="n">
        <v>122</v>
      </c>
      <c r="P17" t="n">
        <v>378</v>
      </c>
      <c r="Q17" t="n">
        <v>2876</v>
      </c>
      <c r="R17" t="n">
        <v>485</v>
      </c>
      <c r="S17" t="n">
        <v>76</v>
      </c>
    </row>
    <row r="18">
      <c r="A18" t="inlineStr">
        <is>
          <t>Preah Sihanouk</t>
        </is>
      </c>
      <c r="B18" t="n">
        <v>7</v>
      </c>
      <c r="C18" t="n">
        <v>25</v>
      </c>
      <c r="D18" t="n">
        <v>120</v>
      </c>
      <c r="E18" t="n">
        <v>92</v>
      </c>
      <c r="F18" t="n">
        <v>3</v>
      </c>
      <c r="G18" t="n">
        <v>0</v>
      </c>
      <c r="H18" t="n">
        <v>8</v>
      </c>
      <c r="I18" t="n">
        <v>32</v>
      </c>
      <c r="J18" t="n">
        <v>104</v>
      </c>
      <c r="K18" t="n">
        <v>91</v>
      </c>
      <c r="L18" t="n">
        <v>3</v>
      </c>
      <c r="M18" t="n">
        <v>0</v>
      </c>
      <c r="N18" t="n">
        <v>1</v>
      </c>
      <c r="O18" t="n">
        <v>3</v>
      </c>
      <c r="P18" t="n">
        <v>53</v>
      </c>
      <c r="Q18" t="n">
        <v>199</v>
      </c>
      <c r="R18" t="n">
        <v>18</v>
      </c>
      <c r="S18" t="n">
        <v>0</v>
      </c>
    </row>
    <row r="19">
      <c r="A19" t="inlineStr">
        <is>
          <t>Preah Vihear</t>
        </is>
      </c>
      <c r="B19" t="n">
        <v>0</v>
      </c>
      <c r="C19" t="n">
        <v>3</v>
      </c>
      <c r="D19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Prey Veng</t>
        </is>
      </c>
      <c r="B20" t="n">
        <v>0</v>
      </c>
      <c r="C20" t="n">
        <v>0</v>
      </c>
      <c r="D20" t="n">
        <v>9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16</v>
      </c>
      <c r="R20" t="n">
        <v>3</v>
      </c>
      <c r="S20" t="n">
        <v>0</v>
      </c>
    </row>
    <row r="21">
      <c r="A21" t="inlineStr">
        <is>
          <t>Pursat</t>
        </is>
      </c>
      <c r="B21" t="n">
        <v>0</v>
      </c>
      <c r="C21" t="n">
        <v>0</v>
      </c>
      <c r="D21" t="n">
        <v>26</v>
      </c>
      <c r="E21" t="n">
        <v>17</v>
      </c>
      <c r="F21" t="n">
        <v>2</v>
      </c>
      <c r="G21" t="n">
        <v>0</v>
      </c>
      <c r="H21" t="n">
        <v>0</v>
      </c>
      <c r="I21" t="n">
        <v>0</v>
      </c>
      <c r="J21" t="n">
        <v>7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12</v>
      </c>
      <c r="Q21" t="n">
        <v>13</v>
      </c>
      <c r="R21" t="n">
        <v>2</v>
      </c>
      <c r="S21" t="n">
        <v>0</v>
      </c>
    </row>
    <row r="22">
      <c r="A22" t="inlineStr">
        <is>
          <t>Ratanak Kiri</t>
        </is>
      </c>
      <c r="B22" t="n">
        <v>0</v>
      </c>
      <c r="C22" t="n">
        <v>17</v>
      </c>
      <c r="D22" t="n">
        <v>40</v>
      </c>
      <c r="E22" t="n">
        <v>15</v>
      </c>
      <c r="F22" t="n">
        <v>0</v>
      </c>
      <c r="G22" t="n">
        <v>0</v>
      </c>
      <c r="H22" t="n">
        <v>0</v>
      </c>
      <c r="I22" t="n">
        <v>8</v>
      </c>
      <c r="J22" t="n">
        <v>34</v>
      </c>
      <c r="K22" t="n">
        <v>9</v>
      </c>
      <c r="L22" t="n">
        <v>0</v>
      </c>
      <c r="M22" t="n">
        <v>0</v>
      </c>
      <c r="N22" t="n">
        <v>0</v>
      </c>
      <c r="O22" t="n">
        <v>2</v>
      </c>
      <c r="P22" t="n">
        <v>18</v>
      </c>
      <c r="Q22" t="n">
        <v>60</v>
      </c>
      <c r="R22" t="n">
        <v>1</v>
      </c>
      <c r="S22" t="n">
        <v>0</v>
      </c>
    </row>
    <row r="23">
      <c r="A23" t="inlineStr">
        <is>
          <t>Siemreap</t>
        </is>
      </c>
      <c r="B23" t="n">
        <v>29</v>
      </c>
      <c r="C23" t="n">
        <v>50</v>
      </c>
      <c r="D23" t="n">
        <v>300</v>
      </c>
      <c r="E23" t="n">
        <v>250</v>
      </c>
      <c r="F23" t="n">
        <v>12</v>
      </c>
      <c r="G23" t="n">
        <v>0</v>
      </c>
      <c r="H23" t="n">
        <v>28</v>
      </c>
      <c r="I23" t="n">
        <v>24</v>
      </c>
      <c r="J23" t="n">
        <v>200</v>
      </c>
      <c r="K23" t="n">
        <v>175</v>
      </c>
      <c r="L23" t="n">
        <v>14</v>
      </c>
      <c r="M23" t="n">
        <v>1</v>
      </c>
      <c r="N23" t="n">
        <v>6</v>
      </c>
      <c r="O23" t="n">
        <v>23</v>
      </c>
      <c r="P23" t="n">
        <v>224</v>
      </c>
      <c r="Q23" t="n">
        <v>602</v>
      </c>
      <c r="R23" t="n">
        <v>58</v>
      </c>
      <c r="S23" t="n">
        <v>3</v>
      </c>
    </row>
    <row r="24">
      <c r="A24" t="inlineStr">
        <is>
          <t>Stung Treng</t>
        </is>
      </c>
      <c r="B24" t="n">
        <v>3</v>
      </c>
      <c r="C24" t="n">
        <v>0</v>
      </c>
      <c r="D24" t="n">
        <v>23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15</v>
      </c>
      <c r="K24" t="n">
        <v>3</v>
      </c>
      <c r="L24" t="n">
        <v>0</v>
      </c>
      <c r="M24" t="n">
        <v>0</v>
      </c>
      <c r="N24" t="n">
        <v>0</v>
      </c>
      <c r="O24" t="n">
        <v>10</v>
      </c>
      <c r="P24" t="n">
        <v>1</v>
      </c>
      <c r="Q24" t="n">
        <v>1</v>
      </c>
      <c r="R24" t="n">
        <v>0</v>
      </c>
      <c r="S24" t="n">
        <v>0</v>
      </c>
    </row>
    <row r="25">
      <c r="A25" t="inlineStr">
        <is>
          <t>Svay Rieng</t>
        </is>
      </c>
      <c r="B25" t="n">
        <v>2</v>
      </c>
      <c r="C25" t="n">
        <v>2</v>
      </c>
      <c r="D25" t="n">
        <v>20</v>
      </c>
      <c r="E25" t="n">
        <v>18</v>
      </c>
      <c r="F25" t="n">
        <v>0</v>
      </c>
      <c r="G25" t="n">
        <v>0</v>
      </c>
      <c r="H25" t="n">
        <v>0</v>
      </c>
      <c r="I25" t="n">
        <v>2</v>
      </c>
      <c r="J25" t="n">
        <v>16</v>
      </c>
      <c r="K25" t="n">
        <v>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</v>
      </c>
      <c r="R25" t="n">
        <v>0</v>
      </c>
      <c r="S25" t="n">
        <v>0</v>
      </c>
    </row>
    <row r="26">
      <c r="A26" t="inlineStr">
        <is>
          <t>Takeo</t>
        </is>
      </c>
      <c r="B26" t="n">
        <v>19</v>
      </c>
      <c r="C26" t="n">
        <v>35</v>
      </c>
      <c r="D26" t="n">
        <v>141</v>
      </c>
      <c r="E26" t="n">
        <v>65</v>
      </c>
      <c r="F26" t="n">
        <v>1</v>
      </c>
      <c r="G26" t="n">
        <v>0</v>
      </c>
      <c r="H26" t="n">
        <v>12</v>
      </c>
      <c r="I26" t="n">
        <v>21</v>
      </c>
      <c r="J26" t="n">
        <v>91</v>
      </c>
      <c r="K26" t="n">
        <v>60</v>
      </c>
      <c r="L26" t="n">
        <v>1</v>
      </c>
      <c r="M26" t="n">
        <v>0</v>
      </c>
      <c r="N26" t="n">
        <v>2</v>
      </c>
      <c r="O26" t="n">
        <v>4</v>
      </c>
      <c r="P26" t="n">
        <v>64</v>
      </c>
      <c r="Q26" t="n">
        <v>112</v>
      </c>
      <c r="R26" t="n">
        <v>24</v>
      </c>
      <c r="S26" t="n">
        <v>2</v>
      </c>
    </row>
    <row r="27">
      <c r="A27" t="inlineStr">
        <is>
          <t>Tbaung Khmum</t>
        </is>
      </c>
      <c r="B27" t="n">
        <v>0</v>
      </c>
      <c r="C27" t="n">
        <v>0</v>
      </c>
      <c r="D27" t="n">
        <v>52</v>
      </c>
      <c r="E27" t="n">
        <v>26</v>
      </c>
      <c r="F27" t="n">
        <v>0</v>
      </c>
      <c r="G27" t="n">
        <v>0</v>
      </c>
      <c r="H27" t="n">
        <v>1</v>
      </c>
      <c r="I27" t="n">
        <v>3</v>
      </c>
      <c r="J27" t="n">
        <v>78</v>
      </c>
      <c r="K27" t="n">
        <v>33</v>
      </c>
      <c r="L27" t="n">
        <v>0</v>
      </c>
      <c r="M27" t="n">
        <v>0</v>
      </c>
      <c r="N27" t="n">
        <v>0</v>
      </c>
      <c r="O27" t="n">
        <v>0</v>
      </c>
      <c r="P27" t="n">
        <v>36</v>
      </c>
      <c r="Q27" t="n">
        <v>122</v>
      </c>
      <c r="R27" t="n">
        <v>3</v>
      </c>
      <c r="S27" t="n">
        <v>0</v>
      </c>
    </row>
    <row r="28">
      <c r="A28" t="inlineStr">
        <is>
          <t>Whole Kingdom</t>
        </is>
      </c>
      <c r="B28" t="n">
        <v>356</v>
      </c>
      <c r="C28" t="n">
        <v>589</v>
      </c>
      <c r="D28" t="n">
        <v>2965</v>
      </c>
      <c r="E28" t="n">
        <v>3380</v>
      </c>
      <c r="F28" t="n">
        <v>178</v>
      </c>
      <c r="G28" t="n">
        <v>8</v>
      </c>
      <c r="H28" t="n">
        <v>413</v>
      </c>
      <c r="I28" t="n">
        <v>439</v>
      </c>
      <c r="J28" t="n">
        <v>2195</v>
      </c>
      <c r="K28" t="n">
        <v>2867</v>
      </c>
      <c r="L28" t="n">
        <v>226</v>
      </c>
      <c r="M28" t="n">
        <v>12</v>
      </c>
      <c r="N28" t="n">
        <v>162</v>
      </c>
      <c r="O28" t="n">
        <v>284</v>
      </c>
      <c r="P28" t="n">
        <v>1363</v>
      </c>
      <c r="Q28" t="n">
        <v>5727</v>
      </c>
      <c r="R28" t="n">
        <v>849</v>
      </c>
      <c r="S28" t="n">
        <v>84</v>
      </c>
    </row>
    <row r="29">
      <c r="A29" t="inlineStr">
        <is>
          <t>- Urban Area</t>
        </is>
      </c>
      <c r="B29" t="n">
        <v>252</v>
      </c>
      <c r="C29" t="n">
        <v>454</v>
      </c>
      <c r="D29" t="n">
        <v>2187</v>
      </c>
      <c r="E29" t="n">
        <v>3032</v>
      </c>
      <c r="F29" t="n">
        <v>160</v>
      </c>
      <c r="G29" t="n">
        <v>8</v>
      </c>
      <c r="H29" t="n">
        <v>236</v>
      </c>
      <c r="I29" t="n">
        <v>309</v>
      </c>
      <c r="J29" t="n">
        <v>1587</v>
      </c>
      <c r="K29" t="n">
        <v>2546</v>
      </c>
      <c r="L29" t="n">
        <v>211</v>
      </c>
      <c r="M29" t="n">
        <v>12</v>
      </c>
      <c r="N29" t="n">
        <v>80</v>
      </c>
      <c r="O29" t="n">
        <v>227</v>
      </c>
      <c r="P29" t="n">
        <v>1100</v>
      </c>
      <c r="Q29" t="n">
        <v>4902</v>
      </c>
      <c r="R29" t="n">
        <v>785</v>
      </c>
      <c r="S29" t="n">
        <v>81</v>
      </c>
    </row>
    <row r="30">
      <c r="A30" t="inlineStr">
        <is>
          <t>- Rural Area</t>
        </is>
      </c>
      <c r="B30" t="n">
        <v>104</v>
      </c>
      <c r="C30" t="n">
        <v>135</v>
      </c>
      <c r="D30" t="n">
        <v>778</v>
      </c>
      <c r="E30" t="n">
        <v>348</v>
      </c>
      <c r="F30" t="n">
        <v>18</v>
      </c>
      <c r="G30" t="n">
        <v>0</v>
      </c>
      <c r="H30" t="n">
        <v>177</v>
      </c>
      <c r="I30" t="n">
        <v>130</v>
      </c>
      <c r="J30" t="n">
        <v>608</v>
      </c>
      <c r="K30" t="n">
        <v>321</v>
      </c>
      <c r="L30" t="n">
        <v>15</v>
      </c>
      <c r="M30" t="n">
        <v>0</v>
      </c>
      <c r="N30" t="n">
        <v>82</v>
      </c>
      <c r="O30" t="n">
        <v>57</v>
      </c>
      <c r="P30" t="n">
        <v>263</v>
      </c>
      <c r="Q30" t="n">
        <v>825</v>
      </c>
      <c r="R30" t="n">
        <v>64</v>
      </c>
      <c r="S30" t="n">
        <v>3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FC000"/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19.1640625" customWidth="1" min="1" max="1"/>
    <col width="10.1640625" customWidth="1" min="2" max="2"/>
    <col width="8.83203125" customWidth="1" min="5" max="5"/>
    <col width="7.5" customWidth="1" min="8" max="8"/>
    <col width="7.83203125" customWidth="1" min="9" max="9"/>
    <col width="8.83203125" customWidth="1" min="11" max="11"/>
    <col width="8.1640625" customWidth="1" min="14" max="14"/>
    <col width="8.83203125" customWidth="1" min="17" max="17"/>
  </cols>
  <sheetData>
    <row r="1">
      <c r="A1" t="inlineStr">
        <is>
          <t>Table 1: Schools, Classes, Students and Staff</t>
        </is>
      </c>
      <c r="B1" t="inlineStr">
        <is>
          <t>Education Level of Teaching Staff: Total</t>
        </is>
      </c>
      <c r="H1" t="inlineStr">
        <is>
          <t>Education Level of Teaching Staff: Female</t>
        </is>
      </c>
      <c r="N1" t="inlineStr">
        <is>
          <t>Teaching Staff Without Pedagogical Training</t>
        </is>
      </c>
    </row>
    <row r="2">
      <c r="B2" t="inlineStr">
        <is>
          <t>Primary</t>
        </is>
      </c>
      <c r="C2" t="inlineStr">
        <is>
          <t>L.sec.</t>
        </is>
      </c>
      <c r="D2" t="inlineStr">
        <is>
          <t>U.Sec.</t>
        </is>
      </c>
      <c r="E2" t="inlineStr">
        <is>
          <t>Graduate</t>
        </is>
      </c>
      <c r="F2" t="inlineStr">
        <is>
          <t>Post
Graduate</t>
        </is>
      </c>
      <c r="G2" t="inlineStr">
        <is>
          <t>Ph_D</t>
        </is>
      </c>
      <c r="H2" t="inlineStr">
        <is>
          <t>Primary</t>
        </is>
      </c>
      <c r="I2" t="inlineStr">
        <is>
          <t>L.sec.</t>
        </is>
      </c>
      <c r="J2" t="inlineStr">
        <is>
          <t>U.Sec.</t>
        </is>
      </c>
      <c r="K2" t="inlineStr">
        <is>
          <t>Graduate</t>
        </is>
      </c>
      <c r="L2" t="inlineStr">
        <is>
          <t>Post
Graduate</t>
        </is>
      </c>
      <c r="M2" t="inlineStr">
        <is>
          <t>Ph_D</t>
        </is>
      </c>
      <c r="N2" t="inlineStr">
        <is>
          <t>Primary</t>
        </is>
      </c>
      <c r="O2" t="inlineStr">
        <is>
          <t>L.sec.</t>
        </is>
      </c>
      <c r="P2" t="inlineStr">
        <is>
          <t>U.Sec.</t>
        </is>
      </c>
      <c r="Q2" t="inlineStr">
        <is>
          <t>Graduate</t>
        </is>
      </c>
      <c r="R2" t="inlineStr">
        <is>
          <t>Post
Graduate</t>
        </is>
      </c>
      <c r="S2" t="inlineStr">
        <is>
          <t>Ph_D</t>
        </is>
      </c>
    </row>
    <row r="3">
      <c r="A3" t="inlineStr">
        <is>
          <t>Banteay Meanchey</t>
        </is>
      </c>
      <c r="B3" t="n">
        <v>18</v>
      </c>
      <c r="C3" t="n">
        <v>72</v>
      </c>
      <c r="D3" t="n">
        <v>535</v>
      </c>
      <c r="E3" t="n">
        <v>559</v>
      </c>
      <c r="F3" t="n">
        <v>73</v>
      </c>
      <c r="G3" t="n">
        <v>4</v>
      </c>
      <c r="H3" t="n">
        <v>13</v>
      </c>
      <c r="I3" t="n">
        <v>48</v>
      </c>
      <c r="J3" t="n">
        <v>341</v>
      </c>
      <c r="K3" t="n">
        <v>291</v>
      </c>
      <c r="L3" t="n">
        <v>21</v>
      </c>
      <c r="M3" t="n">
        <v>0</v>
      </c>
      <c r="N3" t="n">
        <v>2</v>
      </c>
      <c r="O3" t="n">
        <v>3</v>
      </c>
      <c r="P3" t="n">
        <v>31</v>
      </c>
      <c r="Q3" t="n">
        <v>20</v>
      </c>
      <c r="R3" t="n">
        <v>0</v>
      </c>
      <c r="S3" t="n">
        <v>0</v>
      </c>
    </row>
    <row r="4">
      <c r="A4" t="inlineStr">
        <is>
          <t>Battambang</t>
        </is>
      </c>
      <c r="B4" t="n">
        <v>17</v>
      </c>
      <c r="C4" t="n">
        <v>66</v>
      </c>
      <c r="D4" t="n">
        <v>244</v>
      </c>
      <c r="E4" t="n">
        <v>512</v>
      </c>
      <c r="F4" t="n">
        <v>100</v>
      </c>
      <c r="G4" t="n">
        <v>0</v>
      </c>
      <c r="H4" t="n">
        <v>17</v>
      </c>
      <c r="I4" t="n">
        <v>34</v>
      </c>
      <c r="J4" t="n">
        <v>177</v>
      </c>
      <c r="K4" t="n">
        <v>310</v>
      </c>
      <c r="L4" t="n">
        <v>31</v>
      </c>
      <c r="M4" t="n">
        <v>0</v>
      </c>
      <c r="N4" t="n">
        <v>1</v>
      </c>
      <c r="O4" t="n">
        <v>2</v>
      </c>
      <c r="P4" t="n">
        <v>21</v>
      </c>
      <c r="Q4" t="n">
        <v>19</v>
      </c>
      <c r="R4" t="n">
        <v>0</v>
      </c>
      <c r="S4" t="n">
        <v>0</v>
      </c>
    </row>
    <row r="5">
      <c r="A5" t="inlineStr">
        <is>
          <t>Kampong Cham</t>
        </is>
      </c>
      <c r="B5" t="n">
        <v>16</v>
      </c>
      <c r="C5" t="n">
        <v>11</v>
      </c>
      <c r="D5" t="n">
        <v>117</v>
      </c>
      <c r="E5" t="n">
        <v>138</v>
      </c>
      <c r="F5" t="n">
        <v>2</v>
      </c>
      <c r="G5" t="n">
        <v>0</v>
      </c>
      <c r="H5" t="n">
        <v>9</v>
      </c>
      <c r="I5" t="n">
        <v>4</v>
      </c>
      <c r="J5" t="n">
        <v>83</v>
      </c>
      <c r="K5" t="n">
        <v>80</v>
      </c>
      <c r="L5" t="n">
        <v>0</v>
      </c>
      <c r="M5" t="n">
        <v>0</v>
      </c>
      <c r="N5" t="n">
        <v>4</v>
      </c>
      <c r="O5" t="n">
        <v>0</v>
      </c>
      <c r="P5" t="n">
        <v>12</v>
      </c>
      <c r="Q5" t="n">
        <v>8</v>
      </c>
      <c r="R5" t="n">
        <v>0</v>
      </c>
      <c r="S5" t="n">
        <v>0</v>
      </c>
    </row>
    <row r="6">
      <c r="A6" t="inlineStr">
        <is>
          <t>Kampong Chhnang</t>
        </is>
      </c>
      <c r="B6" t="n">
        <v>7</v>
      </c>
      <c r="C6" t="n">
        <v>17</v>
      </c>
      <c r="D6" t="n">
        <v>142</v>
      </c>
      <c r="E6" t="n">
        <v>158</v>
      </c>
      <c r="F6" t="n">
        <v>4</v>
      </c>
      <c r="G6" t="n">
        <v>0</v>
      </c>
      <c r="H6" t="n">
        <v>6</v>
      </c>
      <c r="I6" t="n">
        <v>14</v>
      </c>
      <c r="J6" t="n">
        <v>97</v>
      </c>
      <c r="K6" t="n">
        <v>88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10</v>
      </c>
      <c r="R6" t="n">
        <v>1</v>
      </c>
      <c r="S6" t="n">
        <v>0</v>
      </c>
    </row>
    <row r="7">
      <c r="A7" t="inlineStr">
        <is>
          <t>Kampong Speu</t>
        </is>
      </c>
      <c r="B7" t="n">
        <v>57</v>
      </c>
      <c r="C7" t="n">
        <v>18</v>
      </c>
      <c r="D7" t="n">
        <v>191</v>
      </c>
      <c r="E7" t="n">
        <v>298</v>
      </c>
      <c r="F7" t="n">
        <v>26</v>
      </c>
      <c r="G7" t="n">
        <v>1</v>
      </c>
      <c r="H7" t="n">
        <v>38</v>
      </c>
      <c r="I7" t="n">
        <v>10</v>
      </c>
      <c r="J7" t="n">
        <v>146</v>
      </c>
      <c r="K7" t="n">
        <v>171</v>
      </c>
      <c r="L7" t="n">
        <v>13</v>
      </c>
      <c r="M7" t="n">
        <v>0</v>
      </c>
      <c r="N7" t="n">
        <v>0</v>
      </c>
      <c r="O7" t="n">
        <v>3</v>
      </c>
      <c r="P7" t="n">
        <v>35</v>
      </c>
      <c r="Q7" t="n">
        <v>22</v>
      </c>
      <c r="R7" t="n">
        <v>1</v>
      </c>
      <c r="S7" t="n">
        <v>0</v>
      </c>
    </row>
    <row r="8">
      <c r="A8" t="inlineStr">
        <is>
          <t>Kampong Thom</t>
        </is>
      </c>
      <c r="B8" t="n">
        <v>58</v>
      </c>
      <c r="C8" t="n">
        <v>23</v>
      </c>
      <c r="D8" t="n">
        <v>83</v>
      </c>
      <c r="E8" t="n">
        <v>135</v>
      </c>
      <c r="F8" t="n">
        <v>10</v>
      </c>
      <c r="G8" t="n">
        <v>0</v>
      </c>
      <c r="H8" t="n">
        <v>22</v>
      </c>
      <c r="I8" t="n">
        <v>18</v>
      </c>
      <c r="J8" t="n">
        <v>67</v>
      </c>
      <c r="K8" t="n">
        <v>66</v>
      </c>
      <c r="L8" t="n">
        <v>1</v>
      </c>
      <c r="M8" t="n">
        <v>0</v>
      </c>
      <c r="N8" t="n">
        <v>1</v>
      </c>
      <c r="O8" t="n">
        <v>1</v>
      </c>
      <c r="P8" t="n">
        <v>11</v>
      </c>
      <c r="Q8" t="n">
        <v>10</v>
      </c>
      <c r="R8" t="n">
        <v>0</v>
      </c>
      <c r="S8" t="n">
        <v>0</v>
      </c>
    </row>
    <row r="9">
      <c r="A9" t="inlineStr">
        <is>
          <t>Kampot</t>
        </is>
      </c>
      <c r="B9" t="n">
        <v>41</v>
      </c>
      <c r="C9" t="n">
        <v>69</v>
      </c>
      <c r="D9" t="n">
        <v>144</v>
      </c>
      <c r="E9" t="n">
        <v>283</v>
      </c>
      <c r="F9" t="n">
        <v>31</v>
      </c>
      <c r="G9" t="n">
        <v>0</v>
      </c>
      <c r="H9" t="n">
        <v>18</v>
      </c>
      <c r="I9" t="n">
        <v>55</v>
      </c>
      <c r="J9" t="n">
        <v>81</v>
      </c>
      <c r="K9" t="n">
        <v>133</v>
      </c>
      <c r="L9" t="n">
        <v>5</v>
      </c>
      <c r="M9" t="n">
        <v>0</v>
      </c>
      <c r="N9" t="n">
        <v>20</v>
      </c>
      <c r="O9" t="n">
        <v>12</v>
      </c>
      <c r="P9" t="n">
        <v>17</v>
      </c>
      <c r="Q9" t="n">
        <v>34</v>
      </c>
      <c r="R9" t="n">
        <v>4</v>
      </c>
      <c r="S9" t="n">
        <v>0</v>
      </c>
    </row>
    <row r="10">
      <c r="A10" t="inlineStr">
        <is>
          <t>Kandal</t>
        </is>
      </c>
      <c r="B10" t="n">
        <v>40</v>
      </c>
      <c r="C10" t="n">
        <v>52</v>
      </c>
      <c r="D10" t="n">
        <v>255</v>
      </c>
      <c r="E10" t="n">
        <v>368</v>
      </c>
      <c r="F10" t="n">
        <v>37</v>
      </c>
      <c r="G10" t="n">
        <v>1</v>
      </c>
      <c r="H10" t="n">
        <v>27</v>
      </c>
      <c r="I10" t="n">
        <v>40</v>
      </c>
      <c r="J10" t="n">
        <v>198</v>
      </c>
      <c r="K10" t="n">
        <v>179</v>
      </c>
      <c r="L10" t="n">
        <v>10</v>
      </c>
      <c r="M10" t="n">
        <v>1</v>
      </c>
      <c r="N10" t="n">
        <v>2</v>
      </c>
      <c r="O10" t="n">
        <v>2</v>
      </c>
      <c r="P10" t="n">
        <v>24</v>
      </c>
      <c r="Q10" t="n">
        <v>25</v>
      </c>
      <c r="R10" t="n">
        <v>0</v>
      </c>
      <c r="S10" t="n">
        <v>0</v>
      </c>
    </row>
    <row r="11">
      <c r="A11" t="inlineStr">
        <is>
          <t>Kep</t>
        </is>
      </c>
      <c r="B11" t="n">
        <v>14</v>
      </c>
      <c r="C11" t="n">
        <v>1</v>
      </c>
      <c r="D11" t="n">
        <v>0</v>
      </c>
      <c r="E11" t="n">
        <v>10</v>
      </c>
      <c r="F11" t="n">
        <v>0</v>
      </c>
      <c r="G11" t="n">
        <v>0</v>
      </c>
      <c r="H11" t="n">
        <v>10</v>
      </c>
      <c r="I11" t="n">
        <v>1</v>
      </c>
      <c r="J11" t="n">
        <v>0</v>
      </c>
      <c r="K11" t="n">
        <v>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Koh Kong</t>
        </is>
      </c>
      <c r="B12" t="n">
        <v>8</v>
      </c>
      <c r="C12" t="n">
        <v>13</v>
      </c>
      <c r="D12" t="n">
        <v>65</v>
      </c>
      <c r="E12" t="n">
        <v>32</v>
      </c>
      <c r="F12" t="n">
        <v>1</v>
      </c>
      <c r="G12" t="n">
        <v>0</v>
      </c>
      <c r="H12" t="n">
        <v>7</v>
      </c>
      <c r="I12" t="n">
        <v>8</v>
      </c>
      <c r="J12" t="n">
        <v>48</v>
      </c>
      <c r="K12" t="n">
        <v>15</v>
      </c>
      <c r="L12" t="n">
        <v>0</v>
      </c>
      <c r="M12" t="n">
        <v>0</v>
      </c>
      <c r="N12" t="n">
        <v>1</v>
      </c>
      <c r="O12" t="n">
        <v>0</v>
      </c>
      <c r="P12" t="n">
        <v>9</v>
      </c>
      <c r="Q12" t="n">
        <v>0</v>
      </c>
      <c r="R12" t="n">
        <v>0</v>
      </c>
      <c r="S12" t="n">
        <v>0</v>
      </c>
    </row>
    <row r="13">
      <c r="A13" t="inlineStr">
        <is>
          <t>Kratie</t>
        </is>
      </c>
      <c r="B13" t="n">
        <v>21</v>
      </c>
      <c r="C13" t="n">
        <v>6</v>
      </c>
      <c r="D13" t="n">
        <v>16</v>
      </c>
      <c r="E13" t="n">
        <v>34</v>
      </c>
      <c r="F13" t="n">
        <v>10</v>
      </c>
      <c r="G13" t="n">
        <v>0</v>
      </c>
      <c r="H13" t="n">
        <v>19</v>
      </c>
      <c r="I13" t="n">
        <v>5</v>
      </c>
      <c r="J13" t="n">
        <v>14</v>
      </c>
      <c r="K13" t="n">
        <v>24</v>
      </c>
      <c r="L13" t="n">
        <v>6</v>
      </c>
      <c r="M13" t="n">
        <v>0</v>
      </c>
      <c r="N13" t="n">
        <v>12</v>
      </c>
      <c r="O13" t="n">
        <v>1</v>
      </c>
      <c r="P13" t="n">
        <v>3</v>
      </c>
      <c r="Q13" t="n">
        <v>0</v>
      </c>
      <c r="R13" t="n">
        <v>0</v>
      </c>
      <c r="S13" t="n">
        <v>0</v>
      </c>
    </row>
    <row r="14">
      <c r="A14" t="inlineStr">
        <is>
          <t>Mondul Kiri</t>
        </is>
      </c>
      <c r="B14" t="n">
        <v>0</v>
      </c>
      <c r="C14" t="n">
        <v>3</v>
      </c>
      <c r="D14" t="n">
        <v>28</v>
      </c>
      <c r="E14" t="n">
        <v>28</v>
      </c>
      <c r="F14" t="n">
        <v>1</v>
      </c>
      <c r="G14" t="n">
        <v>0</v>
      </c>
      <c r="H14" t="n">
        <v>0</v>
      </c>
      <c r="I14" t="n">
        <v>3</v>
      </c>
      <c r="J14" t="n">
        <v>20</v>
      </c>
      <c r="K14" t="n">
        <v>11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Otdar Meanchey</t>
        </is>
      </c>
      <c r="B15" t="n">
        <v>1</v>
      </c>
      <c r="C15" t="n">
        <v>8</v>
      </c>
      <c r="D15" t="n">
        <v>63</v>
      </c>
      <c r="E15" t="n">
        <v>7</v>
      </c>
      <c r="F15" t="n">
        <v>2</v>
      </c>
      <c r="G15" t="n">
        <v>0</v>
      </c>
      <c r="H15" t="n">
        <v>0</v>
      </c>
      <c r="I15" t="n">
        <v>5</v>
      </c>
      <c r="J15" t="n">
        <v>44</v>
      </c>
      <c r="K15" t="n">
        <v>6</v>
      </c>
      <c r="L15" t="n">
        <v>0</v>
      </c>
      <c r="M15" t="n">
        <v>0</v>
      </c>
      <c r="N15" t="n">
        <v>0</v>
      </c>
      <c r="O15" t="n">
        <v>2</v>
      </c>
      <c r="P15" t="n">
        <v>8</v>
      </c>
      <c r="Q15" t="n">
        <v>0</v>
      </c>
      <c r="R15" t="n">
        <v>0</v>
      </c>
      <c r="S15" t="n">
        <v>0</v>
      </c>
    </row>
    <row r="16">
      <c r="A16" t="inlineStr">
        <is>
          <t>Pailin</t>
        </is>
      </c>
      <c r="B16" t="n">
        <v>0</v>
      </c>
      <c r="C16" t="n">
        <v>6</v>
      </c>
      <c r="D16" t="n">
        <v>51</v>
      </c>
      <c r="E16" t="n">
        <v>22</v>
      </c>
      <c r="F16" t="n">
        <v>0</v>
      </c>
      <c r="G16" t="n">
        <v>0</v>
      </c>
      <c r="H16" t="n">
        <v>0</v>
      </c>
      <c r="I16" t="n">
        <v>5</v>
      </c>
      <c r="J16" t="n">
        <v>44</v>
      </c>
      <c r="K16" t="n">
        <v>17</v>
      </c>
      <c r="L16" t="n">
        <v>0</v>
      </c>
      <c r="M16" t="n">
        <v>0</v>
      </c>
      <c r="N16" t="n">
        <v>0</v>
      </c>
      <c r="O16" t="n">
        <v>0</v>
      </c>
      <c r="P16" t="n">
        <v>8</v>
      </c>
      <c r="Q16" t="n">
        <v>1</v>
      </c>
      <c r="R16" t="n">
        <v>0</v>
      </c>
      <c r="S16" t="n">
        <v>0</v>
      </c>
    </row>
    <row r="17">
      <c r="A17" t="inlineStr">
        <is>
          <t>Phnom Penh</t>
        </is>
      </c>
      <c r="B17" t="n">
        <v>212</v>
      </c>
      <c r="C17" t="n">
        <v>340</v>
      </c>
      <c r="D17" t="n">
        <v>1155</v>
      </c>
      <c r="E17" t="n">
        <v>4475</v>
      </c>
      <c r="F17" t="n">
        <v>583</v>
      </c>
      <c r="G17" t="n">
        <v>82</v>
      </c>
      <c r="H17" t="n">
        <v>159</v>
      </c>
      <c r="I17" t="n">
        <v>245</v>
      </c>
      <c r="J17" t="n">
        <v>845</v>
      </c>
      <c r="K17" t="n">
        <v>2548</v>
      </c>
      <c r="L17" t="n">
        <v>242</v>
      </c>
      <c r="M17" t="n">
        <v>28</v>
      </c>
      <c r="N17" t="n">
        <v>19</v>
      </c>
      <c r="O17" t="n">
        <v>38</v>
      </c>
      <c r="P17" t="n">
        <v>176</v>
      </c>
      <c r="Q17" t="n">
        <v>621</v>
      </c>
      <c r="R17" t="n">
        <v>66</v>
      </c>
      <c r="S17" t="n">
        <v>3</v>
      </c>
    </row>
    <row r="18">
      <c r="A18" t="inlineStr">
        <is>
          <t>Preah Sihanouk</t>
        </is>
      </c>
      <c r="B18" t="n">
        <v>12</v>
      </c>
      <c r="C18" t="n">
        <v>44</v>
      </c>
      <c r="D18" t="n">
        <v>168</v>
      </c>
      <c r="E18" t="n">
        <v>288</v>
      </c>
      <c r="F18" t="n">
        <v>21</v>
      </c>
      <c r="G18" t="n">
        <v>0</v>
      </c>
      <c r="H18" t="n">
        <v>10</v>
      </c>
      <c r="I18" t="n">
        <v>36</v>
      </c>
      <c r="J18" t="n">
        <v>111</v>
      </c>
      <c r="K18" t="n">
        <v>134</v>
      </c>
      <c r="L18" t="n">
        <v>3</v>
      </c>
      <c r="M18" t="n">
        <v>0</v>
      </c>
      <c r="N18" t="n">
        <v>2</v>
      </c>
      <c r="O18" t="n">
        <v>6</v>
      </c>
      <c r="P18" t="n">
        <v>22</v>
      </c>
      <c r="Q18" t="n">
        <v>55</v>
      </c>
      <c r="R18" t="n">
        <v>4</v>
      </c>
      <c r="S18" t="n">
        <v>0</v>
      </c>
    </row>
    <row r="19">
      <c r="A19" t="inlineStr">
        <is>
          <t>Preah Vihear</t>
        </is>
      </c>
      <c r="B19" t="n">
        <v>0</v>
      </c>
      <c r="C19" t="n">
        <v>3</v>
      </c>
      <c r="D19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Prey Veng</t>
        </is>
      </c>
      <c r="B20" t="n">
        <v>0</v>
      </c>
      <c r="C20" t="n">
        <v>1</v>
      </c>
      <c r="D20" t="n">
        <v>9</v>
      </c>
      <c r="E20" t="n">
        <v>20</v>
      </c>
      <c r="F20" t="n">
        <v>3</v>
      </c>
      <c r="G20" t="n">
        <v>0</v>
      </c>
      <c r="H20" t="n">
        <v>0</v>
      </c>
      <c r="I20" t="n">
        <v>1</v>
      </c>
      <c r="J20" t="n">
        <v>9</v>
      </c>
      <c r="K20" t="n">
        <v>9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</row>
    <row r="21">
      <c r="A21" t="inlineStr">
        <is>
          <t>Pursat</t>
        </is>
      </c>
      <c r="B21" t="n">
        <v>0</v>
      </c>
      <c r="C21" t="n">
        <v>0</v>
      </c>
      <c r="D21" t="n">
        <v>26</v>
      </c>
      <c r="E21" t="n">
        <v>17</v>
      </c>
      <c r="F21" t="n">
        <v>2</v>
      </c>
      <c r="G21" t="n">
        <v>0</v>
      </c>
      <c r="H21" t="n">
        <v>0</v>
      </c>
      <c r="I21" t="n">
        <v>0</v>
      </c>
      <c r="J21" t="n">
        <v>22</v>
      </c>
      <c r="K21" t="n">
        <v>16</v>
      </c>
      <c r="L21" t="n">
        <v>1</v>
      </c>
      <c r="M21" t="n">
        <v>0</v>
      </c>
      <c r="N21" t="n">
        <v>0</v>
      </c>
      <c r="O21" t="n">
        <v>0</v>
      </c>
      <c r="P21" t="n">
        <v>6</v>
      </c>
      <c r="Q21" t="n">
        <v>7</v>
      </c>
      <c r="R21" t="n">
        <v>0</v>
      </c>
      <c r="S21" t="n">
        <v>0</v>
      </c>
    </row>
    <row r="22">
      <c r="A22" t="inlineStr">
        <is>
          <t>Ratanak Kiri</t>
        </is>
      </c>
      <c r="B22" t="n">
        <v>0</v>
      </c>
      <c r="C22" t="n">
        <v>17</v>
      </c>
      <c r="D22" t="n">
        <v>58</v>
      </c>
      <c r="E22" t="n">
        <v>75</v>
      </c>
      <c r="F22" t="n">
        <v>1</v>
      </c>
      <c r="G22" t="n">
        <v>0</v>
      </c>
      <c r="H22" t="n">
        <v>0</v>
      </c>
      <c r="I22" t="n">
        <v>15</v>
      </c>
      <c r="J22" t="n">
        <v>39</v>
      </c>
      <c r="K22" t="n">
        <v>31</v>
      </c>
      <c r="L22" t="n">
        <v>0</v>
      </c>
      <c r="M22" t="n">
        <v>0</v>
      </c>
      <c r="N22" t="n">
        <v>0</v>
      </c>
      <c r="O22" t="n">
        <v>2</v>
      </c>
      <c r="P22" t="n">
        <v>3</v>
      </c>
      <c r="Q22" t="n">
        <v>0</v>
      </c>
      <c r="R22" t="n">
        <v>0</v>
      </c>
      <c r="S22" t="n">
        <v>0</v>
      </c>
    </row>
    <row r="23">
      <c r="A23" t="inlineStr">
        <is>
          <t>Siemreap</t>
        </is>
      </c>
      <c r="B23" t="n">
        <v>33</v>
      </c>
      <c r="C23" t="n">
        <v>68</v>
      </c>
      <c r="D23" t="n">
        <v>464</v>
      </c>
      <c r="E23" t="n">
        <v>766</v>
      </c>
      <c r="F23" t="n">
        <v>63</v>
      </c>
      <c r="G23" t="n">
        <v>3</v>
      </c>
      <c r="H23" t="n">
        <v>24</v>
      </c>
      <c r="I23" t="n">
        <v>57</v>
      </c>
      <c r="J23" t="n">
        <v>370</v>
      </c>
      <c r="K23" t="n">
        <v>440</v>
      </c>
      <c r="L23" t="n">
        <v>22</v>
      </c>
      <c r="M23" t="n">
        <v>2</v>
      </c>
      <c r="N23" t="n">
        <v>11</v>
      </c>
      <c r="O23" t="n">
        <v>19</v>
      </c>
      <c r="P23" t="n">
        <v>52</v>
      </c>
      <c r="Q23" t="n">
        <v>25</v>
      </c>
      <c r="R23" t="n">
        <v>0</v>
      </c>
      <c r="S23" t="n">
        <v>0</v>
      </c>
    </row>
    <row r="24">
      <c r="A24" t="inlineStr">
        <is>
          <t>Stung Treng</t>
        </is>
      </c>
      <c r="B24" t="n">
        <v>3</v>
      </c>
      <c r="C24" t="n">
        <v>10</v>
      </c>
      <c r="D24" t="n">
        <v>24</v>
      </c>
      <c r="E24" t="n">
        <v>6</v>
      </c>
      <c r="F24" t="n">
        <v>0</v>
      </c>
      <c r="G24" t="n">
        <v>0</v>
      </c>
      <c r="H24" t="n">
        <v>3</v>
      </c>
      <c r="I24" t="n">
        <v>5</v>
      </c>
      <c r="J24" t="n">
        <v>20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</row>
    <row r="25">
      <c r="A25" t="inlineStr">
        <is>
          <t>Svay Rieng</t>
        </is>
      </c>
      <c r="B25" t="n">
        <v>2</v>
      </c>
      <c r="C25" t="n">
        <v>2</v>
      </c>
      <c r="D25" t="n">
        <v>20</v>
      </c>
      <c r="E25" t="n">
        <v>20</v>
      </c>
      <c r="F25" t="n">
        <v>0</v>
      </c>
      <c r="G25" t="n">
        <v>0</v>
      </c>
      <c r="H25" t="n">
        <v>2</v>
      </c>
      <c r="I25" t="n">
        <v>2</v>
      </c>
      <c r="J25" t="n">
        <v>18</v>
      </c>
      <c r="K25" t="n">
        <v>16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3</v>
      </c>
      <c r="R25" t="n">
        <v>0</v>
      </c>
      <c r="S25" t="n">
        <v>0</v>
      </c>
    </row>
    <row r="26">
      <c r="A26" t="inlineStr">
        <is>
          <t>Takeo</t>
        </is>
      </c>
      <c r="B26" t="n">
        <v>21</v>
      </c>
      <c r="C26" t="n">
        <v>39</v>
      </c>
      <c r="D26" t="n">
        <v>204</v>
      </c>
      <c r="E26" t="n">
        <v>177</v>
      </c>
      <c r="F26" t="n">
        <v>25</v>
      </c>
      <c r="G26" t="n">
        <v>2</v>
      </c>
      <c r="H26" t="n">
        <v>18</v>
      </c>
      <c r="I26" t="n">
        <v>22</v>
      </c>
      <c r="J26" t="n">
        <v>115</v>
      </c>
      <c r="K26" t="n">
        <v>82</v>
      </c>
      <c r="L26" t="n">
        <v>4</v>
      </c>
      <c r="M26" t="n">
        <v>0</v>
      </c>
      <c r="N26" t="n">
        <v>0</v>
      </c>
      <c r="O26" t="n">
        <v>6</v>
      </c>
      <c r="P26" t="n">
        <v>32</v>
      </c>
      <c r="Q26" t="n">
        <v>6</v>
      </c>
      <c r="R26" t="n">
        <v>0</v>
      </c>
      <c r="S26" t="n">
        <v>0</v>
      </c>
    </row>
    <row r="27">
      <c r="A27" t="inlineStr">
        <is>
          <t>Tbaung Khmum</t>
        </is>
      </c>
      <c r="B27" t="n">
        <v>1</v>
      </c>
      <c r="C27" t="n">
        <v>3</v>
      </c>
      <c r="D27" t="n">
        <v>96</v>
      </c>
      <c r="E27" t="n">
        <v>140</v>
      </c>
      <c r="F27" t="n">
        <v>3</v>
      </c>
      <c r="G27" t="n">
        <v>0</v>
      </c>
      <c r="H27" t="n">
        <v>1</v>
      </c>
      <c r="I27" t="n">
        <v>2</v>
      </c>
      <c r="J27" t="n">
        <v>69</v>
      </c>
      <c r="K27" t="n">
        <v>83</v>
      </c>
      <c r="L27" t="n">
        <v>0</v>
      </c>
      <c r="M27" t="n">
        <v>0</v>
      </c>
      <c r="N27" t="n">
        <v>0</v>
      </c>
      <c r="O27" t="n">
        <v>0</v>
      </c>
      <c r="P27" t="n">
        <v>7</v>
      </c>
      <c r="Q27" t="n">
        <v>32</v>
      </c>
      <c r="R27" t="n">
        <v>1</v>
      </c>
      <c r="S27" t="n">
        <v>0</v>
      </c>
    </row>
    <row r="28">
      <c r="A28" t="inlineStr">
        <is>
          <t>Whole Kingdom</t>
        </is>
      </c>
      <c r="B28" t="n">
        <v>582</v>
      </c>
      <c r="C28" t="n">
        <v>892</v>
      </c>
      <c r="D28" t="n">
        <v>4169</v>
      </c>
      <c r="E28" t="n">
        <v>8568</v>
      </c>
      <c r="F28" t="n">
        <v>998</v>
      </c>
      <c r="G28" t="n">
        <v>93</v>
      </c>
      <c r="H28" t="n">
        <v>403</v>
      </c>
      <c r="I28" t="n">
        <v>638</v>
      </c>
      <c r="J28" t="n">
        <v>2986</v>
      </c>
      <c r="K28" t="n">
        <v>4762</v>
      </c>
      <c r="L28" t="n">
        <v>359</v>
      </c>
      <c r="M28" t="n">
        <v>31</v>
      </c>
      <c r="N28" t="n">
        <v>75</v>
      </c>
      <c r="O28" t="n">
        <v>97</v>
      </c>
      <c r="P28" t="n">
        <v>485</v>
      </c>
      <c r="Q28" t="n">
        <v>898</v>
      </c>
      <c r="R28" t="n">
        <v>77</v>
      </c>
      <c r="S28" t="n">
        <v>3</v>
      </c>
    </row>
    <row r="29">
      <c r="A29" t="inlineStr">
        <is>
          <t>- Urban Area</t>
        </is>
      </c>
      <c r="B29" t="n">
        <v>348</v>
      </c>
      <c r="C29" t="n">
        <v>660</v>
      </c>
      <c r="D29" t="n">
        <v>3158</v>
      </c>
      <c r="E29" t="n">
        <v>7458</v>
      </c>
      <c r="F29" t="n">
        <v>917</v>
      </c>
      <c r="G29" t="n">
        <v>90</v>
      </c>
      <c r="H29" t="n">
        <v>264</v>
      </c>
      <c r="I29" t="n">
        <v>473</v>
      </c>
      <c r="J29" t="n">
        <v>2315</v>
      </c>
      <c r="K29" t="n">
        <v>4228</v>
      </c>
      <c r="L29" t="n">
        <v>345</v>
      </c>
      <c r="M29" t="n">
        <v>30</v>
      </c>
      <c r="N29" t="n">
        <v>34</v>
      </c>
      <c r="O29" t="n">
        <v>70</v>
      </c>
      <c r="P29" t="n">
        <v>354</v>
      </c>
      <c r="Q29" t="n">
        <v>758</v>
      </c>
      <c r="R29" t="n">
        <v>68</v>
      </c>
      <c r="S29" t="n">
        <v>3</v>
      </c>
    </row>
    <row r="30">
      <c r="A30" t="inlineStr">
        <is>
          <t>- Rural Area</t>
        </is>
      </c>
      <c r="B30" t="n">
        <v>234</v>
      </c>
      <c r="C30" t="n">
        <v>232</v>
      </c>
      <c r="D30" t="n">
        <v>1011</v>
      </c>
      <c r="E30" t="n">
        <v>1110</v>
      </c>
      <c r="F30" t="n">
        <v>81</v>
      </c>
      <c r="G30" t="n">
        <v>3</v>
      </c>
      <c r="H30" t="n">
        <v>139</v>
      </c>
      <c r="I30" t="n">
        <v>165</v>
      </c>
      <c r="J30" t="n">
        <v>671</v>
      </c>
      <c r="K30" t="n">
        <v>534</v>
      </c>
      <c r="L30" t="n">
        <v>14</v>
      </c>
      <c r="M30" t="n">
        <v>1</v>
      </c>
      <c r="N30" t="n">
        <v>41</v>
      </c>
      <c r="O30" t="n">
        <v>27</v>
      </c>
      <c r="P30" t="n">
        <v>131</v>
      </c>
      <c r="Q30" t="n">
        <v>140</v>
      </c>
      <c r="R30" t="n">
        <v>9</v>
      </c>
      <c r="S30" t="n">
        <v>0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A9D18E"/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9.5" customWidth="1" min="1" max="1"/>
    <col width="14.83203125" customWidth="1" min="2" max="2"/>
    <col width="15.1640625" customWidth="1" min="3" max="3"/>
    <col width="14.83203125" customWidth="1" min="4" max="4"/>
    <col width="16.83203125" customWidth="1" min="8" max="8"/>
    <col width="16" customWidth="1" min="9" max="9"/>
    <col width="15.83203125" customWidth="1" min="10" max="10"/>
    <col width="13.5" customWidth="1" min="11" max="11"/>
  </cols>
  <sheetData>
    <row r="1">
      <c r="A1" t="inlineStr">
        <is>
          <t>Table 1: Schools, Classes, Students and Staff</t>
        </is>
      </c>
      <c r="B1" t="inlineStr">
        <is>
          <t>Number of School having</t>
        </is>
      </c>
    </row>
    <row r="2">
      <c r="B2" t="inlineStr">
        <is>
          <t>Computer</t>
        </is>
      </c>
      <c r="C2" t="inlineStr">
        <is>
          <t>Printer</t>
        </is>
      </c>
      <c r="D2" t="inlineStr">
        <is>
          <t>LCD Projector</t>
        </is>
      </c>
      <c r="E2" t="inlineStr">
        <is>
          <t>Photocopy</t>
        </is>
      </c>
      <c r="F2" t="inlineStr">
        <is>
          <t>Library</t>
        </is>
      </c>
      <c r="G2" t="inlineStr">
        <is>
          <t>Health room</t>
        </is>
      </c>
      <c r="H2" t="inlineStr">
        <is>
          <t>Resource Center</t>
        </is>
      </c>
      <c r="I2" t="inlineStr">
        <is>
          <t>Computer room</t>
        </is>
      </c>
      <c r="J2" t="inlineStr">
        <is>
          <t>Drinking Water</t>
        </is>
      </c>
      <c r="K2" t="inlineStr">
        <is>
          <t>Toilet</t>
        </is>
      </c>
    </row>
    <row r="3">
      <c r="A3" t="inlineStr">
        <is>
          <t>Banteay Meanchey</t>
        </is>
      </c>
      <c r="B3" t="n">
        <v>1480</v>
      </c>
      <c r="C3" t="n">
        <v>157</v>
      </c>
      <c r="D3" t="n">
        <v>185</v>
      </c>
      <c r="E3" t="n">
        <v>138</v>
      </c>
      <c r="F3" t="n">
        <v>80</v>
      </c>
      <c r="G3" t="n">
        <v>90</v>
      </c>
      <c r="H3" t="n">
        <v>31</v>
      </c>
      <c r="I3" t="n">
        <v>97</v>
      </c>
      <c r="J3" t="n">
        <v>126</v>
      </c>
      <c r="K3" t="n">
        <v>109</v>
      </c>
    </row>
    <row r="4">
      <c r="A4" t="inlineStr">
        <is>
          <t>Battambang</t>
        </is>
      </c>
      <c r="B4" t="n">
        <v>852</v>
      </c>
      <c r="C4" t="n">
        <v>76</v>
      </c>
      <c r="D4" t="n">
        <v>99</v>
      </c>
      <c r="E4" t="n">
        <v>44</v>
      </c>
      <c r="F4" t="n">
        <v>45</v>
      </c>
      <c r="G4" t="n">
        <v>35</v>
      </c>
      <c r="H4" t="n">
        <v>25</v>
      </c>
      <c r="I4" t="n">
        <v>43</v>
      </c>
      <c r="J4" t="n">
        <v>67</v>
      </c>
      <c r="K4" t="n">
        <v>55</v>
      </c>
    </row>
    <row r="5">
      <c r="A5" t="inlineStr">
        <is>
          <t>Kampong Cham</t>
        </is>
      </c>
      <c r="B5" t="n">
        <v>173</v>
      </c>
      <c r="C5" t="n">
        <v>15</v>
      </c>
      <c r="D5" t="n">
        <v>10</v>
      </c>
      <c r="E5" t="n">
        <v>20</v>
      </c>
      <c r="F5" t="n">
        <v>16</v>
      </c>
      <c r="G5" t="n">
        <v>9</v>
      </c>
      <c r="H5" t="n">
        <v>7</v>
      </c>
      <c r="I5" t="n">
        <v>22</v>
      </c>
      <c r="J5" t="n">
        <v>25</v>
      </c>
      <c r="K5" t="n">
        <v>20</v>
      </c>
    </row>
    <row r="6">
      <c r="A6" t="inlineStr">
        <is>
          <t>Kampong Chhnang</t>
        </is>
      </c>
      <c r="B6" t="n">
        <v>379</v>
      </c>
      <c r="C6" t="n">
        <v>32</v>
      </c>
      <c r="D6" t="n">
        <v>53</v>
      </c>
      <c r="E6" t="n">
        <v>24</v>
      </c>
      <c r="F6" t="n">
        <v>20</v>
      </c>
      <c r="G6" t="n">
        <v>16</v>
      </c>
      <c r="H6" t="n">
        <v>6</v>
      </c>
      <c r="I6" t="n">
        <v>20</v>
      </c>
      <c r="J6" t="n">
        <v>32</v>
      </c>
      <c r="K6" t="n">
        <v>25</v>
      </c>
    </row>
    <row r="7">
      <c r="A7" t="inlineStr">
        <is>
          <t>Kampong Speu</t>
        </is>
      </c>
      <c r="B7" t="n">
        <v>860</v>
      </c>
      <c r="C7" t="n">
        <v>73</v>
      </c>
      <c r="D7" t="n">
        <v>76</v>
      </c>
      <c r="E7" t="n">
        <v>61</v>
      </c>
      <c r="F7" t="n">
        <v>41</v>
      </c>
      <c r="G7" t="n">
        <v>46</v>
      </c>
      <c r="H7" t="n">
        <v>19</v>
      </c>
      <c r="I7" t="n">
        <v>41</v>
      </c>
      <c r="J7" t="n">
        <v>59</v>
      </c>
      <c r="K7" t="n">
        <v>50</v>
      </c>
    </row>
    <row r="8">
      <c r="A8" t="inlineStr">
        <is>
          <t>Kampong Thom</t>
        </is>
      </c>
      <c r="B8" t="n">
        <v>392</v>
      </c>
      <c r="C8" t="n">
        <v>12</v>
      </c>
      <c r="D8" t="n">
        <v>50</v>
      </c>
      <c r="E8" t="n">
        <v>37</v>
      </c>
      <c r="F8" t="n">
        <v>23</v>
      </c>
      <c r="G8" t="n">
        <v>20</v>
      </c>
      <c r="H8" t="n">
        <v>7</v>
      </c>
      <c r="I8" t="n">
        <v>26</v>
      </c>
      <c r="J8" t="n">
        <v>60</v>
      </c>
      <c r="K8" t="n">
        <v>44</v>
      </c>
    </row>
    <row r="9">
      <c r="A9" t="inlineStr">
        <is>
          <t>Kampot</t>
        </is>
      </c>
      <c r="B9" t="n">
        <v>331</v>
      </c>
      <c r="C9" t="n">
        <v>38</v>
      </c>
      <c r="D9" t="n">
        <v>28</v>
      </c>
      <c r="E9" t="n">
        <v>38</v>
      </c>
      <c r="F9" t="n">
        <v>27</v>
      </c>
      <c r="G9" t="n">
        <v>16</v>
      </c>
      <c r="H9" t="n">
        <v>6</v>
      </c>
      <c r="I9" t="n">
        <v>30</v>
      </c>
      <c r="J9" t="n">
        <v>34</v>
      </c>
      <c r="K9" t="n">
        <v>34</v>
      </c>
    </row>
    <row r="10">
      <c r="A10" t="inlineStr">
        <is>
          <t>Kandal</t>
        </is>
      </c>
      <c r="B10" t="n">
        <v>1315</v>
      </c>
      <c r="C10" t="n">
        <v>90</v>
      </c>
      <c r="D10" t="n">
        <v>108</v>
      </c>
      <c r="E10" t="n">
        <v>94</v>
      </c>
      <c r="F10" t="n">
        <v>50</v>
      </c>
      <c r="G10" t="n">
        <v>49</v>
      </c>
      <c r="H10" t="n">
        <v>24</v>
      </c>
      <c r="I10" t="n">
        <v>53</v>
      </c>
      <c r="J10" t="n">
        <v>73</v>
      </c>
      <c r="K10" t="n">
        <v>74</v>
      </c>
    </row>
    <row r="11">
      <c r="A11" t="inlineStr">
        <is>
          <t>Kep</t>
        </is>
      </c>
      <c r="B11" t="n">
        <v>3</v>
      </c>
      <c r="C11" t="n">
        <v>1</v>
      </c>
      <c r="D11" t="n">
        <v>1</v>
      </c>
      <c r="E11" t="n">
        <v>1</v>
      </c>
      <c r="F11" t="n">
        <v>3</v>
      </c>
      <c r="G11" t="n">
        <v>1</v>
      </c>
      <c r="H11" t="n">
        <v>0</v>
      </c>
      <c r="I11" t="n">
        <v>0</v>
      </c>
      <c r="J11" t="n">
        <v>2</v>
      </c>
      <c r="K11" t="e">
        <v>#NULL!</v>
      </c>
    </row>
    <row r="12">
      <c r="A12" t="inlineStr">
        <is>
          <t>Koh Kong</t>
        </is>
      </c>
      <c r="B12" t="n">
        <v>28</v>
      </c>
      <c r="C12" t="n">
        <v>6</v>
      </c>
      <c r="D12" t="n">
        <v>7</v>
      </c>
      <c r="E12" t="n">
        <v>11</v>
      </c>
      <c r="F12" t="n">
        <v>7</v>
      </c>
      <c r="G12" t="n">
        <v>1</v>
      </c>
      <c r="H12" t="n">
        <v>0</v>
      </c>
      <c r="I12" t="n">
        <v>8</v>
      </c>
      <c r="J12" t="n">
        <v>10</v>
      </c>
      <c r="K12" t="n">
        <v>14</v>
      </c>
    </row>
    <row r="13">
      <c r="A13" t="inlineStr">
        <is>
          <t>Kratie</t>
        </is>
      </c>
      <c r="B13" t="n">
        <v>92</v>
      </c>
      <c r="C13" t="n">
        <v>12</v>
      </c>
      <c r="D13" t="n">
        <v>8</v>
      </c>
      <c r="E13" t="n">
        <v>3</v>
      </c>
      <c r="F13" t="n">
        <v>4</v>
      </c>
      <c r="G13" t="n">
        <v>5</v>
      </c>
      <c r="H13" t="n">
        <v>0</v>
      </c>
      <c r="I13" t="n">
        <v>5</v>
      </c>
      <c r="J13" t="n">
        <v>11</v>
      </c>
      <c r="K13" t="n">
        <v>6</v>
      </c>
    </row>
    <row r="14">
      <c r="A14" t="inlineStr">
        <is>
          <t>Mondul Kiri</t>
        </is>
      </c>
      <c r="B14" t="n">
        <v>80</v>
      </c>
      <c r="C14" t="n">
        <v>9</v>
      </c>
      <c r="D14" t="n">
        <v>11</v>
      </c>
      <c r="E14" t="n">
        <v>7</v>
      </c>
      <c r="F14" t="n">
        <v>6</v>
      </c>
      <c r="G14" t="n">
        <v>4</v>
      </c>
      <c r="H14" t="n">
        <v>0</v>
      </c>
      <c r="I14" t="n">
        <v>5</v>
      </c>
      <c r="J14" t="n">
        <v>10</v>
      </c>
      <c r="K14" t="n">
        <v>7</v>
      </c>
    </row>
    <row r="15">
      <c r="A15" t="inlineStr">
        <is>
          <t>Otdar Meanchey</t>
        </is>
      </c>
      <c r="B15" t="n">
        <v>77</v>
      </c>
      <c r="C15" t="n">
        <v>4</v>
      </c>
      <c r="D15" t="n">
        <v>5</v>
      </c>
      <c r="E15" t="n">
        <v>14</v>
      </c>
      <c r="F15" t="n">
        <v>4</v>
      </c>
      <c r="G15" t="n">
        <v>4</v>
      </c>
      <c r="H15" t="n">
        <v>1</v>
      </c>
      <c r="I15" t="n">
        <v>6</v>
      </c>
      <c r="J15" t="n">
        <v>11</v>
      </c>
      <c r="K15" t="n">
        <v>9</v>
      </c>
    </row>
    <row r="16">
      <c r="A16" t="inlineStr">
        <is>
          <t>Pailin</t>
        </is>
      </c>
      <c r="B16" t="n">
        <v>75</v>
      </c>
      <c r="C16" t="n">
        <v>8</v>
      </c>
      <c r="D16" t="n">
        <v>5</v>
      </c>
      <c r="E16" t="n">
        <v>11</v>
      </c>
      <c r="F16" t="n">
        <v>4</v>
      </c>
      <c r="G16" t="n">
        <v>2</v>
      </c>
      <c r="H16" t="n">
        <v>1</v>
      </c>
      <c r="I16" t="n">
        <v>6</v>
      </c>
      <c r="J16" t="n">
        <v>20</v>
      </c>
      <c r="K16" t="n">
        <v>13</v>
      </c>
    </row>
    <row r="17">
      <c r="A17" t="inlineStr">
        <is>
          <t>Phnom Penh</t>
        </is>
      </c>
      <c r="B17" t="n">
        <v>13569</v>
      </c>
      <c r="C17" t="n">
        <v>883</v>
      </c>
      <c r="D17" t="n">
        <v>1941</v>
      </c>
      <c r="E17" t="n">
        <v>897</v>
      </c>
      <c r="F17" t="n">
        <v>636</v>
      </c>
      <c r="G17" t="n">
        <v>652</v>
      </c>
      <c r="H17" t="n">
        <v>364</v>
      </c>
      <c r="I17" t="n">
        <v>573</v>
      </c>
      <c r="J17" t="n">
        <v>567</v>
      </c>
      <c r="K17" t="n">
        <v>517</v>
      </c>
    </row>
    <row r="18">
      <c r="A18" t="inlineStr">
        <is>
          <t>Preah Sihanouk</t>
        </is>
      </c>
      <c r="B18" t="n">
        <v>704</v>
      </c>
      <c r="C18" t="n">
        <v>103</v>
      </c>
      <c r="D18" t="n">
        <v>81</v>
      </c>
      <c r="E18" t="n">
        <v>70</v>
      </c>
      <c r="F18" t="n">
        <v>26</v>
      </c>
      <c r="G18" t="n">
        <v>36</v>
      </c>
      <c r="H18" t="n">
        <v>12</v>
      </c>
      <c r="I18" t="n">
        <v>29</v>
      </c>
      <c r="J18" t="n">
        <v>77</v>
      </c>
      <c r="K18" t="n">
        <v>50</v>
      </c>
    </row>
    <row r="19">
      <c r="A19" t="inlineStr">
        <is>
          <t>Preah Vihear</t>
        </is>
      </c>
      <c r="B19" t="n">
        <v>27</v>
      </c>
      <c r="C19" t="n">
        <v>4</v>
      </c>
      <c r="D19" t="n">
        <v>2</v>
      </c>
      <c r="E19" t="n">
        <v>2</v>
      </c>
      <c r="F19" t="n">
        <v>1</v>
      </c>
      <c r="G19" t="n">
        <v>1</v>
      </c>
      <c r="H19" t="n">
        <v>2</v>
      </c>
      <c r="I19" t="n">
        <v>3</v>
      </c>
      <c r="J19" t="n">
        <v>5</v>
      </c>
      <c r="K19" t="n">
        <v>2</v>
      </c>
    </row>
    <row r="20">
      <c r="A20" t="inlineStr">
        <is>
          <t>Prey Veng</t>
        </is>
      </c>
      <c r="B20" t="n">
        <v>51</v>
      </c>
      <c r="C20" t="n">
        <v>8</v>
      </c>
      <c r="D20" t="n">
        <v>2</v>
      </c>
      <c r="E20" t="n">
        <v>4</v>
      </c>
      <c r="F20" t="n">
        <v>3</v>
      </c>
      <c r="G20" t="n">
        <v>1</v>
      </c>
      <c r="H20" t="n">
        <v>0</v>
      </c>
      <c r="I20" t="n">
        <v>4</v>
      </c>
      <c r="J20" t="n">
        <v>5</v>
      </c>
      <c r="K20" t="n">
        <v>5</v>
      </c>
    </row>
    <row r="21">
      <c r="A21" t="inlineStr">
        <is>
          <t>Pursat</t>
        </is>
      </c>
      <c r="B21" t="n">
        <v>71</v>
      </c>
      <c r="C21" t="n">
        <v>2</v>
      </c>
      <c r="D21" t="n">
        <v>8</v>
      </c>
      <c r="E21" t="n">
        <v>7</v>
      </c>
      <c r="F21" t="n">
        <v>2</v>
      </c>
      <c r="G21" t="n">
        <v>3</v>
      </c>
      <c r="H21" t="n">
        <v>0</v>
      </c>
      <c r="I21" t="n">
        <v>5</v>
      </c>
      <c r="J21" t="n">
        <v>6</v>
      </c>
      <c r="K21" t="n">
        <v>6</v>
      </c>
    </row>
    <row r="22">
      <c r="A22" t="inlineStr">
        <is>
          <t>Ratanak Kiri</t>
        </is>
      </c>
      <c r="B22" t="n">
        <v>154</v>
      </c>
      <c r="C22" t="n">
        <v>6</v>
      </c>
      <c r="D22" t="n">
        <v>37</v>
      </c>
      <c r="E22" t="n">
        <v>17</v>
      </c>
      <c r="F22" t="n">
        <v>11</v>
      </c>
      <c r="G22" t="n">
        <v>9</v>
      </c>
      <c r="H22" t="n">
        <v>6</v>
      </c>
      <c r="I22" t="n">
        <v>12</v>
      </c>
      <c r="J22" t="n">
        <v>15</v>
      </c>
      <c r="K22" t="n">
        <v>9</v>
      </c>
    </row>
    <row r="23">
      <c r="A23" t="inlineStr">
        <is>
          <t>Siemreap</t>
        </is>
      </c>
      <c r="B23" t="n">
        <v>2210</v>
      </c>
      <c r="C23" t="n">
        <v>217</v>
      </c>
      <c r="D23" t="n">
        <v>176</v>
      </c>
      <c r="E23" t="n">
        <v>112</v>
      </c>
      <c r="F23" t="n">
        <v>77</v>
      </c>
      <c r="G23" t="n">
        <v>78</v>
      </c>
      <c r="H23" t="n">
        <v>27</v>
      </c>
      <c r="I23" t="n">
        <v>85</v>
      </c>
      <c r="J23" t="n">
        <v>110</v>
      </c>
      <c r="K23" t="n">
        <v>95</v>
      </c>
    </row>
    <row r="24">
      <c r="A24" t="inlineStr">
        <is>
          <t>Stung Treng</t>
        </is>
      </c>
      <c r="B24" t="n">
        <v>139</v>
      </c>
      <c r="C24" t="n">
        <v>11</v>
      </c>
      <c r="D24" t="n">
        <v>15</v>
      </c>
      <c r="E24" t="n">
        <v>16</v>
      </c>
      <c r="F24" t="n">
        <v>7</v>
      </c>
      <c r="G24" t="n">
        <v>7</v>
      </c>
      <c r="H24" t="n">
        <v>5</v>
      </c>
      <c r="I24" t="n">
        <v>5</v>
      </c>
      <c r="J24" t="n">
        <v>13</v>
      </c>
      <c r="K24" t="n">
        <v>9</v>
      </c>
    </row>
    <row r="25">
      <c r="A25" t="inlineStr">
        <is>
          <t>Svay Rieng</t>
        </is>
      </c>
      <c r="B25" t="n">
        <v>19</v>
      </c>
      <c r="C25" t="n">
        <v>4</v>
      </c>
      <c r="D25" t="n">
        <v>3</v>
      </c>
      <c r="E25" t="n">
        <v>2</v>
      </c>
      <c r="F25" t="n">
        <v>1</v>
      </c>
      <c r="G25" t="n">
        <v>2</v>
      </c>
      <c r="H25" t="n">
        <v>2</v>
      </c>
      <c r="I25" t="n">
        <v>2</v>
      </c>
      <c r="J25" t="n">
        <v>8</v>
      </c>
      <c r="K25" t="n">
        <v>3</v>
      </c>
    </row>
    <row r="26">
      <c r="A26" t="inlineStr">
        <is>
          <t>Takeo</t>
        </is>
      </c>
      <c r="B26" t="n">
        <v>706</v>
      </c>
      <c r="C26" t="n">
        <v>38</v>
      </c>
      <c r="D26" t="n">
        <v>49</v>
      </c>
      <c r="E26" t="n">
        <v>52</v>
      </c>
      <c r="F26" t="n">
        <v>37</v>
      </c>
      <c r="G26" t="n">
        <v>25</v>
      </c>
      <c r="H26" t="n">
        <v>10</v>
      </c>
      <c r="I26" t="n">
        <v>41</v>
      </c>
      <c r="J26" t="n">
        <v>49</v>
      </c>
      <c r="K26" t="n">
        <v>46</v>
      </c>
    </row>
    <row r="27">
      <c r="A27" t="inlineStr">
        <is>
          <t>Tbaung Khmum</t>
        </is>
      </c>
      <c r="B27" t="n">
        <v>254</v>
      </c>
      <c r="C27" t="n">
        <v>26</v>
      </c>
      <c r="D27" t="n">
        <v>17</v>
      </c>
      <c r="E27" t="n">
        <v>25</v>
      </c>
      <c r="F27" t="n">
        <v>12</v>
      </c>
      <c r="G27" t="n">
        <v>14</v>
      </c>
      <c r="H27" t="n">
        <v>6</v>
      </c>
      <c r="I27" t="n">
        <v>19</v>
      </c>
      <c r="J27" t="n">
        <v>23</v>
      </c>
      <c r="K27" t="n">
        <v>23</v>
      </c>
    </row>
    <row r="28">
      <c r="A28" t="inlineStr">
        <is>
          <t>Whole Kingdom</t>
        </is>
      </c>
      <c r="B28" t="n">
        <v>24041</v>
      </c>
      <c r="C28" t="n">
        <v>1835</v>
      </c>
      <c r="D28" t="n">
        <v>2977</v>
      </c>
      <c r="E28" t="n">
        <v>1707</v>
      </c>
      <c r="F28" t="n">
        <v>3129</v>
      </c>
      <c r="G28" t="n">
        <v>1126</v>
      </c>
      <c r="H28" t="n">
        <v>561</v>
      </c>
      <c r="I28" t="n">
        <v>1140</v>
      </c>
      <c r="J28" t="n">
        <v>1418</v>
      </c>
      <c r="K28" t="n">
        <v>1225</v>
      </c>
    </row>
    <row r="29">
      <c r="A29" t="inlineStr">
        <is>
          <t>- Urban Area</t>
        </is>
      </c>
      <c r="B29" t="n">
        <v>21372</v>
      </c>
      <c r="C29" t="n">
        <v>1641</v>
      </c>
      <c r="D29" t="n">
        <v>2772</v>
      </c>
      <c r="E29" t="n">
        <v>1431</v>
      </c>
      <c r="F29" t="n">
        <v>2259</v>
      </c>
      <c r="G29" t="n">
        <v>1000</v>
      </c>
      <c r="H29" t="n">
        <v>507</v>
      </c>
      <c r="I29" t="n">
        <v>959</v>
      </c>
      <c r="J29" t="n">
        <v>1088</v>
      </c>
      <c r="K29" t="n">
        <v>950</v>
      </c>
    </row>
    <row r="30">
      <c r="A30" t="inlineStr">
        <is>
          <t>- Rural Area</t>
        </is>
      </c>
      <c r="B30" t="n">
        <v>2669</v>
      </c>
      <c r="C30" t="n">
        <v>194</v>
      </c>
      <c r="D30" t="n">
        <v>205</v>
      </c>
      <c r="E30" t="n">
        <v>276</v>
      </c>
      <c r="F30" t="n">
        <v>870</v>
      </c>
      <c r="G30" t="n">
        <v>126</v>
      </c>
      <c r="H30" t="n">
        <v>54</v>
      </c>
      <c r="I30" t="n">
        <v>181</v>
      </c>
      <c r="J30" t="n">
        <v>330</v>
      </c>
      <c r="K30" t="n">
        <v>275</v>
      </c>
    </row>
  </sheetData>
  <mergeCells count="2">
    <mergeCell ref="B1:K1"/>
    <mergeCell ref="A1:A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A9D18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3.33203125" customWidth="1" min="1" max="1"/>
    <col width="21.5" customWidth="1" min="2" max="2"/>
    <col width="21.83203125" customWidth="1" min="3" max="3"/>
    <col width="21.5" customWidth="1" min="5" max="5"/>
    <col width="21.83203125" customWidth="1" min="6" max="6"/>
    <col width="21.5" customWidth="1" min="7" max="7"/>
    <col width="21.83203125" customWidth="1" min="8" max="8"/>
  </cols>
  <sheetData>
    <row r="1">
      <c r="A1" t="inlineStr">
        <is>
          <t>Table 1: Schools, Classes, Students and Staff</t>
        </is>
      </c>
      <c r="B1" t="inlineStr">
        <is>
          <t>Total Number of</t>
        </is>
      </c>
      <c r="E1" t="inlineStr">
        <is>
          <t>Concrete/ Brick Structure</t>
        </is>
      </c>
      <c r="G1" t="inlineStr">
        <is>
          <t>Wooden Structure</t>
        </is>
      </c>
    </row>
    <row r="2">
      <c r="B2" t="inlineStr">
        <is>
          <t>Buildings</t>
        </is>
      </c>
      <c r="C2" t="inlineStr">
        <is>
          <t>Rooms</t>
        </is>
      </c>
      <c r="D2" t="inlineStr">
        <is>
          <t>Classrooms</t>
        </is>
      </c>
      <c r="E2" t="inlineStr">
        <is>
          <t>Buildings</t>
        </is>
      </c>
      <c r="F2" t="inlineStr">
        <is>
          <t>Rooms</t>
        </is>
      </c>
      <c r="G2" t="inlineStr">
        <is>
          <t>Buildings</t>
        </is>
      </c>
      <c r="H2" t="inlineStr">
        <is>
          <t>Rooms</t>
        </is>
      </c>
    </row>
    <row r="3">
      <c r="A3" t="inlineStr">
        <is>
          <t>Banteay Meanchey</t>
        </is>
      </c>
      <c r="B3" t="n">
        <v>248</v>
      </c>
      <c r="C3" t="n">
        <v>2220</v>
      </c>
      <c r="D3" t="n">
        <v>768</v>
      </c>
      <c r="E3" t="n">
        <v>233</v>
      </c>
      <c r="F3" t="n">
        <v>2138</v>
      </c>
      <c r="G3" t="n">
        <v>15</v>
      </c>
      <c r="H3" t="n">
        <v>82</v>
      </c>
    </row>
    <row r="4">
      <c r="A4" t="inlineStr">
        <is>
          <t>Battambang</t>
        </is>
      </c>
      <c r="B4" t="n">
        <v>90</v>
      </c>
      <c r="C4" t="n">
        <v>1182</v>
      </c>
      <c r="D4" t="n">
        <v>456</v>
      </c>
      <c r="E4" t="n">
        <v>82</v>
      </c>
      <c r="F4" t="n">
        <v>1164</v>
      </c>
      <c r="G4" t="n">
        <v>8</v>
      </c>
      <c r="H4" t="n">
        <v>18</v>
      </c>
    </row>
    <row r="5">
      <c r="A5" t="inlineStr">
        <is>
          <t>Kampong Cham</t>
        </is>
      </c>
      <c r="B5" t="n">
        <v>62</v>
      </c>
      <c r="C5" t="n">
        <v>291</v>
      </c>
      <c r="D5" t="n">
        <v>190</v>
      </c>
      <c r="E5" t="n">
        <v>51</v>
      </c>
      <c r="F5" t="n">
        <v>270</v>
      </c>
      <c r="G5" t="n">
        <v>11</v>
      </c>
      <c r="H5" t="n">
        <v>21</v>
      </c>
    </row>
    <row r="6">
      <c r="A6" t="inlineStr">
        <is>
          <t>Kampong Chhnang</t>
        </is>
      </c>
      <c r="B6" t="n">
        <v>67</v>
      </c>
      <c r="C6" t="n">
        <v>443</v>
      </c>
      <c r="D6" t="n">
        <v>172</v>
      </c>
      <c r="E6" t="n">
        <v>60</v>
      </c>
      <c r="F6" t="n">
        <v>388</v>
      </c>
      <c r="G6" t="n">
        <v>7</v>
      </c>
      <c r="H6" t="n">
        <v>55</v>
      </c>
    </row>
    <row r="7">
      <c r="A7" t="inlineStr">
        <is>
          <t>Kampong Speu</t>
        </is>
      </c>
      <c r="B7" t="n">
        <v>129</v>
      </c>
      <c r="C7" t="n">
        <v>862</v>
      </c>
      <c r="D7" t="n">
        <v>381</v>
      </c>
      <c r="E7" t="n">
        <v>125</v>
      </c>
      <c r="F7" t="n">
        <v>852</v>
      </c>
      <c r="G7" t="n">
        <v>4</v>
      </c>
      <c r="H7" t="n">
        <v>10</v>
      </c>
    </row>
    <row r="8">
      <c r="A8" t="inlineStr">
        <is>
          <t>Kampong Thom</t>
        </is>
      </c>
      <c r="B8" t="n">
        <v>82</v>
      </c>
      <c r="C8" t="n">
        <v>502</v>
      </c>
      <c r="D8" t="n">
        <v>187</v>
      </c>
      <c r="E8" t="n">
        <v>72</v>
      </c>
      <c r="F8" t="n">
        <v>466</v>
      </c>
      <c r="G8" t="n">
        <v>10</v>
      </c>
      <c r="H8" t="n">
        <v>36</v>
      </c>
    </row>
    <row r="9">
      <c r="A9" t="inlineStr">
        <is>
          <t>Kampot</t>
        </is>
      </c>
      <c r="B9" t="n">
        <v>97</v>
      </c>
      <c r="C9" t="n">
        <v>688</v>
      </c>
      <c r="D9" t="n">
        <v>301</v>
      </c>
      <c r="E9" t="n">
        <v>97</v>
      </c>
      <c r="F9" t="n">
        <v>688</v>
      </c>
      <c r="G9" t="n">
        <v>0</v>
      </c>
      <c r="H9" t="n">
        <v>0</v>
      </c>
    </row>
    <row r="10">
      <c r="A10" t="inlineStr">
        <is>
          <t>Kandal</t>
        </is>
      </c>
      <c r="B10" t="n">
        <v>176</v>
      </c>
      <c r="C10" t="n">
        <v>1578</v>
      </c>
      <c r="D10" t="n">
        <v>571</v>
      </c>
      <c r="E10" t="n">
        <v>164</v>
      </c>
      <c r="F10" t="n">
        <v>1544</v>
      </c>
      <c r="G10" t="n">
        <v>12</v>
      </c>
      <c r="H10" t="n">
        <v>34</v>
      </c>
    </row>
    <row r="11">
      <c r="A11" t="inlineStr">
        <is>
          <t>Kep</t>
        </is>
      </c>
      <c r="B11" t="n">
        <v>4</v>
      </c>
      <c r="C11" t="n">
        <v>21</v>
      </c>
      <c r="D11" t="n">
        <v>18</v>
      </c>
      <c r="E11" t="n">
        <v>4</v>
      </c>
      <c r="F11" t="n">
        <v>21</v>
      </c>
      <c r="G11" t="n">
        <v>0</v>
      </c>
      <c r="H11" t="n">
        <v>0</v>
      </c>
    </row>
    <row r="12">
      <c r="A12" t="inlineStr">
        <is>
          <t>Koh Kong</t>
        </is>
      </c>
      <c r="B12" t="n">
        <v>42</v>
      </c>
      <c r="C12" t="n">
        <v>188</v>
      </c>
      <c r="D12" t="n">
        <v>86</v>
      </c>
      <c r="E12" t="n">
        <v>39</v>
      </c>
      <c r="F12" t="n">
        <v>180</v>
      </c>
      <c r="G12" t="n">
        <v>3</v>
      </c>
      <c r="H12" t="n">
        <v>8</v>
      </c>
    </row>
    <row r="13">
      <c r="A13" t="inlineStr">
        <is>
          <t>Kratie</t>
        </is>
      </c>
      <c r="B13" t="n">
        <v>16</v>
      </c>
      <c r="C13" t="n">
        <v>113</v>
      </c>
      <c r="D13" t="n">
        <v>53</v>
      </c>
      <c r="E13" t="n">
        <v>15</v>
      </c>
      <c r="F13" t="n">
        <v>110</v>
      </c>
      <c r="G13" t="n">
        <v>1</v>
      </c>
      <c r="H13" t="n">
        <v>3</v>
      </c>
    </row>
    <row r="14">
      <c r="A14" t="inlineStr">
        <is>
          <t>Mondul Kiri</t>
        </is>
      </c>
      <c r="B14" t="n">
        <v>12</v>
      </c>
      <c r="C14" t="n">
        <v>46</v>
      </c>
      <c r="D14" t="n">
        <v>34</v>
      </c>
      <c r="E14" t="n">
        <v>12</v>
      </c>
      <c r="F14" t="n">
        <v>46</v>
      </c>
      <c r="G14" t="n">
        <v>0</v>
      </c>
      <c r="H14" t="n">
        <v>0</v>
      </c>
    </row>
    <row r="15">
      <c r="A15" t="inlineStr">
        <is>
          <t>Otdar Meanchey</t>
        </is>
      </c>
      <c r="B15" t="n">
        <v>26</v>
      </c>
      <c r="C15" t="n">
        <v>106</v>
      </c>
      <c r="D15" t="n">
        <v>56</v>
      </c>
      <c r="E15" t="n">
        <v>21</v>
      </c>
      <c r="F15" t="n">
        <v>98</v>
      </c>
      <c r="G15" t="n">
        <v>5</v>
      </c>
      <c r="H15" t="n">
        <v>8</v>
      </c>
    </row>
    <row r="16">
      <c r="A16" t="inlineStr">
        <is>
          <t>Pailin</t>
        </is>
      </c>
      <c r="B16" t="n">
        <v>31</v>
      </c>
      <c r="C16" t="n">
        <v>207</v>
      </c>
      <c r="D16" t="n">
        <v>83</v>
      </c>
      <c r="E16" t="n">
        <v>27</v>
      </c>
      <c r="F16" t="n">
        <v>195</v>
      </c>
      <c r="G16" t="n">
        <v>4</v>
      </c>
      <c r="H16" t="n">
        <v>12</v>
      </c>
    </row>
    <row r="17">
      <c r="A17" t="inlineStr">
        <is>
          <t>Phnom Penh</t>
        </is>
      </c>
      <c r="B17" t="n">
        <v>981</v>
      </c>
      <c r="C17" t="n">
        <v>17049</v>
      </c>
      <c r="D17" t="n">
        <v>5551</v>
      </c>
      <c r="E17" t="n">
        <v>956</v>
      </c>
      <c r="F17" t="n">
        <v>16737</v>
      </c>
      <c r="G17" t="n">
        <v>25</v>
      </c>
      <c r="H17" t="n">
        <v>312</v>
      </c>
    </row>
    <row r="18">
      <c r="A18" t="inlineStr">
        <is>
          <t>Preah Sihanouk</t>
        </is>
      </c>
      <c r="B18" t="n">
        <v>103</v>
      </c>
      <c r="C18" t="n">
        <v>1012</v>
      </c>
      <c r="D18" t="n">
        <v>325</v>
      </c>
      <c r="E18" t="n">
        <v>93</v>
      </c>
      <c r="F18" t="n">
        <v>992</v>
      </c>
      <c r="G18" t="n">
        <v>10</v>
      </c>
      <c r="H18" t="n">
        <v>20</v>
      </c>
    </row>
    <row r="19">
      <c r="A19" t="inlineStr">
        <is>
          <t>Preah Vihear</t>
        </is>
      </c>
      <c r="B19" t="n">
        <v>5</v>
      </c>
      <c r="C19" t="n">
        <v>43</v>
      </c>
      <c r="D19" t="n">
        <v>13</v>
      </c>
      <c r="E19" t="n">
        <v>3</v>
      </c>
      <c r="F19" t="n">
        <v>31</v>
      </c>
      <c r="G19" t="n">
        <v>2</v>
      </c>
      <c r="H19" t="n">
        <v>12</v>
      </c>
    </row>
    <row r="20">
      <c r="A20" t="inlineStr">
        <is>
          <t>Prey Veng</t>
        </is>
      </c>
      <c r="B20" t="n">
        <v>8</v>
      </c>
      <c r="C20" t="n">
        <v>54</v>
      </c>
      <c r="D20" t="n">
        <v>14</v>
      </c>
      <c r="E20" t="n">
        <v>7</v>
      </c>
      <c r="F20" t="n">
        <v>53</v>
      </c>
      <c r="G20" t="n">
        <v>1</v>
      </c>
      <c r="H20" t="n">
        <v>1</v>
      </c>
    </row>
    <row r="21">
      <c r="A21" t="inlineStr">
        <is>
          <t>Pursat</t>
        </is>
      </c>
      <c r="B21" t="n">
        <v>12</v>
      </c>
      <c r="C21" t="n">
        <v>59</v>
      </c>
      <c r="D21" t="n">
        <v>33</v>
      </c>
      <c r="E21" t="n">
        <v>12</v>
      </c>
      <c r="F21" t="n">
        <v>59</v>
      </c>
      <c r="G21" t="n">
        <v>0</v>
      </c>
      <c r="H21" t="n">
        <v>0</v>
      </c>
    </row>
    <row r="22">
      <c r="A22" t="inlineStr">
        <is>
          <t>Ratanak Kiri</t>
        </is>
      </c>
      <c r="B22" t="n">
        <v>14</v>
      </c>
      <c r="C22" t="n">
        <v>97</v>
      </c>
      <c r="D22" t="n">
        <v>86</v>
      </c>
      <c r="E22" t="n">
        <v>14</v>
      </c>
      <c r="F22" t="n">
        <v>97</v>
      </c>
      <c r="G22" t="n">
        <v>0</v>
      </c>
      <c r="H22" t="n">
        <v>0</v>
      </c>
    </row>
    <row r="23">
      <c r="A23" t="inlineStr">
        <is>
          <t>Siemreap</t>
        </is>
      </c>
      <c r="B23" t="n">
        <v>223</v>
      </c>
      <c r="C23" t="n">
        <v>1687</v>
      </c>
      <c r="D23" t="n">
        <v>700</v>
      </c>
      <c r="E23" t="n">
        <v>206</v>
      </c>
      <c r="F23" t="n">
        <v>1646</v>
      </c>
      <c r="G23" t="n">
        <v>17</v>
      </c>
      <c r="H23" t="n">
        <v>41</v>
      </c>
    </row>
    <row r="24">
      <c r="A24" t="inlineStr">
        <is>
          <t>Stung Treng</t>
        </is>
      </c>
      <c r="B24" t="n">
        <v>14</v>
      </c>
      <c r="C24" t="n">
        <v>70</v>
      </c>
      <c r="D24" t="n">
        <v>38</v>
      </c>
      <c r="E24" t="n">
        <v>12</v>
      </c>
      <c r="F24" t="n">
        <v>60</v>
      </c>
      <c r="G24" t="n">
        <v>2</v>
      </c>
      <c r="H24" t="n">
        <v>10</v>
      </c>
    </row>
    <row r="25">
      <c r="A25" t="inlineStr">
        <is>
          <t>Svay Rieng</t>
        </is>
      </c>
      <c r="B25" t="n">
        <v>8</v>
      </c>
      <c r="C25" t="n">
        <v>59</v>
      </c>
      <c r="D25" t="n">
        <v>25</v>
      </c>
      <c r="E25" t="n">
        <v>8</v>
      </c>
      <c r="F25" t="n">
        <v>59</v>
      </c>
      <c r="G25" t="n">
        <v>0</v>
      </c>
      <c r="H25" t="n">
        <v>0</v>
      </c>
    </row>
    <row r="26">
      <c r="A26" t="inlineStr">
        <is>
          <t>Takeo</t>
        </is>
      </c>
      <c r="B26" t="n">
        <v>170</v>
      </c>
      <c r="C26" t="n">
        <v>593</v>
      </c>
      <c r="D26" t="n">
        <v>268</v>
      </c>
      <c r="E26" t="n">
        <v>152</v>
      </c>
      <c r="F26" t="n">
        <v>540</v>
      </c>
      <c r="G26" t="n">
        <v>18</v>
      </c>
      <c r="H26" t="n">
        <v>53</v>
      </c>
    </row>
    <row r="27">
      <c r="A27" t="inlineStr">
        <is>
          <t>Tbaung Khmum</t>
        </is>
      </c>
      <c r="B27" t="n">
        <v>43</v>
      </c>
      <c r="C27" t="n">
        <v>401</v>
      </c>
      <c r="D27" t="n">
        <v>164</v>
      </c>
      <c r="E27" t="n">
        <v>39</v>
      </c>
      <c r="F27" t="n">
        <v>395</v>
      </c>
      <c r="G27" t="n">
        <v>4</v>
      </c>
      <c r="H27" t="n">
        <v>6</v>
      </c>
    </row>
    <row r="28">
      <c r="A28" t="inlineStr">
        <is>
          <t>Whole Kingdom</t>
        </is>
      </c>
      <c r="B28" t="n">
        <v>2663</v>
      </c>
      <c r="C28" t="n">
        <v>29571</v>
      </c>
      <c r="D28" t="n">
        <v>10573</v>
      </c>
      <c r="E28" t="n">
        <v>2504</v>
      </c>
      <c r="F28" t="n">
        <v>28829</v>
      </c>
      <c r="G28" t="n">
        <v>159</v>
      </c>
      <c r="H28" t="n">
        <v>742</v>
      </c>
    </row>
    <row r="29">
      <c r="A29" t="inlineStr">
        <is>
          <t>- Urban Area</t>
        </is>
      </c>
      <c r="B29" t="n">
        <v>730</v>
      </c>
      <c r="C29" t="n">
        <v>3902</v>
      </c>
      <c r="D29" t="n">
        <v>1774</v>
      </c>
      <c r="E29" t="n">
        <v>653</v>
      </c>
      <c r="F29" t="n">
        <v>3715</v>
      </c>
      <c r="G29" t="n">
        <v>77</v>
      </c>
      <c r="H29" t="n">
        <v>187</v>
      </c>
    </row>
    <row r="30">
      <c r="A30" t="inlineStr">
        <is>
          <t>- Rural Area</t>
        </is>
      </c>
      <c r="B30" t="n">
        <v>1933</v>
      </c>
      <c r="C30" t="n">
        <v>25669</v>
      </c>
      <c r="D30" t="n">
        <v>8799</v>
      </c>
      <c r="E30" t="n">
        <v>1851</v>
      </c>
      <c r="F30" t="n">
        <v>25114</v>
      </c>
      <c r="G30" t="n">
        <v>82</v>
      </c>
      <c r="H30" t="n">
        <v>555</v>
      </c>
    </row>
  </sheetData>
  <mergeCells count="4">
    <mergeCell ref="B1:D1"/>
    <mergeCell ref="G1:H1"/>
    <mergeCell ref="E1:F1"/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A9D18E"/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9.1640625" customWidth="1" min="1" max="1"/>
    <col width="14.6640625" customWidth="1" min="2" max="2"/>
    <col width="14.5" customWidth="1" min="3" max="3"/>
    <col width="16.83203125" customWidth="1" min="4" max="4"/>
    <col width="16.6640625" customWidth="1" min="5" max="5"/>
    <col width="12.5" customWidth="1" min="6" max="6"/>
  </cols>
  <sheetData>
    <row r="1">
      <c r="A1" t="inlineStr">
        <is>
          <t>Table 1: Schools, Classes, Students and Staff</t>
        </is>
      </c>
      <c r="B1" t="inlineStr">
        <is>
          <t>School Area (m2)</t>
        </is>
      </c>
      <c r="D1" t="inlineStr">
        <is>
          <t>Cl.room Area
per Student</t>
        </is>
      </c>
      <c r="E1" t="inlineStr">
        <is>
          <t>Pre-School with
Sport Facility</t>
        </is>
      </c>
      <c r="F1" t="inlineStr">
        <is>
          <t>Schools with Sport Ground, Equipment and Teams / Player for</t>
        </is>
      </c>
    </row>
    <row r="2">
      <c r="B2" t="inlineStr">
        <is>
          <t>Land</t>
        </is>
      </c>
      <c r="C2" t="inlineStr">
        <is>
          <t>Playground</t>
        </is>
      </c>
      <c r="F2" t="inlineStr">
        <is>
          <t>Volleyball</t>
        </is>
      </c>
      <c r="G2" t="inlineStr">
        <is>
          <t>Football</t>
        </is>
      </c>
      <c r="H2" t="inlineStr">
        <is>
          <t>Basketball</t>
        </is>
      </c>
      <c r="I2" t="inlineStr">
        <is>
          <t>Shotput</t>
        </is>
      </c>
      <c r="J2" t="inlineStr">
        <is>
          <t>High Jump</t>
        </is>
      </c>
      <c r="K2" t="inlineStr">
        <is>
          <t>Long Jump</t>
        </is>
      </c>
      <c r="L2" t="inlineStr">
        <is>
          <t>Long Run</t>
        </is>
      </c>
    </row>
    <row r="3">
      <c r="A3" t="inlineStr">
        <is>
          <t>Banteay Meanchey</t>
        </is>
      </c>
      <c r="B3" t="n">
        <v>594463</v>
      </c>
      <c r="C3" t="n">
        <v>245996</v>
      </c>
      <c r="D3" t="n">
        <v>2.5</v>
      </c>
      <c r="E3" t="n">
        <v>31</v>
      </c>
      <c r="F3" t="n">
        <v>26</v>
      </c>
      <c r="G3" t="n">
        <v>37</v>
      </c>
      <c r="H3" t="n">
        <v>9</v>
      </c>
      <c r="I3" t="n">
        <v>10</v>
      </c>
      <c r="J3" t="n">
        <v>15</v>
      </c>
      <c r="K3" t="n">
        <v>15</v>
      </c>
      <c r="L3" t="n">
        <v>21</v>
      </c>
    </row>
    <row r="4">
      <c r="A4" t="inlineStr">
        <is>
          <t>Battambang</t>
        </is>
      </c>
      <c r="B4" t="n">
        <v>189827</v>
      </c>
      <c r="C4" t="n">
        <v>80910</v>
      </c>
      <c r="D4" t="n">
        <v>2.9</v>
      </c>
      <c r="E4" t="n">
        <v>22</v>
      </c>
      <c r="F4" t="n">
        <v>9</v>
      </c>
      <c r="G4" t="n">
        <v>16</v>
      </c>
      <c r="H4" t="n">
        <v>7</v>
      </c>
      <c r="I4" t="n">
        <v>1</v>
      </c>
      <c r="J4" t="n">
        <v>3</v>
      </c>
      <c r="K4" t="n">
        <v>2</v>
      </c>
      <c r="L4" t="n">
        <v>5</v>
      </c>
    </row>
    <row r="5">
      <c r="A5" t="inlineStr">
        <is>
          <t>Kampong Cham</t>
        </is>
      </c>
      <c r="B5" t="n">
        <v>257237</v>
      </c>
      <c r="C5" t="n">
        <v>49598</v>
      </c>
      <c r="D5" t="n">
        <v>2.9</v>
      </c>
      <c r="E5" t="n">
        <v>7</v>
      </c>
      <c r="F5" t="n">
        <v>1</v>
      </c>
      <c r="G5" t="n">
        <v>5</v>
      </c>
      <c r="H5" t="n">
        <v>0</v>
      </c>
      <c r="I5" t="n">
        <v>0</v>
      </c>
      <c r="J5" t="n">
        <v>1</v>
      </c>
      <c r="K5" t="n">
        <v>1</v>
      </c>
      <c r="L5" t="n">
        <v>1</v>
      </c>
    </row>
    <row r="6">
      <c r="A6" t="inlineStr">
        <is>
          <t>Kampong Chhnang</t>
        </is>
      </c>
      <c r="B6" t="n">
        <v>178422</v>
      </c>
      <c r="C6" t="n">
        <v>49953</v>
      </c>
      <c r="D6" t="n">
        <v>3.8</v>
      </c>
      <c r="E6" t="n">
        <v>8</v>
      </c>
      <c r="F6" t="n">
        <v>5</v>
      </c>
      <c r="G6" t="n">
        <v>5</v>
      </c>
      <c r="H6" t="n">
        <v>4</v>
      </c>
      <c r="I6" t="n">
        <v>4</v>
      </c>
      <c r="J6" t="n">
        <v>5</v>
      </c>
      <c r="K6" t="n">
        <v>4</v>
      </c>
      <c r="L6" t="n">
        <v>4</v>
      </c>
    </row>
    <row r="7">
      <c r="A7" t="inlineStr">
        <is>
          <t>Kampong Speu</t>
        </is>
      </c>
      <c r="B7" t="n">
        <v>1209118</v>
      </c>
      <c r="C7" t="n">
        <v>75293</v>
      </c>
      <c r="D7" t="n">
        <v>2.4</v>
      </c>
      <c r="E7" t="n">
        <v>18</v>
      </c>
      <c r="F7" t="n">
        <v>6</v>
      </c>
      <c r="G7" t="n">
        <v>13</v>
      </c>
      <c r="H7" t="n">
        <v>4</v>
      </c>
      <c r="I7" t="n">
        <v>2</v>
      </c>
      <c r="J7" t="n">
        <v>4</v>
      </c>
      <c r="K7" t="n">
        <v>4</v>
      </c>
      <c r="L7" t="n">
        <v>7</v>
      </c>
    </row>
    <row r="8">
      <c r="A8" t="inlineStr">
        <is>
          <t>Kampong Thom</t>
        </is>
      </c>
      <c r="B8" t="n">
        <v>939276</v>
      </c>
      <c r="C8" t="n">
        <v>294585</v>
      </c>
      <c r="D8" t="n">
        <v>2.8</v>
      </c>
      <c r="E8" t="n">
        <v>9</v>
      </c>
      <c r="F8" t="n">
        <v>6</v>
      </c>
      <c r="G8" t="n">
        <v>8</v>
      </c>
      <c r="H8" t="n">
        <v>4</v>
      </c>
      <c r="I8" t="n">
        <v>1</v>
      </c>
      <c r="J8" t="n">
        <v>2</v>
      </c>
      <c r="K8" t="n">
        <v>3</v>
      </c>
      <c r="L8" t="n">
        <v>3</v>
      </c>
    </row>
    <row r="9">
      <c r="A9" t="inlineStr">
        <is>
          <t>Kampot</t>
        </is>
      </c>
      <c r="B9" t="n">
        <v>90122</v>
      </c>
      <c r="C9" t="n">
        <v>74504</v>
      </c>
      <c r="D9" t="n">
        <v>1.9</v>
      </c>
      <c r="E9" t="n">
        <v>9</v>
      </c>
      <c r="F9" t="n">
        <v>9</v>
      </c>
      <c r="G9" t="n">
        <v>11</v>
      </c>
      <c r="H9" t="n">
        <v>7</v>
      </c>
      <c r="I9" t="n">
        <v>3</v>
      </c>
      <c r="J9" t="n">
        <v>4</v>
      </c>
      <c r="K9" t="n">
        <v>5</v>
      </c>
      <c r="L9" t="n">
        <v>5</v>
      </c>
    </row>
    <row r="10">
      <c r="A10" t="inlineStr">
        <is>
          <t>Kandal</t>
        </is>
      </c>
      <c r="B10" t="n">
        <v>169349</v>
      </c>
      <c r="C10" t="n">
        <v>66182</v>
      </c>
      <c r="D10" t="n">
        <v>5.1</v>
      </c>
      <c r="E10" t="n">
        <v>28</v>
      </c>
      <c r="F10" t="n">
        <v>11</v>
      </c>
      <c r="G10" t="n">
        <v>17</v>
      </c>
      <c r="H10" t="n">
        <v>8</v>
      </c>
      <c r="I10" t="n">
        <v>3</v>
      </c>
      <c r="J10" t="n">
        <v>5</v>
      </c>
      <c r="K10" t="n">
        <v>5</v>
      </c>
      <c r="L10" t="n">
        <v>7</v>
      </c>
    </row>
    <row r="11">
      <c r="A11" t="inlineStr">
        <is>
          <t>Kep</t>
        </is>
      </c>
      <c r="B11" t="n">
        <v>1000</v>
      </c>
      <c r="C11" t="n">
        <v>50</v>
      </c>
      <c r="D11" t="n">
        <v>1.3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Koh Kong</t>
        </is>
      </c>
      <c r="B12" t="n">
        <v>26072</v>
      </c>
      <c r="C12" t="n">
        <v>9336</v>
      </c>
      <c r="D12" t="n">
        <v>1.5</v>
      </c>
      <c r="E12" t="n">
        <v>1</v>
      </c>
      <c r="F12" t="n">
        <v>4</v>
      </c>
      <c r="G12" t="n">
        <v>5</v>
      </c>
      <c r="H12" t="n">
        <v>0</v>
      </c>
      <c r="I12" t="n">
        <v>1</v>
      </c>
      <c r="J12" t="n">
        <v>2</v>
      </c>
      <c r="K12" t="n">
        <v>0</v>
      </c>
      <c r="L12" t="n">
        <v>0</v>
      </c>
    </row>
    <row r="13">
      <c r="A13" t="inlineStr">
        <is>
          <t>Kratie</t>
        </is>
      </c>
      <c r="B13" t="n">
        <v>9510</v>
      </c>
      <c r="C13" t="n">
        <v>2040</v>
      </c>
      <c r="D13" t="n">
        <v>2.3</v>
      </c>
      <c r="E13" t="n">
        <v>2</v>
      </c>
      <c r="F13" t="n">
        <v>1</v>
      </c>
      <c r="G13" t="n">
        <v>2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</row>
    <row r="14">
      <c r="A14" t="inlineStr">
        <is>
          <t>Mondul Kiri</t>
        </is>
      </c>
      <c r="B14" t="n">
        <v>36328</v>
      </c>
      <c r="C14" t="n">
        <v>17436</v>
      </c>
      <c r="D14" t="n">
        <v>3.5</v>
      </c>
      <c r="E14" t="n">
        <v>3</v>
      </c>
      <c r="F14" t="n">
        <v>3</v>
      </c>
      <c r="G14" t="n">
        <v>3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Otdar Meanchey</t>
        </is>
      </c>
      <c r="B15" t="n">
        <v>14039</v>
      </c>
      <c r="C15" t="n">
        <v>9450</v>
      </c>
      <c r="D15" t="n">
        <v>1.2</v>
      </c>
      <c r="E15" t="n">
        <v>3</v>
      </c>
      <c r="F15" t="n">
        <v>2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</row>
    <row r="16">
      <c r="A16" t="inlineStr">
        <is>
          <t>Pailin</t>
        </is>
      </c>
      <c r="B16" t="n">
        <v>14697</v>
      </c>
      <c r="C16" t="n">
        <v>7942</v>
      </c>
      <c r="D16" t="n">
        <v>1.3</v>
      </c>
      <c r="E16" t="n">
        <v>4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Phnom Penh</t>
        </is>
      </c>
      <c r="B17" t="n">
        <v>3049129</v>
      </c>
      <c r="C17" t="n">
        <v>918402</v>
      </c>
      <c r="D17" t="n">
        <v>2.2</v>
      </c>
      <c r="E17" t="n">
        <v>181</v>
      </c>
      <c r="F17" t="n">
        <v>64</v>
      </c>
      <c r="G17" t="n">
        <v>137</v>
      </c>
      <c r="H17" t="n">
        <v>90</v>
      </c>
      <c r="I17" t="n">
        <v>28</v>
      </c>
      <c r="J17" t="n">
        <v>48</v>
      </c>
      <c r="K17" t="n">
        <v>45</v>
      </c>
      <c r="L17" t="n">
        <v>56</v>
      </c>
    </row>
    <row r="18">
      <c r="A18" t="inlineStr">
        <is>
          <t>Preah Sihanouk</t>
        </is>
      </c>
      <c r="B18" t="n">
        <v>374228</v>
      </c>
      <c r="C18" t="n">
        <v>147705</v>
      </c>
      <c r="D18" t="n">
        <v>2.9</v>
      </c>
      <c r="E18" t="n">
        <v>14</v>
      </c>
      <c r="F18" t="n">
        <v>9</v>
      </c>
      <c r="G18" t="n">
        <v>16</v>
      </c>
      <c r="H18" t="n">
        <v>9</v>
      </c>
      <c r="I18" t="n">
        <v>1</v>
      </c>
      <c r="J18" t="n">
        <v>3</v>
      </c>
      <c r="K18" t="n">
        <v>3</v>
      </c>
      <c r="L18" t="n">
        <v>6</v>
      </c>
    </row>
    <row r="19">
      <c r="A19" t="inlineStr">
        <is>
          <t>Preah Vihear</t>
        </is>
      </c>
      <c r="B19" t="n">
        <v>3571</v>
      </c>
      <c r="C19" t="n">
        <v>738</v>
      </c>
      <c r="D19" t="n">
        <v>3.9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</row>
    <row r="20">
      <c r="A20" t="inlineStr">
        <is>
          <t>Prey Veng</t>
        </is>
      </c>
      <c r="B20" t="n">
        <v>5344</v>
      </c>
      <c r="C20" t="n">
        <v>4547</v>
      </c>
      <c r="D20" t="n">
        <v>3.5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Pursat</t>
        </is>
      </c>
      <c r="B21" t="n">
        <v>1318</v>
      </c>
      <c r="C21" t="n">
        <v>102</v>
      </c>
      <c r="D21" t="n">
        <v>0.4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Ratanak Kiri</t>
        </is>
      </c>
      <c r="B22" t="n">
        <v>15792</v>
      </c>
      <c r="C22" t="n">
        <v>108328</v>
      </c>
      <c r="D22" t="n">
        <v>1.5</v>
      </c>
      <c r="E22" t="n">
        <v>4</v>
      </c>
      <c r="F22" t="n">
        <v>4</v>
      </c>
      <c r="G22" t="n">
        <v>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Siemreap</t>
        </is>
      </c>
      <c r="B23" t="n">
        <v>82451</v>
      </c>
      <c r="C23" t="n">
        <v>34742</v>
      </c>
      <c r="D23" t="n">
        <v>2</v>
      </c>
      <c r="E23" t="n">
        <v>45</v>
      </c>
      <c r="F23" t="n">
        <v>7</v>
      </c>
      <c r="G23" t="n">
        <v>16</v>
      </c>
      <c r="H23" t="n">
        <v>12</v>
      </c>
      <c r="I23" t="n">
        <v>9</v>
      </c>
      <c r="J23" t="n">
        <v>7</v>
      </c>
      <c r="K23" t="n">
        <v>9</v>
      </c>
      <c r="L23" t="n">
        <v>12</v>
      </c>
    </row>
    <row r="24">
      <c r="A24" t="inlineStr">
        <is>
          <t>Stung Treng</t>
        </is>
      </c>
      <c r="B24" t="n">
        <v>3201</v>
      </c>
      <c r="C24" t="n">
        <v>865</v>
      </c>
      <c r="D24" t="n">
        <v>1.3</v>
      </c>
      <c r="E24" t="n">
        <v>2</v>
      </c>
      <c r="F24" t="n">
        <v>1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Svay Rieng</t>
        </is>
      </c>
      <c r="B25" t="n">
        <v>4274</v>
      </c>
      <c r="C25" t="n">
        <v>3003</v>
      </c>
      <c r="D25" t="n">
        <v>2.1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Takeo</t>
        </is>
      </c>
      <c r="B26" t="n">
        <v>339594</v>
      </c>
      <c r="C26" t="n">
        <v>103207</v>
      </c>
      <c r="D26" t="n">
        <v>2.2</v>
      </c>
      <c r="E26" t="n">
        <v>16</v>
      </c>
      <c r="F26" t="n">
        <v>7</v>
      </c>
      <c r="G26" t="n">
        <v>12</v>
      </c>
      <c r="H26" t="n">
        <v>4</v>
      </c>
      <c r="I26" t="n">
        <v>4</v>
      </c>
      <c r="J26" t="n">
        <v>3</v>
      </c>
      <c r="K26" t="n">
        <v>3</v>
      </c>
      <c r="L26" t="n">
        <v>3</v>
      </c>
    </row>
    <row r="27">
      <c r="A27" t="inlineStr">
        <is>
          <t>Tbaung Khmum</t>
        </is>
      </c>
      <c r="B27" t="n">
        <v>67069</v>
      </c>
      <c r="C27" t="n">
        <v>30416</v>
      </c>
      <c r="D27" t="n">
        <v>4.4</v>
      </c>
      <c r="E27" t="n">
        <v>7</v>
      </c>
      <c r="F27" t="n">
        <v>3</v>
      </c>
      <c r="G27" t="n">
        <v>3</v>
      </c>
      <c r="H27" t="n">
        <v>1</v>
      </c>
      <c r="I27" t="n">
        <v>0</v>
      </c>
      <c r="J27" t="n">
        <v>2</v>
      </c>
      <c r="K27" t="n">
        <v>1</v>
      </c>
      <c r="L27" t="n">
        <v>2</v>
      </c>
    </row>
    <row r="28">
      <c r="A28" t="inlineStr">
        <is>
          <t>Whole Kingdom</t>
        </is>
      </c>
      <c r="B28" t="n">
        <v>7675431</v>
      </c>
      <c r="C28" t="n">
        <v>2335330</v>
      </c>
      <c r="D28" t="n">
        <v>3.3</v>
      </c>
      <c r="E28" t="n">
        <v>424</v>
      </c>
      <c r="F28" t="n">
        <v>181</v>
      </c>
      <c r="G28" t="n">
        <v>319</v>
      </c>
      <c r="H28" t="n">
        <v>163</v>
      </c>
      <c r="I28" t="n">
        <v>69</v>
      </c>
      <c r="J28" t="n">
        <v>109</v>
      </c>
      <c r="K28" t="n">
        <v>104</v>
      </c>
      <c r="L28" t="n">
        <v>135</v>
      </c>
    </row>
    <row r="29">
      <c r="A29" t="inlineStr">
        <is>
          <t>- Urban Area</t>
        </is>
      </c>
      <c r="B29" t="n">
        <v>4415139</v>
      </c>
      <c r="C29" t="n">
        <v>1597194</v>
      </c>
      <c r="D29" t="n">
        <v>2.4</v>
      </c>
      <c r="E29" t="n">
        <v>339</v>
      </c>
      <c r="F29" t="n">
        <v>131</v>
      </c>
      <c r="G29" t="n">
        <v>250</v>
      </c>
      <c r="H29" t="n">
        <v>140</v>
      </c>
      <c r="I29" t="n">
        <v>55</v>
      </c>
      <c r="J29" t="n">
        <v>89</v>
      </c>
      <c r="K29" t="n">
        <v>84</v>
      </c>
      <c r="L29" t="n">
        <v>106</v>
      </c>
    </row>
    <row r="30">
      <c r="A30" t="inlineStr">
        <is>
          <t>- Rural Area</t>
        </is>
      </c>
      <c r="B30" t="n">
        <v>3260292</v>
      </c>
      <c r="C30" t="n">
        <v>738136</v>
      </c>
      <c r="D30" t="n">
        <v>3</v>
      </c>
      <c r="E30" t="n">
        <v>85</v>
      </c>
      <c r="F30" t="n">
        <v>50</v>
      </c>
      <c r="G30" t="n">
        <v>69</v>
      </c>
      <c r="H30" t="n">
        <v>23</v>
      </c>
      <c r="I30" t="n">
        <v>14</v>
      </c>
      <c r="J30" t="n">
        <v>20</v>
      </c>
      <c r="K30" t="n">
        <v>20</v>
      </c>
      <c r="L30" t="n">
        <v>29</v>
      </c>
    </row>
  </sheetData>
  <mergeCells count="5">
    <mergeCell ref="F1:L1"/>
    <mergeCell ref="D1:D2"/>
    <mergeCell ref="E1:E2"/>
    <mergeCell ref="B1:C1"/>
    <mergeCell ref="A1:A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FF0000"/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1.5" customWidth="1" min="1" max="1"/>
    <col width="19.5" customWidth="1" min="2" max="2"/>
  </cols>
  <sheetData>
    <row r="1">
      <c r="A1" t="inlineStr">
        <is>
          <t>Table 1: Schools, Classes, Students and Staff</t>
        </is>
      </c>
    </row>
    <row r="2">
      <c r="A2" t="inlineStr">
        <is>
          <t>Province</t>
        </is>
      </c>
      <c r="B2" t="inlineStr">
        <is>
          <t>School Fees Per Student in a Year (Currency US Dollar)</t>
        </is>
      </c>
    </row>
    <row r="3">
      <c r="B3" t="inlineStr">
        <is>
          <t>Lowest Step</t>
        </is>
      </c>
      <c r="D3" t="inlineStr">
        <is>
          <t>Medium Step</t>
        </is>
      </c>
      <c r="F3" t="inlineStr">
        <is>
          <t>Highest Step</t>
        </is>
      </c>
      <c r="H3" t="inlineStr">
        <is>
          <t>Mixed Step</t>
        </is>
      </c>
    </row>
    <row r="4">
      <c r="B4" t="inlineStr">
        <is>
          <t>Minimum</t>
        </is>
      </c>
      <c r="C4" t="inlineStr">
        <is>
          <t>Maximum</t>
        </is>
      </c>
      <c r="D4" t="inlineStr">
        <is>
          <t>Minimum</t>
        </is>
      </c>
      <c r="E4" t="inlineStr">
        <is>
          <t>Maximum</t>
        </is>
      </c>
      <c r="F4" t="inlineStr">
        <is>
          <t>Minimum</t>
        </is>
      </c>
      <c r="G4" t="inlineStr">
        <is>
          <t>Maximum</t>
        </is>
      </c>
      <c r="H4" t="inlineStr">
        <is>
          <t>Minimum</t>
        </is>
      </c>
      <c r="I4" t="inlineStr">
        <is>
          <t>Maximum</t>
        </is>
      </c>
    </row>
    <row r="5">
      <c r="A5" t="inlineStr">
        <is>
          <t>Banteay Meanchey</t>
        </is>
      </c>
      <c r="B5" t="n">
        <v>80</v>
      </c>
      <c r="C5" t="n">
        <v>1280</v>
      </c>
      <c r="D5" t="n">
        <v>35</v>
      </c>
      <c r="E5" t="n">
        <v>1280</v>
      </c>
      <c r="F5" t="n">
        <v>0</v>
      </c>
      <c r="G5" t="n">
        <v>1280</v>
      </c>
      <c r="H5" t="n">
        <v>0</v>
      </c>
      <c r="I5" t="n">
        <v>740</v>
      </c>
    </row>
    <row r="6">
      <c r="A6" t="inlineStr">
        <is>
          <t>Battambang</t>
        </is>
      </c>
      <c r="B6" t="n">
        <v>40</v>
      </c>
      <c r="C6" t="n">
        <v>2400</v>
      </c>
      <c r="D6" t="n">
        <v>30</v>
      </c>
      <c r="E6" t="n">
        <v>2800</v>
      </c>
      <c r="F6" t="n">
        <v>15</v>
      </c>
      <c r="G6" t="n">
        <v>3200</v>
      </c>
      <c r="H6" t="n">
        <v>0</v>
      </c>
      <c r="I6" t="n">
        <v>1670</v>
      </c>
    </row>
    <row r="7">
      <c r="A7" t="inlineStr">
        <is>
          <t>Kampong Cham</t>
        </is>
      </c>
      <c r="B7" t="n">
        <v>60</v>
      </c>
      <c r="C7" t="n">
        <v>500</v>
      </c>
      <c r="D7" t="n">
        <v>80</v>
      </c>
      <c r="E7" t="n">
        <v>500</v>
      </c>
      <c r="F7" t="n">
        <v>120</v>
      </c>
      <c r="G7" t="n">
        <v>500</v>
      </c>
      <c r="H7" t="n">
        <v>0</v>
      </c>
      <c r="I7" t="n">
        <v>500</v>
      </c>
    </row>
    <row r="8">
      <c r="A8" t="inlineStr">
        <is>
          <t>Kampong Chhnang</t>
        </is>
      </c>
      <c r="B8" t="n">
        <v>60</v>
      </c>
      <c r="C8" t="n">
        <v>340</v>
      </c>
      <c r="D8" t="n">
        <v>60</v>
      </c>
      <c r="E8" t="n">
        <v>340</v>
      </c>
      <c r="F8" t="n">
        <v>60</v>
      </c>
      <c r="G8" t="n">
        <v>340</v>
      </c>
      <c r="H8" t="n">
        <v>0</v>
      </c>
      <c r="I8" t="n">
        <v>160</v>
      </c>
    </row>
    <row r="9">
      <c r="A9" t="inlineStr">
        <is>
          <t>Kampong Speu</t>
        </is>
      </c>
      <c r="B9" t="n">
        <v>13</v>
      </c>
      <c r="C9" t="n">
        <v>395</v>
      </c>
      <c r="D9" t="n">
        <v>14</v>
      </c>
      <c r="E9" t="n">
        <v>435</v>
      </c>
      <c r="F9" t="n">
        <v>14</v>
      </c>
      <c r="G9" t="n">
        <v>475</v>
      </c>
      <c r="H9" t="n">
        <v>0</v>
      </c>
      <c r="I9" t="n">
        <v>354</v>
      </c>
    </row>
    <row r="10">
      <c r="A10" t="inlineStr">
        <is>
          <t>Kampong Thom</t>
        </is>
      </c>
      <c r="B10" t="n">
        <v>125</v>
      </c>
      <c r="C10" t="n">
        <v>450</v>
      </c>
      <c r="D10" t="n">
        <v>200</v>
      </c>
      <c r="E10" t="n">
        <v>470</v>
      </c>
      <c r="F10" t="n">
        <v>200</v>
      </c>
      <c r="G10" t="n">
        <v>490</v>
      </c>
      <c r="H10" t="n">
        <v>0</v>
      </c>
      <c r="I10" t="n">
        <v>432</v>
      </c>
    </row>
    <row r="11">
      <c r="A11" t="inlineStr">
        <is>
          <t>Kampot</t>
        </is>
      </c>
      <c r="B11" t="n">
        <v>120</v>
      </c>
      <c r="C11" t="n">
        <v>380</v>
      </c>
      <c r="D11" t="n">
        <v>75</v>
      </c>
      <c r="E11" t="n">
        <v>380</v>
      </c>
      <c r="F11" t="n">
        <v>75</v>
      </c>
      <c r="G11" t="n">
        <v>380</v>
      </c>
      <c r="H11" t="n">
        <v>0</v>
      </c>
      <c r="I11" t="n">
        <v>330</v>
      </c>
    </row>
    <row r="12">
      <c r="A12" t="inlineStr">
        <is>
          <t>Kandal</t>
        </is>
      </c>
      <c r="B12" t="n">
        <v>15</v>
      </c>
      <c r="C12" t="n">
        <v>2299</v>
      </c>
      <c r="D12" t="n">
        <v>50</v>
      </c>
      <c r="E12" t="n">
        <v>2299</v>
      </c>
      <c r="F12" t="n">
        <v>0</v>
      </c>
      <c r="G12" t="n">
        <v>2299</v>
      </c>
      <c r="H12" t="n">
        <v>0</v>
      </c>
      <c r="I12" t="n">
        <v>1000</v>
      </c>
    </row>
    <row r="13">
      <c r="A13" t="inlineStr">
        <is>
          <t>Kep</t>
        </is>
      </c>
      <c r="B13" t="n">
        <v>3000</v>
      </c>
      <c r="C13" t="n">
        <v>3000</v>
      </c>
      <c r="D13" t="n">
        <v>3000</v>
      </c>
      <c r="E13" t="n">
        <v>3000</v>
      </c>
      <c r="F13" t="n">
        <v>3000</v>
      </c>
      <c r="G13" t="n">
        <v>3000</v>
      </c>
      <c r="H13" t="n">
        <v>3000</v>
      </c>
      <c r="I13" t="n">
        <v>3000</v>
      </c>
    </row>
    <row r="14">
      <c r="A14" t="inlineStr">
        <is>
          <t>Koh Kong</t>
        </is>
      </c>
      <c r="B14" t="n">
        <v>90</v>
      </c>
      <c r="C14" t="n">
        <v>120</v>
      </c>
      <c r="D14" t="n">
        <v>90</v>
      </c>
      <c r="E14" t="n">
        <v>120</v>
      </c>
      <c r="F14" t="n">
        <v>90</v>
      </c>
      <c r="G14" t="n">
        <v>120</v>
      </c>
      <c r="H14" t="n">
        <v>0</v>
      </c>
      <c r="I14" t="n">
        <v>90</v>
      </c>
    </row>
    <row r="15">
      <c r="A15" t="inlineStr">
        <is>
          <t>Kratie</t>
        </is>
      </c>
      <c r="B15" t="n">
        <v>300</v>
      </c>
      <c r="C15" t="n">
        <v>300</v>
      </c>
      <c r="D15" t="n">
        <v>300</v>
      </c>
      <c r="E15" t="n">
        <v>300</v>
      </c>
      <c r="F15" t="n">
        <v>0</v>
      </c>
      <c r="G15" t="n">
        <v>300</v>
      </c>
      <c r="H15" t="n">
        <v>0</v>
      </c>
      <c r="I15" t="n">
        <v>0</v>
      </c>
    </row>
    <row r="16">
      <c r="A16" t="inlineStr">
        <is>
          <t>Mondul Kiri</t>
        </is>
      </c>
      <c r="B16" t="n">
        <v>286</v>
      </c>
      <c r="C16" t="n">
        <v>286</v>
      </c>
      <c r="D16" t="n">
        <v>286</v>
      </c>
      <c r="E16" t="n">
        <v>286</v>
      </c>
      <c r="F16" t="n">
        <v>286</v>
      </c>
      <c r="G16" t="n">
        <v>286</v>
      </c>
      <c r="H16" t="n">
        <v>0</v>
      </c>
      <c r="I16" t="n">
        <v>0</v>
      </c>
    </row>
    <row r="17">
      <c r="A17" t="inlineStr">
        <is>
          <t>Otdar Meanchey</t>
        </is>
      </c>
      <c r="B17" t="n">
        <v>100</v>
      </c>
      <c r="C17" t="n">
        <v>220</v>
      </c>
      <c r="D17" t="n">
        <v>100</v>
      </c>
      <c r="E17" t="n">
        <v>220</v>
      </c>
      <c r="F17" t="n">
        <v>100</v>
      </c>
      <c r="G17" t="n">
        <v>220</v>
      </c>
      <c r="H17" t="n">
        <v>0</v>
      </c>
      <c r="I17" t="n">
        <v>220</v>
      </c>
    </row>
    <row r="18">
      <c r="A18" t="inlineStr">
        <is>
          <t>Pailin</t>
        </is>
      </c>
      <c r="B18" t="n">
        <v>15</v>
      </c>
      <c r="C18" t="n">
        <v>150</v>
      </c>
      <c r="D18" t="n">
        <v>15</v>
      </c>
      <c r="E18" t="n">
        <v>150</v>
      </c>
      <c r="F18" t="n">
        <v>15</v>
      </c>
      <c r="G18" t="n">
        <v>150</v>
      </c>
      <c r="H18" t="n">
        <v>0</v>
      </c>
      <c r="I18" t="n">
        <v>120</v>
      </c>
    </row>
    <row r="19">
      <c r="A19" t="inlineStr">
        <is>
          <t>Phnom Penh</t>
        </is>
      </c>
      <c r="B19" t="n">
        <v>18</v>
      </c>
      <c r="C19" t="n">
        <v>11550</v>
      </c>
      <c r="D19" t="n">
        <v>18</v>
      </c>
      <c r="E19" t="n">
        <v>13600</v>
      </c>
      <c r="F19" t="n">
        <v>0</v>
      </c>
      <c r="G19" t="n">
        <v>14250</v>
      </c>
      <c r="H19" t="n">
        <v>0</v>
      </c>
      <c r="I19" t="n">
        <v>19713</v>
      </c>
    </row>
    <row r="20">
      <c r="A20" t="inlineStr">
        <is>
          <t>Preah Sihanouk</t>
        </is>
      </c>
      <c r="B20" t="n">
        <v>10</v>
      </c>
      <c r="C20" t="n">
        <v>1590</v>
      </c>
      <c r="D20" t="n">
        <v>10</v>
      </c>
      <c r="E20" t="n">
        <v>2000</v>
      </c>
      <c r="F20" t="n">
        <v>0</v>
      </c>
      <c r="G20" t="n">
        <v>2100</v>
      </c>
      <c r="H20" t="n">
        <v>0</v>
      </c>
      <c r="I20" t="n">
        <v>450</v>
      </c>
    </row>
    <row r="21">
      <c r="A21" t="inlineStr">
        <is>
          <t>Preah Vihear</t>
        </is>
      </c>
      <c r="B21" t="n">
        <v>210</v>
      </c>
      <c r="C21" t="n">
        <v>210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Prey Veng</t>
        </is>
      </c>
      <c r="B22" t="n">
        <v>30</v>
      </c>
      <c r="C22" t="n">
        <v>100</v>
      </c>
      <c r="D22" t="n">
        <v>100</v>
      </c>
      <c r="E22" t="n">
        <v>20000</v>
      </c>
      <c r="F22" t="n">
        <v>0</v>
      </c>
      <c r="G22" t="n">
        <v>100</v>
      </c>
      <c r="H22" t="n">
        <v>0</v>
      </c>
      <c r="I22" t="n">
        <v>0</v>
      </c>
    </row>
    <row r="23">
      <c r="A23" t="inlineStr">
        <is>
          <t>Ratanak Kiri</t>
        </is>
      </c>
      <c r="B23" t="n">
        <v>270</v>
      </c>
      <c r="C23" t="n">
        <v>580</v>
      </c>
      <c r="D23" t="n">
        <v>414</v>
      </c>
      <c r="E23" t="n">
        <v>580</v>
      </c>
      <c r="F23" t="n">
        <v>414</v>
      </c>
      <c r="G23" t="n">
        <v>580</v>
      </c>
      <c r="H23" t="n">
        <v>0</v>
      </c>
      <c r="I23" t="n">
        <v>580</v>
      </c>
    </row>
    <row r="24">
      <c r="A24" t="inlineStr">
        <is>
          <t>Siemreap</t>
        </is>
      </c>
      <c r="B24" t="n">
        <v>60</v>
      </c>
      <c r="C24" t="n">
        <v>4390</v>
      </c>
      <c r="D24" t="n">
        <v>60</v>
      </c>
      <c r="E24" t="n">
        <v>4390</v>
      </c>
      <c r="F24" t="n">
        <v>60</v>
      </c>
      <c r="G24" t="n">
        <v>6120</v>
      </c>
      <c r="H24" t="n">
        <v>0</v>
      </c>
      <c r="I24" t="n">
        <v>507</v>
      </c>
    </row>
    <row r="25">
      <c r="A25" t="inlineStr">
        <is>
          <t>Stung Treng</t>
        </is>
      </c>
      <c r="B25" t="n">
        <v>270</v>
      </c>
      <c r="C25" t="n">
        <v>580</v>
      </c>
      <c r="D25" t="n">
        <v>270</v>
      </c>
      <c r="E25" t="n">
        <v>580</v>
      </c>
      <c r="F25" t="n">
        <v>270</v>
      </c>
      <c r="G25" t="n">
        <v>580</v>
      </c>
      <c r="H25" t="n">
        <v>0</v>
      </c>
      <c r="I25" t="n">
        <v>0</v>
      </c>
    </row>
    <row r="26">
      <c r="A26" t="inlineStr">
        <is>
          <t>Svay Rieng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0</v>
      </c>
      <c r="I26" t="n">
        <v>0</v>
      </c>
    </row>
    <row r="27">
      <c r="A27" t="inlineStr">
        <is>
          <t>Takeo</t>
        </is>
      </c>
      <c r="B27" t="n">
        <v>16</v>
      </c>
      <c r="C27" t="n">
        <v>396</v>
      </c>
      <c r="D27" t="n">
        <v>16</v>
      </c>
      <c r="E27" t="n">
        <v>420</v>
      </c>
      <c r="F27" t="n">
        <v>16</v>
      </c>
      <c r="G27" t="n">
        <v>420</v>
      </c>
      <c r="H27" t="n">
        <v>0</v>
      </c>
      <c r="I27" t="n">
        <v>310</v>
      </c>
    </row>
    <row r="28">
      <c r="A28" t="inlineStr">
        <is>
          <t>Tbaung Khmum</t>
        </is>
      </c>
      <c r="B28" t="n">
        <v>100</v>
      </c>
      <c r="C28" t="n">
        <v>400</v>
      </c>
      <c r="D28" t="n">
        <v>200</v>
      </c>
      <c r="E28" t="n">
        <v>400</v>
      </c>
      <c r="F28" t="n">
        <v>220</v>
      </c>
      <c r="G28" t="n">
        <v>400</v>
      </c>
      <c r="H28" t="n">
        <v>0</v>
      </c>
      <c r="I28" t="n">
        <v>400</v>
      </c>
    </row>
    <row r="29">
      <c r="A29" t="inlineStr">
        <is>
          <t>Whole Kingdom</t>
        </is>
      </c>
      <c r="B29" t="n">
        <v>10</v>
      </c>
      <c r="C29" t="n">
        <v>11550</v>
      </c>
      <c r="D29" t="n">
        <v>10</v>
      </c>
      <c r="E29" t="n">
        <v>20000</v>
      </c>
      <c r="F29" t="n">
        <v>0</v>
      </c>
      <c r="G29" t="n">
        <v>14250</v>
      </c>
      <c r="H29" t="n">
        <v>0</v>
      </c>
      <c r="I29" t="n">
        <v>19713</v>
      </c>
    </row>
  </sheetData>
  <mergeCells count="7">
    <mergeCell ref="F3:G3"/>
    <mergeCell ref="A2:A4"/>
    <mergeCell ref="B3:C3"/>
    <mergeCell ref="B2:I2"/>
    <mergeCell ref="A1:I1"/>
    <mergeCell ref="D3:E3"/>
    <mergeCell ref="H3:I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F0000"/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22" customWidth="1" min="1" max="1"/>
    <col width="12.6640625" customWidth="1" min="2" max="2"/>
    <col width="12.83203125" customWidth="1" min="3" max="3"/>
    <col width="12.6640625" customWidth="1" min="6" max="6"/>
    <col width="12.83203125" customWidth="1" min="7" max="7"/>
    <col width="12.6640625" customWidth="1" min="11" max="11"/>
    <col width="12.83203125" customWidth="1" min="12" max="12"/>
  </cols>
  <sheetData>
    <row r="1">
      <c r="A1" t="inlineStr">
        <is>
          <t>Table 1: Schools, Classes, Students and Staff</t>
        </is>
      </c>
    </row>
    <row r="2">
      <c r="A2" t="inlineStr">
        <is>
          <t>Province</t>
        </is>
      </c>
      <c r="B2" t="inlineStr">
        <is>
          <t>School Fees Per Student in a Year (Currency US Dollar)</t>
        </is>
      </c>
    </row>
    <row r="3">
      <c r="B3" t="inlineStr">
        <is>
          <t>Grade 1</t>
        </is>
      </c>
      <c r="D3" t="inlineStr">
        <is>
          <t>Grade 2</t>
        </is>
      </c>
      <c r="F3" t="inlineStr">
        <is>
          <t>Grade 3</t>
        </is>
      </c>
      <c r="H3" t="inlineStr">
        <is>
          <t>Grade 4</t>
        </is>
      </c>
      <c r="J3" t="inlineStr">
        <is>
          <t>Grade 5</t>
        </is>
      </c>
      <c r="L3" t="inlineStr">
        <is>
          <t>Grade 6</t>
        </is>
      </c>
    </row>
    <row r="4">
      <c r="B4" t="inlineStr">
        <is>
          <t>Minimum</t>
        </is>
      </c>
      <c r="C4" t="inlineStr">
        <is>
          <t>Maximum</t>
        </is>
      </c>
      <c r="D4" t="inlineStr">
        <is>
          <t>Minimum</t>
        </is>
      </c>
      <c r="E4" t="inlineStr">
        <is>
          <t>Maximum</t>
        </is>
      </c>
      <c r="F4" t="inlineStr">
        <is>
          <t>Minimum</t>
        </is>
      </c>
      <c r="G4" t="inlineStr">
        <is>
          <t>Maximum</t>
        </is>
      </c>
      <c r="H4" t="inlineStr">
        <is>
          <t>Minimum</t>
        </is>
      </c>
      <c r="I4" t="inlineStr">
        <is>
          <t>Maximum</t>
        </is>
      </c>
      <c r="J4" t="inlineStr">
        <is>
          <t>Minimum</t>
        </is>
      </c>
      <c r="K4" t="inlineStr">
        <is>
          <t>Maximum</t>
        </is>
      </c>
      <c r="L4" t="inlineStr">
        <is>
          <t>Minimum</t>
        </is>
      </c>
      <c r="M4" t="inlineStr">
        <is>
          <t>Maximum</t>
        </is>
      </c>
    </row>
    <row r="5">
      <c r="A5" t="inlineStr">
        <is>
          <t>Banteay Meanchey</t>
        </is>
      </c>
      <c r="B5" t="n">
        <v>6</v>
      </c>
      <c r="C5" t="n">
        <v>880</v>
      </c>
      <c r="D5" t="n">
        <v>6</v>
      </c>
      <c r="E5" t="n">
        <v>1125</v>
      </c>
      <c r="F5" t="n">
        <v>6</v>
      </c>
      <c r="G5" t="n">
        <v>880</v>
      </c>
      <c r="H5" t="n">
        <v>6</v>
      </c>
      <c r="I5" t="n">
        <v>880</v>
      </c>
      <c r="J5" t="n">
        <v>6</v>
      </c>
      <c r="K5" t="n">
        <v>880</v>
      </c>
      <c r="L5" t="n">
        <v>6</v>
      </c>
      <c r="M5" t="n">
        <v>880</v>
      </c>
    </row>
    <row r="6">
      <c r="A6" t="inlineStr">
        <is>
          <t>Battambang</t>
        </is>
      </c>
      <c r="B6" t="n">
        <v>20</v>
      </c>
      <c r="C6" t="n">
        <v>3795</v>
      </c>
      <c r="D6" t="n">
        <v>20</v>
      </c>
      <c r="E6" t="n">
        <v>3795</v>
      </c>
      <c r="F6" t="n">
        <v>20</v>
      </c>
      <c r="G6" t="n">
        <v>3795</v>
      </c>
      <c r="H6" t="n">
        <v>20</v>
      </c>
      <c r="I6" t="n">
        <v>3795</v>
      </c>
      <c r="J6" t="n">
        <v>20</v>
      </c>
      <c r="K6" t="n">
        <v>3795</v>
      </c>
      <c r="L6" t="n">
        <v>20</v>
      </c>
      <c r="M6" t="n">
        <v>3795</v>
      </c>
    </row>
    <row r="7">
      <c r="A7" t="inlineStr">
        <is>
          <t>Kampong Cham</t>
        </is>
      </c>
      <c r="B7" t="n">
        <v>28</v>
      </c>
      <c r="C7" t="n">
        <v>600</v>
      </c>
      <c r="D7" t="n">
        <v>28</v>
      </c>
      <c r="E7" t="n">
        <v>600</v>
      </c>
      <c r="F7" t="n">
        <v>36</v>
      </c>
      <c r="G7" t="n">
        <v>600</v>
      </c>
      <c r="H7" t="n">
        <v>36</v>
      </c>
      <c r="I7" t="n">
        <v>600</v>
      </c>
      <c r="J7" t="n">
        <v>48</v>
      </c>
      <c r="K7" t="n">
        <v>600</v>
      </c>
      <c r="L7" t="n">
        <v>48</v>
      </c>
      <c r="M7" t="n">
        <v>600</v>
      </c>
    </row>
    <row r="8">
      <c r="A8" t="inlineStr">
        <is>
          <t>Kampong Chhnang</t>
        </is>
      </c>
      <c r="B8" t="n">
        <v>80</v>
      </c>
      <c r="C8" t="n">
        <v>400</v>
      </c>
      <c r="D8" t="n">
        <v>80</v>
      </c>
      <c r="E8" t="n">
        <v>400</v>
      </c>
      <c r="F8" t="n">
        <v>80</v>
      </c>
      <c r="G8" t="n">
        <v>460</v>
      </c>
      <c r="H8" t="n">
        <v>80</v>
      </c>
      <c r="I8" t="n">
        <v>460</v>
      </c>
      <c r="J8" t="n">
        <v>80</v>
      </c>
      <c r="K8" t="n">
        <v>520</v>
      </c>
      <c r="L8" t="n">
        <v>80</v>
      </c>
      <c r="M8" t="n">
        <v>520</v>
      </c>
    </row>
    <row r="9">
      <c r="A9" t="inlineStr">
        <is>
          <t>Kampong Speu</t>
        </is>
      </c>
      <c r="B9" t="n">
        <v>11</v>
      </c>
      <c r="C9" t="n">
        <v>7317</v>
      </c>
      <c r="D9" t="n">
        <v>12</v>
      </c>
      <c r="E9" t="n">
        <v>7317</v>
      </c>
      <c r="F9" t="n">
        <v>13</v>
      </c>
      <c r="G9" t="n">
        <v>7317</v>
      </c>
      <c r="H9" t="n">
        <v>13</v>
      </c>
      <c r="I9" t="n">
        <v>7317</v>
      </c>
      <c r="J9" t="n">
        <v>13</v>
      </c>
      <c r="K9" t="n">
        <v>7317</v>
      </c>
      <c r="L9" t="n">
        <v>13</v>
      </c>
      <c r="M9" t="n">
        <v>7317</v>
      </c>
    </row>
    <row r="10">
      <c r="A10" t="inlineStr">
        <is>
          <t>Kampong Thom</t>
        </is>
      </c>
      <c r="B10" t="n">
        <v>60</v>
      </c>
      <c r="C10" t="n">
        <v>500</v>
      </c>
      <c r="D10" t="n">
        <v>60</v>
      </c>
      <c r="E10" t="n">
        <v>500</v>
      </c>
      <c r="F10" t="n">
        <v>60</v>
      </c>
      <c r="G10" t="n">
        <v>520</v>
      </c>
      <c r="H10" t="n">
        <v>60</v>
      </c>
      <c r="I10" t="n">
        <v>520</v>
      </c>
      <c r="J10" t="n">
        <v>60</v>
      </c>
      <c r="K10" t="n">
        <v>540</v>
      </c>
      <c r="L10" t="n">
        <v>60</v>
      </c>
      <c r="M10" t="n">
        <v>540</v>
      </c>
    </row>
    <row r="11">
      <c r="A11" t="inlineStr">
        <is>
          <t>Kampot</t>
        </is>
      </c>
      <c r="B11" t="n">
        <v>50</v>
      </c>
      <c r="C11" t="n">
        <v>330</v>
      </c>
      <c r="D11" t="n">
        <v>50</v>
      </c>
      <c r="E11" t="n">
        <v>350</v>
      </c>
      <c r="F11" t="n">
        <v>50</v>
      </c>
      <c r="G11" t="n">
        <v>370</v>
      </c>
      <c r="H11" t="n">
        <v>50</v>
      </c>
      <c r="I11" t="n">
        <v>390</v>
      </c>
      <c r="J11" t="n">
        <v>50</v>
      </c>
      <c r="K11" t="n">
        <v>410</v>
      </c>
      <c r="L11" t="n">
        <v>50</v>
      </c>
      <c r="M11" t="n">
        <v>430</v>
      </c>
    </row>
    <row r="12">
      <c r="A12" t="inlineStr">
        <is>
          <t>Kandal</t>
        </is>
      </c>
      <c r="B12" t="n">
        <v>10</v>
      </c>
      <c r="C12" t="n">
        <v>1996</v>
      </c>
      <c r="D12" t="n">
        <v>10</v>
      </c>
      <c r="E12" t="n">
        <v>1996</v>
      </c>
      <c r="F12" t="n">
        <v>10</v>
      </c>
      <c r="G12" t="n">
        <v>1996</v>
      </c>
      <c r="H12" t="n">
        <v>10</v>
      </c>
      <c r="I12" t="n">
        <v>2100</v>
      </c>
      <c r="J12" t="n">
        <v>15</v>
      </c>
      <c r="K12" t="n">
        <v>2100</v>
      </c>
      <c r="L12" t="n">
        <v>15</v>
      </c>
      <c r="M12" t="n">
        <v>2100</v>
      </c>
    </row>
    <row r="13">
      <c r="A13" t="inlineStr">
        <is>
          <t>Kep</t>
        </is>
      </c>
      <c r="B13" t="n">
        <v>3000</v>
      </c>
      <c r="C13" t="n">
        <v>3000</v>
      </c>
      <c r="D13" t="n">
        <v>3000</v>
      </c>
      <c r="E13" t="n">
        <v>3000</v>
      </c>
      <c r="F13" t="n">
        <v>3000</v>
      </c>
      <c r="G13" t="n">
        <v>3000</v>
      </c>
      <c r="H13" t="n">
        <v>3000</v>
      </c>
      <c r="I13" t="n">
        <v>3000</v>
      </c>
      <c r="J13" t="n">
        <v>3000</v>
      </c>
      <c r="K13" t="n">
        <v>3000</v>
      </c>
      <c r="L13" t="n">
        <v>3000</v>
      </c>
      <c r="M13" t="n">
        <v>3000</v>
      </c>
    </row>
    <row r="14">
      <c r="A14" t="inlineStr">
        <is>
          <t>Koh Kong</t>
        </is>
      </c>
      <c r="B14" t="n">
        <v>90</v>
      </c>
      <c r="C14" t="n">
        <v>125</v>
      </c>
      <c r="D14" t="n">
        <v>90</v>
      </c>
      <c r="E14" t="n">
        <v>125</v>
      </c>
      <c r="F14" t="n">
        <v>90</v>
      </c>
      <c r="G14" t="n">
        <v>125</v>
      </c>
      <c r="H14" t="n">
        <v>90</v>
      </c>
      <c r="I14" t="n">
        <v>125</v>
      </c>
      <c r="J14" t="n">
        <v>90</v>
      </c>
      <c r="K14" t="n">
        <v>150</v>
      </c>
      <c r="L14" t="n">
        <v>90</v>
      </c>
      <c r="M14" t="n">
        <v>150</v>
      </c>
    </row>
    <row r="15">
      <c r="A15" t="inlineStr">
        <is>
          <t>Kratie</t>
        </is>
      </c>
      <c r="B15" t="n">
        <v>450</v>
      </c>
      <c r="C15" t="n">
        <v>450</v>
      </c>
      <c r="D15" t="n">
        <v>450</v>
      </c>
      <c r="E15" t="n">
        <v>450</v>
      </c>
      <c r="F15" t="n">
        <v>450</v>
      </c>
      <c r="G15" t="n">
        <v>450</v>
      </c>
      <c r="H15" t="n">
        <v>450</v>
      </c>
      <c r="I15" t="n">
        <v>450</v>
      </c>
      <c r="J15" t="n">
        <v>450</v>
      </c>
      <c r="K15" t="n">
        <v>450</v>
      </c>
      <c r="L15" t="n">
        <v>450</v>
      </c>
      <c r="M15" t="n">
        <v>450</v>
      </c>
    </row>
    <row r="16">
      <c r="A16" t="inlineStr">
        <is>
          <t>Mondul Kiri</t>
        </is>
      </c>
      <c r="B16" t="n">
        <v>280</v>
      </c>
      <c r="C16" t="n">
        <v>400</v>
      </c>
      <c r="D16" t="n">
        <v>280</v>
      </c>
      <c r="E16" t="n">
        <v>400</v>
      </c>
      <c r="F16" t="n">
        <v>280</v>
      </c>
      <c r="G16" t="n">
        <v>400</v>
      </c>
      <c r="H16" t="n">
        <v>280</v>
      </c>
      <c r="I16" t="n">
        <v>410</v>
      </c>
      <c r="J16" t="n">
        <v>300</v>
      </c>
      <c r="K16" t="n">
        <v>410</v>
      </c>
      <c r="L16" t="n">
        <v>300</v>
      </c>
      <c r="M16" t="n">
        <v>410</v>
      </c>
    </row>
    <row r="17">
      <c r="A17" t="inlineStr">
        <is>
          <t>Otdar Meanchey</t>
        </is>
      </c>
      <c r="B17" t="n">
        <v>15</v>
      </c>
      <c r="C17" t="n">
        <v>100</v>
      </c>
      <c r="D17" t="n">
        <v>15</v>
      </c>
      <c r="E17" t="n">
        <v>100</v>
      </c>
      <c r="F17" t="n">
        <v>15</v>
      </c>
      <c r="G17" t="n">
        <v>100</v>
      </c>
      <c r="H17" t="n">
        <v>15</v>
      </c>
      <c r="I17" t="n">
        <v>100</v>
      </c>
      <c r="J17" t="n">
        <v>15</v>
      </c>
      <c r="K17" t="n">
        <v>100</v>
      </c>
      <c r="L17" t="n">
        <v>15</v>
      </c>
      <c r="M17" t="n">
        <v>100</v>
      </c>
    </row>
    <row r="18">
      <c r="A18" t="inlineStr">
        <is>
          <t>Pailin</t>
        </is>
      </c>
      <c r="B18" t="n">
        <v>12</v>
      </c>
      <c r="C18" t="n">
        <v>165</v>
      </c>
      <c r="D18" t="n">
        <v>12</v>
      </c>
      <c r="E18" t="n">
        <v>165</v>
      </c>
      <c r="F18" t="n">
        <v>12</v>
      </c>
      <c r="G18" t="n">
        <v>165</v>
      </c>
      <c r="H18" t="n">
        <v>12</v>
      </c>
      <c r="I18" t="n">
        <v>180</v>
      </c>
      <c r="J18" t="n">
        <v>12</v>
      </c>
      <c r="K18" t="n">
        <v>180</v>
      </c>
      <c r="L18" t="n">
        <v>12</v>
      </c>
      <c r="M18" t="n">
        <v>180</v>
      </c>
    </row>
    <row r="19">
      <c r="A19" t="inlineStr">
        <is>
          <t>Phnom Penh</t>
        </is>
      </c>
      <c r="B19" t="n">
        <v>20</v>
      </c>
      <c r="C19" t="n">
        <v>19713</v>
      </c>
      <c r="D19" t="n">
        <v>20</v>
      </c>
      <c r="E19" t="n">
        <v>20241</v>
      </c>
      <c r="F19" t="n">
        <v>20</v>
      </c>
      <c r="G19" t="n">
        <v>20241</v>
      </c>
      <c r="H19" t="n">
        <v>20</v>
      </c>
      <c r="I19" t="n">
        <v>20241</v>
      </c>
      <c r="J19" t="n">
        <v>22</v>
      </c>
      <c r="K19" t="n">
        <v>20311</v>
      </c>
      <c r="L19" t="n">
        <v>22</v>
      </c>
      <c r="M19" t="n">
        <v>23790</v>
      </c>
    </row>
    <row r="20">
      <c r="A20" t="inlineStr">
        <is>
          <t>Preah Sihanouk</t>
        </is>
      </c>
      <c r="B20" t="n">
        <v>5</v>
      </c>
      <c r="C20" t="n">
        <v>2240</v>
      </c>
      <c r="D20" t="n">
        <v>5</v>
      </c>
      <c r="E20" t="n">
        <v>2240</v>
      </c>
      <c r="F20" t="n">
        <v>5</v>
      </c>
      <c r="G20" t="n">
        <v>2240</v>
      </c>
      <c r="H20" t="n">
        <v>5</v>
      </c>
      <c r="I20" t="n">
        <v>2240</v>
      </c>
      <c r="J20" t="n">
        <v>5</v>
      </c>
      <c r="K20" t="n">
        <v>2240</v>
      </c>
      <c r="L20" t="n">
        <v>5</v>
      </c>
      <c r="M20" t="n">
        <v>2240</v>
      </c>
    </row>
    <row r="21">
      <c r="A21" t="inlineStr">
        <is>
          <t>Preah Vihear</t>
        </is>
      </c>
      <c r="B21" t="n">
        <v>270</v>
      </c>
      <c r="C21" t="n">
        <v>270</v>
      </c>
      <c r="D21" t="n">
        <v>290</v>
      </c>
      <c r="E21" t="n">
        <v>290</v>
      </c>
      <c r="F21" t="n">
        <v>310</v>
      </c>
      <c r="G21" t="n">
        <v>310</v>
      </c>
      <c r="H21" t="n">
        <v>330</v>
      </c>
      <c r="I21" t="n">
        <v>330</v>
      </c>
      <c r="J21" t="n">
        <v>350</v>
      </c>
      <c r="K21" t="n">
        <v>350</v>
      </c>
      <c r="L21" t="n">
        <v>370</v>
      </c>
      <c r="M21" t="n">
        <v>370</v>
      </c>
    </row>
    <row r="22">
      <c r="A22" t="inlineStr">
        <is>
          <t>Prey Veng</t>
        </is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</row>
    <row r="23">
      <c r="A23" t="inlineStr">
        <is>
          <t>Pursat</t>
        </is>
      </c>
      <c r="B23" t="n">
        <v>380</v>
      </c>
      <c r="C23" t="n">
        <v>380</v>
      </c>
      <c r="D23" t="n">
        <v>380</v>
      </c>
      <c r="E23" t="n">
        <v>380</v>
      </c>
      <c r="F23" t="n">
        <v>380</v>
      </c>
      <c r="G23" t="n">
        <v>380</v>
      </c>
      <c r="H23" t="n">
        <v>380</v>
      </c>
      <c r="I23" t="n">
        <v>380</v>
      </c>
      <c r="J23" t="n">
        <v>380</v>
      </c>
      <c r="K23" t="n">
        <v>380</v>
      </c>
      <c r="L23" t="n">
        <v>380</v>
      </c>
      <c r="M23" t="n">
        <v>380</v>
      </c>
    </row>
    <row r="24">
      <c r="A24" t="inlineStr">
        <is>
          <t>Ratanak Kiri</t>
        </is>
      </c>
      <c r="B24" t="n">
        <v>270</v>
      </c>
      <c r="C24" t="n">
        <v>580</v>
      </c>
      <c r="D24" t="n">
        <v>270</v>
      </c>
      <c r="E24" t="n">
        <v>580</v>
      </c>
      <c r="F24" t="n">
        <v>282</v>
      </c>
      <c r="G24" t="n">
        <v>620</v>
      </c>
      <c r="H24" t="n">
        <v>282</v>
      </c>
      <c r="I24" t="n">
        <v>620</v>
      </c>
      <c r="J24" t="n">
        <v>306</v>
      </c>
      <c r="K24" t="n">
        <v>680</v>
      </c>
      <c r="L24" t="n">
        <v>306</v>
      </c>
      <c r="M24" t="n">
        <v>680</v>
      </c>
    </row>
    <row r="25">
      <c r="A25" t="inlineStr">
        <is>
          <t>Siemreap</t>
        </is>
      </c>
      <c r="B25" t="n">
        <v>10</v>
      </c>
      <c r="C25" t="n">
        <v>6120</v>
      </c>
      <c r="D25" t="n">
        <v>11</v>
      </c>
      <c r="E25" t="n">
        <v>6120</v>
      </c>
      <c r="F25" t="n">
        <v>12</v>
      </c>
      <c r="G25" t="n">
        <v>6120</v>
      </c>
      <c r="H25" t="n">
        <v>13</v>
      </c>
      <c r="I25" t="n">
        <v>6120</v>
      </c>
      <c r="J25" t="n">
        <v>14</v>
      </c>
      <c r="K25" t="n">
        <v>6120</v>
      </c>
      <c r="L25" t="n">
        <v>15</v>
      </c>
      <c r="M25" t="n">
        <v>6670</v>
      </c>
    </row>
    <row r="26">
      <c r="A26" t="inlineStr">
        <is>
          <t>Stung Treng</t>
        </is>
      </c>
      <c r="B26" t="n">
        <v>330</v>
      </c>
      <c r="C26" t="n">
        <v>580</v>
      </c>
      <c r="D26" t="n">
        <v>330</v>
      </c>
      <c r="E26" t="n">
        <v>580</v>
      </c>
      <c r="F26" t="n">
        <v>330</v>
      </c>
      <c r="G26" t="n">
        <v>620</v>
      </c>
      <c r="H26" t="n">
        <v>336</v>
      </c>
      <c r="I26" t="n">
        <v>620</v>
      </c>
      <c r="J26" t="n">
        <v>336</v>
      </c>
      <c r="K26" t="n">
        <v>680</v>
      </c>
      <c r="L26" t="n">
        <v>336</v>
      </c>
      <c r="M26" t="n">
        <v>680</v>
      </c>
    </row>
    <row r="27">
      <c r="A27" t="inlineStr">
        <is>
          <t>Svay Rieng</t>
        </is>
      </c>
      <c r="B27" t="n">
        <v>200</v>
      </c>
      <c r="C27" t="n">
        <v>220</v>
      </c>
      <c r="D27" t="n">
        <v>200</v>
      </c>
      <c r="E27" t="n">
        <v>220</v>
      </c>
      <c r="F27" t="n">
        <v>200</v>
      </c>
      <c r="G27" t="n">
        <v>250</v>
      </c>
      <c r="H27" t="n">
        <v>200</v>
      </c>
      <c r="I27" t="n">
        <v>250</v>
      </c>
      <c r="J27" t="n">
        <v>200</v>
      </c>
      <c r="K27" t="n">
        <v>250</v>
      </c>
      <c r="L27" t="n">
        <v>200</v>
      </c>
      <c r="M27" t="n">
        <v>250</v>
      </c>
    </row>
    <row r="28">
      <c r="A28" t="inlineStr">
        <is>
          <t>Takeo</t>
        </is>
      </c>
      <c r="B28" t="n">
        <v>15</v>
      </c>
      <c r="C28" t="n">
        <v>380</v>
      </c>
      <c r="D28" t="n">
        <v>16</v>
      </c>
      <c r="E28" t="n">
        <v>380</v>
      </c>
      <c r="F28" t="n">
        <v>17</v>
      </c>
      <c r="G28" t="n">
        <v>380</v>
      </c>
      <c r="H28" t="n">
        <v>17</v>
      </c>
      <c r="I28" t="n">
        <v>390</v>
      </c>
      <c r="J28" t="n">
        <v>17</v>
      </c>
      <c r="K28" t="n">
        <v>390</v>
      </c>
      <c r="L28" t="n">
        <v>17</v>
      </c>
      <c r="M28" t="n">
        <v>390</v>
      </c>
    </row>
    <row r="29">
      <c r="A29" t="inlineStr">
        <is>
          <t>Tbaung Khmum</t>
        </is>
      </c>
      <c r="B29" t="n">
        <v>45</v>
      </c>
      <c r="C29" t="n">
        <v>672</v>
      </c>
      <c r="D29" t="n">
        <v>45</v>
      </c>
      <c r="E29" t="n">
        <v>672</v>
      </c>
      <c r="F29" t="n">
        <v>45</v>
      </c>
      <c r="G29" t="n">
        <v>672</v>
      </c>
      <c r="H29" t="n">
        <v>45</v>
      </c>
      <c r="I29" t="n">
        <v>672</v>
      </c>
      <c r="J29" t="n">
        <v>45</v>
      </c>
      <c r="K29" t="n">
        <v>672</v>
      </c>
      <c r="L29" t="n">
        <v>45</v>
      </c>
      <c r="M29" t="n">
        <v>672</v>
      </c>
    </row>
    <row r="30">
      <c r="A30" t="inlineStr">
        <is>
          <t>Whole Kingdom</t>
        </is>
      </c>
      <c r="B30" t="n">
        <v>5</v>
      </c>
      <c r="C30" t="n">
        <v>19713</v>
      </c>
      <c r="D30" t="n">
        <v>5</v>
      </c>
      <c r="E30" t="n">
        <v>20241</v>
      </c>
      <c r="F30" t="n">
        <v>5</v>
      </c>
      <c r="G30" t="n">
        <v>20241</v>
      </c>
      <c r="H30" t="n">
        <v>5</v>
      </c>
      <c r="I30" t="n">
        <v>20241</v>
      </c>
      <c r="J30" t="n">
        <v>5</v>
      </c>
      <c r="K30" t="n">
        <v>20311</v>
      </c>
      <c r="L30" t="n">
        <v>5</v>
      </c>
      <c r="M30" t="n">
        <v>23790</v>
      </c>
    </row>
  </sheetData>
  <mergeCells count="9">
    <mergeCell ref="F3:G3"/>
    <mergeCell ref="L3:M3"/>
    <mergeCell ref="B2:M2"/>
    <mergeCell ref="J3:K3"/>
    <mergeCell ref="A1:M1"/>
    <mergeCell ref="A2:A4"/>
    <mergeCell ref="B3:C3"/>
    <mergeCell ref="D3:E3"/>
    <mergeCell ref="H3:I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F0000"/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1.83203125" customWidth="1" min="1" max="1"/>
    <col width="12.5" customWidth="1" min="2" max="2"/>
    <col width="12.6640625" customWidth="1" min="3" max="3"/>
    <col width="12.5" customWidth="1" min="5" max="5"/>
    <col width="12.6640625" customWidth="1" min="6" max="6"/>
    <col width="12.5" customWidth="1" min="7" max="7"/>
    <col width="12.6640625" customWidth="1" min="8" max="8"/>
    <col width="12.5" customWidth="1" min="10" max="10"/>
    <col width="12.6640625" customWidth="1" min="11" max="11"/>
    <col width="12.5" customWidth="1" min="12" max="12"/>
    <col width="12.6640625" customWidth="1" min="13" max="13"/>
  </cols>
  <sheetData>
    <row r="1">
      <c r="A1" t="inlineStr">
        <is>
          <t>Table 1: Schools, Classes, Students and Staff</t>
        </is>
      </c>
    </row>
    <row r="2">
      <c r="A2" t="inlineStr">
        <is>
          <t>Province</t>
        </is>
      </c>
      <c r="B2" t="inlineStr">
        <is>
          <t>School Fees Per Student in a Year (Currency US Dollar)</t>
        </is>
      </c>
    </row>
    <row r="3">
      <c r="B3" t="inlineStr">
        <is>
          <t>Grade 7</t>
        </is>
      </c>
      <c r="D3" t="inlineStr">
        <is>
          <t>Grade 8</t>
        </is>
      </c>
      <c r="F3" t="inlineStr">
        <is>
          <t>Grade 9</t>
        </is>
      </c>
      <c r="H3" t="inlineStr">
        <is>
          <t>Grade 10</t>
        </is>
      </c>
      <c r="J3" t="inlineStr">
        <is>
          <t>Grade 11</t>
        </is>
      </c>
      <c r="L3" t="inlineStr">
        <is>
          <t>Grade 12</t>
        </is>
      </c>
    </row>
    <row r="4">
      <c r="B4" t="inlineStr">
        <is>
          <t>Minimum</t>
        </is>
      </c>
      <c r="C4" t="inlineStr">
        <is>
          <t>Maximum</t>
        </is>
      </c>
      <c r="D4" t="inlineStr">
        <is>
          <t>Minimum</t>
        </is>
      </c>
      <c r="E4" t="inlineStr">
        <is>
          <t>Maximum</t>
        </is>
      </c>
      <c r="F4" t="inlineStr">
        <is>
          <t>Minimum</t>
        </is>
      </c>
      <c r="G4" t="inlineStr">
        <is>
          <t>Maximum</t>
        </is>
      </c>
      <c r="H4" t="inlineStr">
        <is>
          <t>Minimum</t>
        </is>
      </c>
      <c r="I4" t="inlineStr">
        <is>
          <t>Maximum</t>
        </is>
      </c>
      <c r="J4" t="inlineStr">
        <is>
          <t>Minimum</t>
        </is>
      </c>
      <c r="K4" t="inlineStr">
        <is>
          <t>Maximum</t>
        </is>
      </c>
      <c r="L4" t="inlineStr">
        <is>
          <t>Minimum</t>
        </is>
      </c>
      <c r="M4" t="inlineStr">
        <is>
          <t>Maximum</t>
        </is>
      </c>
    </row>
    <row r="5">
      <c r="A5" t="inlineStr">
        <is>
          <t>Banteay Meanchey</t>
        </is>
      </c>
      <c r="B5" t="n">
        <v>150</v>
      </c>
      <c r="C5" t="n">
        <v>980</v>
      </c>
      <c r="D5" t="n">
        <v>150</v>
      </c>
      <c r="E5" t="n">
        <v>980</v>
      </c>
      <c r="F5" t="n">
        <v>150</v>
      </c>
      <c r="G5" t="n">
        <v>980</v>
      </c>
      <c r="H5" t="n">
        <v>150</v>
      </c>
      <c r="I5" t="n">
        <v>1040</v>
      </c>
      <c r="J5" t="n">
        <v>150</v>
      </c>
      <c r="K5" t="n">
        <v>1040</v>
      </c>
      <c r="L5" t="n">
        <v>150</v>
      </c>
      <c r="M5" t="n">
        <v>1040</v>
      </c>
    </row>
    <row r="6">
      <c r="A6" t="inlineStr">
        <is>
          <t>Battambang</t>
        </is>
      </c>
      <c r="B6" t="n">
        <v>200</v>
      </c>
      <c r="C6" t="n">
        <v>1050</v>
      </c>
      <c r="D6" t="n">
        <v>200</v>
      </c>
      <c r="E6" t="n">
        <v>1050</v>
      </c>
      <c r="F6" t="n">
        <v>200</v>
      </c>
      <c r="G6" t="n">
        <v>1050</v>
      </c>
      <c r="H6" t="n">
        <v>200</v>
      </c>
      <c r="I6" t="n">
        <v>1100</v>
      </c>
      <c r="J6" t="n">
        <v>200</v>
      </c>
      <c r="K6" t="n">
        <v>1200</v>
      </c>
      <c r="L6" t="n">
        <v>200</v>
      </c>
      <c r="M6" t="n">
        <v>1300</v>
      </c>
    </row>
    <row r="7">
      <c r="A7" t="inlineStr">
        <is>
          <t>Kampong Cham</t>
        </is>
      </c>
      <c r="B7" t="n">
        <v>100</v>
      </c>
      <c r="C7" t="n">
        <v>600</v>
      </c>
      <c r="D7" t="n">
        <v>100</v>
      </c>
      <c r="E7" t="n">
        <v>600</v>
      </c>
      <c r="F7" t="n">
        <v>100</v>
      </c>
      <c r="G7" t="n">
        <v>600</v>
      </c>
      <c r="H7" t="n">
        <v>100</v>
      </c>
      <c r="I7" t="n">
        <v>650</v>
      </c>
      <c r="J7" t="n">
        <v>100</v>
      </c>
      <c r="K7" t="n">
        <v>650</v>
      </c>
      <c r="L7" t="n">
        <v>100</v>
      </c>
      <c r="M7" t="n">
        <v>650</v>
      </c>
    </row>
    <row r="8">
      <c r="A8" t="inlineStr">
        <is>
          <t>Kampong Chhnang</t>
        </is>
      </c>
      <c r="B8" t="n">
        <v>280</v>
      </c>
      <c r="C8" t="n">
        <v>495</v>
      </c>
      <c r="D8" t="n">
        <v>260</v>
      </c>
      <c r="E8" t="n">
        <v>495</v>
      </c>
      <c r="F8" t="n">
        <v>280</v>
      </c>
      <c r="G8" t="n">
        <v>495</v>
      </c>
      <c r="H8" t="n">
        <v>325</v>
      </c>
      <c r="I8" t="n">
        <v>550</v>
      </c>
      <c r="J8" t="n">
        <v>325</v>
      </c>
      <c r="K8" t="n">
        <v>550</v>
      </c>
      <c r="L8" t="n">
        <v>325</v>
      </c>
      <c r="M8" t="n">
        <v>550</v>
      </c>
    </row>
    <row r="9">
      <c r="A9" t="inlineStr">
        <is>
          <t>Kampong Speu</t>
        </is>
      </c>
      <c r="B9" t="n">
        <v>100</v>
      </c>
      <c r="C9" t="n">
        <v>820</v>
      </c>
      <c r="D9" t="n">
        <v>100</v>
      </c>
      <c r="E9" t="n">
        <v>860</v>
      </c>
      <c r="F9" t="n">
        <v>100</v>
      </c>
      <c r="G9" t="n">
        <v>900</v>
      </c>
      <c r="H9" t="n">
        <v>150</v>
      </c>
      <c r="I9" t="n">
        <v>1054</v>
      </c>
      <c r="J9" t="n">
        <v>150</v>
      </c>
      <c r="K9" t="n">
        <v>1065</v>
      </c>
      <c r="L9" t="n">
        <v>150</v>
      </c>
      <c r="M9" t="n">
        <v>1285</v>
      </c>
    </row>
    <row r="10">
      <c r="A10" t="inlineStr">
        <is>
          <t>Kampong Thom</t>
        </is>
      </c>
      <c r="B10" t="n">
        <v>171</v>
      </c>
      <c r="C10" t="n">
        <v>215</v>
      </c>
      <c r="D10" t="n">
        <v>181</v>
      </c>
      <c r="E10" t="n">
        <v>225</v>
      </c>
      <c r="F10" t="n">
        <v>191</v>
      </c>
      <c r="G10" t="n">
        <v>250</v>
      </c>
      <c r="H10" t="n">
        <v>225</v>
      </c>
      <c r="I10" t="n">
        <v>300</v>
      </c>
      <c r="J10" t="n">
        <v>225</v>
      </c>
      <c r="K10" t="n">
        <v>350</v>
      </c>
      <c r="L10" t="n">
        <v>225</v>
      </c>
      <c r="M10" t="n">
        <v>350</v>
      </c>
    </row>
    <row r="11">
      <c r="A11" t="inlineStr">
        <is>
          <t>Kampot</t>
        </is>
      </c>
      <c r="B11" t="n">
        <v>250</v>
      </c>
      <c r="C11" t="n">
        <v>460</v>
      </c>
      <c r="D11" t="n">
        <v>250</v>
      </c>
      <c r="E11" t="n">
        <v>460</v>
      </c>
      <c r="F11" t="n">
        <v>250</v>
      </c>
      <c r="G11" t="n">
        <v>500</v>
      </c>
      <c r="H11" t="n">
        <v>200</v>
      </c>
      <c r="I11" t="n">
        <v>500</v>
      </c>
      <c r="J11" t="n">
        <v>200</v>
      </c>
      <c r="K11" t="n">
        <v>550</v>
      </c>
      <c r="L11" t="n">
        <v>220</v>
      </c>
      <c r="M11" t="n">
        <v>550</v>
      </c>
    </row>
    <row r="12">
      <c r="A12" t="inlineStr">
        <is>
          <t>Kandal</t>
        </is>
      </c>
      <c r="B12" t="n">
        <v>40</v>
      </c>
      <c r="C12" t="n">
        <v>1000</v>
      </c>
      <c r="D12" t="n">
        <v>40</v>
      </c>
      <c r="E12" t="n">
        <v>1000</v>
      </c>
      <c r="F12" t="n">
        <v>40</v>
      </c>
      <c r="G12" t="n">
        <v>1000</v>
      </c>
      <c r="H12" t="n">
        <v>45</v>
      </c>
      <c r="I12" t="n">
        <v>1100</v>
      </c>
      <c r="J12" t="n">
        <v>45</v>
      </c>
      <c r="K12" t="n">
        <v>1200</v>
      </c>
      <c r="L12" t="n">
        <v>45</v>
      </c>
      <c r="M12" t="n">
        <v>1300</v>
      </c>
    </row>
    <row r="13">
      <c r="A13" t="inlineStr">
        <is>
          <t>Kratie</t>
        </is>
      </c>
      <c r="B13" t="n">
        <v>550</v>
      </c>
      <c r="C13" t="n">
        <v>550</v>
      </c>
      <c r="D13" t="n">
        <v>550</v>
      </c>
      <c r="E13" t="n">
        <v>550</v>
      </c>
      <c r="F13" t="n">
        <v>650</v>
      </c>
      <c r="G13" t="n">
        <v>650</v>
      </c>
      <c r="H13" t="n">
        <v>700</v>
      </c>
      <c r="I13" t="n">
        <v>700</v>
      </c>
      <c r="J13" t="n">
        <v>700</v>
      </c>
      <c r="K13" t="n">
        <v>700</v>
      </c>
      <c r="L13" t="n">
        <v>800</v>
      </c>
      <c r="M13" t="n">
        <v>800</v>
      </c>
    </row>
    <row r="14">
      <c r="A14" t="inlineStr">
        <is>
          <t>Mondul Kiri</t>
        </is>
      </c>
      <c r="B14" t="n">
        <v>500</v>
      </c>
      <c r="C14" t="n">
        <v>500</v>
      </c>
      <c r="D14" t="n">
        <v>500</v>
      </c>
      <c r="E14" t="n">
        <v>500</v>
      </c>
      <c r="F14" t="n">
        <v>500</v>
      </c>
      <c r="G14" t="n">
        <v>500</v>
      </c>
      <c r="H14" t="n">
        <v>500</v>
      </c>
      <c r="I14" t="n">
        <v>500</v>
      </c>
      <c r="J14" t="n">
        <v>500</v>
      </c>
      <c r="K14" t="n">
        <v>500</v>
      </c>
      <c r="L14" t="n">
        <v>500</v>
      </c>
      <c r="M14" t="n">
        <v>500</v>
      </c>
    </row>
    <row r="15">
      <c r="A15" t="inlineStr">
        <is>
          <t>Phnom Penh</t>
        </is>
      </c>
      <c r="B15" t="n">
        <v>35</v>
      </c>
      <c r="C15" t="n">
        <v>24065</v>
      </c>
      <c r="D15" t="n">
        <v>40</v>
      </c>
      <c r="E15" t="n">
        <v>24065</v>
      </c>
      <c r="F15" t="n">
        <v>40</v>
      </c>
      <c r="G15" t="n">
        <v>24065</v>
      </c>
      <c r="H15" t="n">
        <v>40</v>
      </c>
      <c r="I15" t="n">
        <v>24065</v>
      </c>
      <c r="J15" t="n">
        <v>40</v>
      </c>
      <c r="K15" t="n">
        <v>25728</v>
      </c>
      <c r="L15" t="n">
        <v>40</v>
      </c>
      <c r="M15" t="n">
        <v>25728</v>
      </c>
    </row>
    <row r="16">
      <c r="A16" t="inlineStr">
        <is>
          <t>Preah Sihanouk</t>
        </is>
      </c>
      <c r="B16" t="n">
        <v>7</v>
      </c>
      <c r="C16" t="n">
        <v>2840</v>
      </c>
      <c r="D16" t="n">
        <v>7</v>
      </c>
      <c r="E16" t="n">
        <v>2840</v>
      </c>
      <c r="F16" t="n">
        <v>7</v>
      </c>
      <c r="G16" t="n">
        <v>4040</v>
      </c>
      <c r="H16" t="n">
        <v>7</v>
      </c>
      <c r="I16" t="n">
        <v>4040</v>
      </c>
      <c r="J16" t="n">
        <v>7</v>
      </c>
      <c r="K16" t="n">
        <v>4046</v>
      </c>
      <c r="L16" t="n">
        <v>7</v>
      </c>
      <c r="M16" t="n">
        <v>4040</v>
      </c>
    </row>
    <row r="17">
      <c r="A17" t="inlineStr">
        <is>
          <t>Ratanak Kiri</t>
        </is>
      </c>
      <c r="B17" t="n">
        <v>325</v>
      </c>
      <c r="C17" t="n">
        <v>860</v>
      </c>
      <c r="D17" t="n">
        <v>325</v>
      </c>
      <c r="E17" t="n">
        <v>860</v>
      </c>
      <c r="F17" t="n">
        <v>325</v>
      </c>
      <c r="G17" t="n">
        <v>860</v>
      </c>
      <c r="H17" t="n">
        <v>325</v>
      </c>
      <c r="I17" t="n">
        <v>860</v>
      </c>
      <c r="J17" t="n">
        <v>325</v>
      </c>
      <c r="K17" t="n">
        <v>860</v>
      </c>
      <c r="L17" t="n">
        <v>325</v>
      </c>
      <c r="M17" t="n">
        <v>950</v>
      </c>
    </row>
    <row r="18">
      <c r="A18" t="inlineStr">
        <is>
          <t>Siemreap</t>
        </is>
      </c>
      <c r="B18" t="n">
        <v>390</v>
      </c>
      <c r="C18" t="n">
        <v>1449</v>
      </c>
      <c r="D18" t="n">
        <v>390</v>
      </c>
      <c r="E18" t="n">
        <v>1518</v>
      </c>
      <c r="F18" t="n">
        <v>420</v>
      </c>
      <c r="G18" t="n">
        <v>1659</v>
      </c>
      <c r="H18" t="n">
        <v>410</v>
      </c>
      <c r="I18" t="n">
        <v>1725</v>
      </c>
      <c r="J18" t="n">
        <v>410</v>
      </c>
      <c r="K18" t="n">
        <v>1725</v>
      </c>
      <c r="L18" t="n">
        <v>490</v>
      </c>
      <c r="M18" t="n">
        <v>1794</v>
      </c>
    </row>
    <row r="19">
      <c r="A19" t="inlineStr">
        <is>
          <t>Takeo</t>
        </is>
      </c>
      <c r="B19" t="n">
        <v>30</v>
      </c>
      <c r="C19" t="n">
        <v>480</v>
      </c>
      <c r="D19" t="n">
        <v>30</v>
      </c>
      <c r="E19" t="n">
        <v>480</v>
      </c>
      <c r="F19" t="n">
        <v>30</v>
      </c>
      <c r="G19" t="n">
        <v>500</v>
      </c>
      <c r="H19" t="n">
        <v>35</v>
      </c>
      <c r="I19" t="n">
        <v>500</v>
      </c>
      <c r="J19" t="n">
        <v>35</v>
      </c>
      <c r="K19" t="n">
        <v>520</v>
      </c>
      <c r="L19" t="n">
        <v>35</v>
      </c>
      <c r="M19" t="n">
        <v>520</v>
      </c>
    </row>
    <row r="20">
      <c r="A20" t="inlineStr">
        <is>
          <t>Tbaung Khmum</t>
        </is>
      </c>
      <c r="B20" t="n">
        <v>75</v>
      </c>
      <c r="C20" t="n">
        <v>75</v>
      </c>
      <c r="D20" t="n">
        <v>75</v>
      </c>
      <c r="E20" t="n">
        <v>75</v>
      </c>
      <c r="F20" t="n">
        <v>75</v>
      </c>
      <c r="G20" t="n">
        <v>75</v>
      </c>
      <c r="H20" t="n">
        <v>75</v>
      </c>
      <c r="I20" t="n">
        <v>75</v>
      </c>
      <c r="J20" t="n">
        <v>75</v>
      </c>
      <c r="K20" t="n">
        <v>75</v>
      </c>
      <c r="L20" t="n">
        <v>75</v>
      </c>
      <c r="M20" t="n">
        <v>75</v>
      </c>
    </row>
    <row r="21">
      <c r="A21" t="inlineStr">
        <is>
          <t>Whole Kingdom</t>
        </is>
      </c>
      <c r="B21" t="n">
        <v>7</v>
      </c>
      <c r="C21" t="n">
        <v>24065</v>
      </c>
      <c r="D21" t="n">
        <v>7</v>
      </c>
      <c r="E21" t="n">
        <v>24065</v>
      </c>
      <c r="F21" t="n">
        <v>7</v>
      </c>
      <c r="G21" t="n">
        <v>24065</v>
      </c>
      <c r="H21" t="n">
        <v>7</v>
      </c>
      <c r="I21" t="n">
        <v>24065</v>
      </c>
      <c r="J21" t="n">
        <v>7</v>
      </c>
      <c r="K21" t="n">
        <v>25728</v>
      </c>
      <c r="L21" t="n">
        <v>7</v>
      </c>
      <c r="M21" t="n">
        <v>25728</v>
      </c>
    </row>
  </sheetData>
  <mergeCells count="9">
    <mergeCell ref="F3:G3"/>
    <mergeCell ref="L3:M3"/>
    <mergeCell ref="B2:M2"/>
    <mergeCell ref="J3:K3"/>
    <mergeCell ref="A1:M1"/>
    <mergeCell ref="A2:A4"/>
    <mergeCell ref="B3:C3"/>
    <mergeCell ref="D3:E3"/>
    <mergeCell ref="H3:I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7030A0"/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cols>
    <col width="18.83203125" customWidth="1" min="1" max="1"/>
    <col width="6.5" customWidth="1" min="2" max="2"/>
    <col width="6.6640625" customWidth="1" min="3" max="3"/>
    <col width="6.5" customWidth="1" min="7" max="7"/>
    <col width="6.6640625" customWidth="1" min="8" max="8"/>
    <col width="6.5" customWidth="1" min="12" max="12"/>
    <col width="6.6640625" customWidth="1" min="13" max="13"/>
    <col width="6.5" customWidth="1" min="17" max="17"/>
    <col width="6.6640625" customWidth="1" min="18" max="18"/>
    <col width="6.5" customWidth="1" min="22" max="22"/>
    <col width="6.6640625" customWidth="1" min="23" max="23"/>
    <col width="10.1640625" customWidth="1" min="26" max="26"/>
  </cols>
  <sheetData>
    <row r="1">
      <c r="A1" t="inlineStr">
        <is>
          <t>Table 1: Schools, Classes, Students and Staff</t>
        </is>
      </c>
    </row>
    <row r="2">
      <c r="A2" t="inlineStr">
        <is>
          <t>Province</t>
        </is>
      </c>
      <c r="B2" t="inlineStr">
        <is>
          <t>Grooss Admission Rate(GAR)</t>
        </is>
      </c>
      <c r="E2" t="inlineStr">
        <is>
          <t>Net Admission Rate(NAR)</t>
        </is>
      </c>
      <c r="H2" t="inlineStr">
        <is>
          <t>Gross Enrollment Rate (GER)</t>
        </is>
      </c>
      <c r="Q2" t="inlineStr">
        <is>
          <t>Net Enrollment Rate (NER)</t>
        </is>
      </c>
    </row>
    <row r="3">
      <c r="H3" t="inlineStr">
        <is>
          <t>Total</t>
        </is>
      </c>
      <c r="K3" t="inlineStr">
        <is>
          <t>Girl</t>
        </is>
      </c>
      <c r="N3" t="inlineStr">
        <is>
          <t>Boy</t>
        </is>
      </c>
      <c r="Q3" t="inlineStr">
        <is>
          <t>Total</t>
        </is>
      </c>
      <c r="T3" t="inlineStr">
        <is>
          <t>Girl</t>
        </is>
      </c>
      <c r="W3" t="inlineStr">
        <is>
          <t>Boy</t>
        </is>
      </c>
    </row>
    <row r="4">
      <c r="B4" t="inlineStr">
        <is>
          <t>Total</t>
        </is>
      </c>
      <c r="C4" t="inlineStr">
        <is>
          <t>Girl</t>
        </is>
      </c>
      <c r="D4" t="inlineStr">
        <is>
          <t>Boy</t>
        </is>
      </c>
      <c r="E4" t="inlineStr">
        <is>
          <t>Total</t>
        </is>
      </c>
      <c r="F4" t="inlineStr">
        <is>
          <t>Girl</t>
        </is>
      </c>
      <c r="G4" t="inlineStr">
        <is>
          <t>Boy</t>
        </is>
      </c>
      <c r="H4" t="inlineStr">
        <is>
          <t>Pri</t>
        </is>
      </c>
      <c r="I4" t="inlineStr">
        <is>
          <t>L.Sec</t>
        </is>
      </c>
      <c r="J4" t="inlineStr">
        <is>
          <t>U.Sec</t>
        </is>
      </c>
      <c r="K4" t="inlineStr">
        <is>
          <t>Pri</t>
        </is>
      </c>
      <c r="L4" t="inlineStr">
        <is>
          <t>L.Sec</t>
        </is>
      </c>
      <c r="M4" t="inlineStr">
        <is>
          <t>U.Sec</t>
        </is>
      </c>
      <c r="N4" t="inlineStr">
        <is>
          <t>Pri</t>
        </is>
      </c>
      <c r="O4" t="inlineStr">
        <is>
          <t>L.Sec</t>
        </is>
      </c>
      <c r="P4" t="inlineStr">
        <is>
          <t>U.Sec</t>
        </is>
      </c>
      <c r="Q4" t="inlineStr">
        <is>
          <t>Pri</t>
        </is>
      </c>
      <c r="R4" t="inlineStr">
        <is>
          <t>L.Sec</t>
        </is>
      </c>
      <c r="S4" t="inlineStr">
        <is>
          <t>U.Sec</t>
        </is>
      </c>
      <c r="T4" t="inlineStr">
        <is>
          <t>Pri</t>
        </is>
      </c>
      <c r="U4" t="inlineStr">
        <is>
          <t>L.Sec</t>
        </is>
      </c>
      <c r="V4" t="inlineStr">
        <is>
          <t>U.Sec</t>
        </is>
      </c>
      <c r="W4" t="inlineStr">
        <is>
          <t>Pri</t>
        </is>
      </c>
      <c r="X4" t="inlineStr">
        <is>
          <t>L.Sec</t>
        </is>
      </c>
      <c r="Y4" t="inlineStr">
        <is>
          <t>U.Sec</t>
        </is>
      </c>
    </row>
    <row r="5">
      <c r="A5" t="inlineStr">
        <is>
          <t>Banteay Meanchey</t>
        </is>
      </c>
      <c r="B5" t="n">
        <v>15.1</v>
      </c>
      <c r="C5" t="n">
        <v>14.9</v>
      </c>
      <c r="D5" t="n">
        <v>15.3</v>
      </c>
      <c r="E5" t="n">
        <v>7.3</v>
      </c>
      <c r="F5" t="n">
        <v>7.5</v>
      </c>
      <c r="G5" t="n">
        <v>7.1</v>
      </c>
      <c r="H5" t="n">
        <v>11.5</v>
      </c>
      <c r="I5" t="n">
        <v>6.9</v>
      </c>
      <c r="J5" t="n">
        <v>3.8</v>
      </c>
      <c r="K5" t="n">
        <v>11.6</v>
      </c>
      <c r="L5" t="n">
        <v>7.4</v>
      </c>
      <c r="M5" t="n">
        <v>4</v>
      </c>
      <c r="N5" t="n">
        <v>11.3</v>
      </c>
      <c r="O5" t="n">
        <v>6.4</v>
      </c>
      <c r="P5" t="n">
        <v>3.6</v>
      </c>
      <c r="Q5" t="n">
        <v>9.800000000000001</v>
      </c>
      <c r="R5" t="n">
        <v>4.8</v>
      </c>
      <c r="S5" t="n">
        <v>3</v>
      </c>
      <c r="T5" t="n">
        <v>10.2</v>
      </c>
      <c r="U5" t="n">
        <v>5.4</v>
      </c>
      <c r="V5" t="n">
        <v>3.3</v>
      </c>
      <c r="W5" t="n">
        <v>9.5</v>
      </c>
      <c r="X5" t="n">
        <v>4.3</v>
      </c>
      <c r="Y5" t="n">
        <v>2.7</v>
      </c>
    </row>
    <row r="6">
      <c r="A6" t="inlineStr">
        <is>
          <t>Battambang</t>
        </is>
      </c>
      <c r="B6" t="n">
        <v>4.4</v>
      </c>
      <c r="C6" t="n">
        <v>4.2</v>
      </c>
      <c r="D6" t="n">
        <v>4.7</v>
      </c>
      <c r="E6" t="n">
        <v>3.1</v>
      </c>
      <c r="F6" t="n">
        <v>3</v>
      </c>
      <c r="G6" t="n">
        <v>3.1</v>
      </c>
      <c r="H6" t="n">
        <v>3.4</v>
      </c>
      <c r="I6" t="n">
        <v>2.9</v>
      </c>
      <c r="J6" t="n">
        <v>2.8</v>
      </c>
      <c r="K6" t="n">
        <v>3.3</v>
      </c>
      <c r="L6" t="n">
        <v>3</v>
      </c>
      <c r="M6" t="n">
        <v>3.1</v>
      </c>
      <c r="N6" t="n">
        <v>3.6</v>
      </c>
      <c r="O6" t="n">
        <v>2.7</v>
      </c>
      <c r="P6" t="n">
        <v>2.5</v>
      </c>
      <c r="Q6" t="n">
        <v>3.1</v>
      </c>
      <c r="R6" t="n">
        <v>2.2</v>
      </c>
      <c r="S6" t="n">
        <v>2.1</v>
      </c>
      <c r="T6" t="n">
        <v>3</v>
      </c>
      <c r="U6" t="n">
        <v>2.4</v>
      </c>
      <c r="V6" t="n">
        <v>2.4</v>
      </c>
      <c r="W6" t="n">
        <v>3.2</v>
      </c>
      <c r="X6" t="n">
        <v>2</v>
      </c>
      <c r="Y6" t="n">
        <v>1.8</v>
      </c>
    </row>
    <row r="7">
      <c r="A7" t="inlineStr">
        <is>
          <t>Kampong Cham</t>
        </is>
      </c>
      <c r="B7" t="n">
        <v>2.6</v>
      </c>
      <c r="C7" t="n">
        <v>2.6</v>
      </c>
      <c r="D7" t="n">
        <v>2.6</v>
      </c>
      <c r="E7" t="n">
        <v>1</v>
      </c>
      <c r="F7" t="n">
        <v>1.1</v>
      </c>
      <c r="G7" t="n">
        <v>1</v>
      </c>
      <c r="H7" t="n">
        <v>2.1</v>
      </c>
      <c r="I7" t="n">
        <v>1.3</v>
      </c>
      <c r="J7" t="n">
        <v>0.7</v>
      </c>
      <c r="K7" t="n">
        <v>2.2</v>
      </c>
      <c r="L7" t="n">
        <v>1.3</v>
      </c>
      <c r="M7" t="n">
        <v>0.6</v>
      </c>
      <c r="N7" t="n">
        <v>2</v>
      </c>
      <c r="O7" t="n">
        <v>1.2</v>
      </c>
      <c r="P7" t="n">
        <v>0.7</v>
      </c>
      <c r="Q7" t="n">
        <v>1.6</v>
      </c>
      <c r="R7" t="n">
        <v>1.1</v>
      </c>
      <c r="S7" t="n">
        <v>0.6</v>
      </c>
      <c r="T7" t="n">
        <v>1.7</v>
      </c>
      <c r="U7" t="n">
        <v>1.2</v>
      </c>
      <c r="V7" t="n">
        <v>0.5</v>
      </c>
      <c r="W7" t="n">
        <v>1.6</v>
      </c>
      <c r="X7" t="n">
        <v>1.1</v>
      </c>
      <c r="Y7" t="n">
        <v>0.6</v>
      </c>
    </row>
    <row r="8">
      <c r="A8" t="inlineStr">
        <is>
          <t>Kampong Chhnang</t>
        </is>
      </c>
      <c r="B8" t="n">
        <v>4</v>
      </c>
      <c r="C8" t="n">
        <v>3.5</v>
      </c>
      <c r="D8" t="n">
        <v>4.5</v>
      </c>
      <c r="E8" t="n">
        <v>3.1</v>
      </c>
      <c r="F8" t="n">
        <v>2.9</v>
      </c>
      <c r="G8" t="n">
        <v>3.4</v>
      </c>
      <c r="H8" t="n">
        <v>3.1</v>
      </c>
      <c r="I8" t="n">
        <v>1.9</v>
      </c>
      <c r="J8" t="n">
        <v>1.1</v>
      </c>
      <c r="K8" t="n">
        <v>2.8</v>
      </c>
      <c r="L8" t="n">
        <v>1.5</v>
      </c>
      <c r="M8" t="n">
        <v>0.7</v>
      </c>
      <c r="N8" t="n">
        <v>3.3</v>
      </c>
      <c r="O8" t="n">
        <v>2.3</v>
      </c>
      <c r="P8" t="n">
        <v>1.4</v>
      </c>
      <c r="Q8" t="n">
        <v>2.9</v>
      </c>
      <c r="R8" t="n">
        <v>1.5</v>
      </c>
      <c r="S8" t="n">
        <v>0.9</v>
      </c>
      <c r="T8" t="n">
        <v>2.7</v>
      </c>
      <c r="U8" t="n">
        <v>1.2</v>
      </c>
      <c r="V8" t="n">
        <v>0.6</v>
      </c>
      <c r="W8" t="n">
        <v>3.2</v>
      </c>
      <c r="X8" t="n">
        <v>1.9</v>
      </c>
      <c r="Y8" t="n">
        <v>1.1</v>
      </c>
    </row>
    <row r="9">
      <c r="A9" t="inlineStr">
        <is>
          <t>Kampong Speu</t>
        </is>
      </c>
      <c r="B9" t="n">
        <v>6.8</v>
      </c>
      <c r="C9" t="n">
        <v>6.7</v>
      </c>
      <c r="D9" t="n">
        <v>7</v>
      </c>
      <c r="E9" t="n">
        <v>5</v>
      </c>
      <c r="F9" t="n">
        <v>4.8</v>
      </c>
      <c r="G9" t="n">
        <v>5.2</v>
      </c>
      <c r="H9" t="n">
        <v>4.4</v>
      </c>
      <c r="I9" t="n">
        <v>1.2</v>
      </c>
      <c r="J9" t="n">
        <v>0.4</v>
      </c>
      <c r="K9" t="n">
        <v>4.3</v>
      </c>
      <c r="L9" t="n">
        <v>1.2</v>
      </c>
      <c r="M9" t="n">
        <v>0.4</v>
      </c>
      <c r="N9" t="n">
        <v>4.5</v>
      </c>
      <c r="O9" t="n">
        <v>1.2</v>
      </c>
      <c r="P9" t="n">
        <v>0.4</v>
      </c>
      <c r="Q9" t="n">
        <v>3.9</v>
      </c>
      <c r="R9" t="n">
        <v>0.9</v>
      </c>
      <c r="S9" t="n">
        <v>0.3</v>
      </c>
      <c r="T9" t="n">
        <v>3.8</v>
      </c>
      <c r="U9" t="n">
        <v>0.9</v>
      </c>
      <c r="V9" t="n">
        <v>0.3</v>
      </c>
      <c r="W9" t="n">
        <v>3.9</v>
      </c>
      <c r="X9" t="n">
        <v>0.9</v>
      </c>
      <c r="Y9" t="n">
        <v>0.3</v>
      </c>
    </row>
    <row r="10">
      <c r="A10" t="inlineStr">
        <is>
          <t>Kampong Thom</t>
        </is>
      </c>
      <c r="B10" t="n">
        <v>6.2</v>
      </c>
      <c r="C10" t="n">
        <v>6.1</v>
      </c>
      <c r="D10" t="n">
        <v>6.2</v>
      </c>
      <c r="E10" t="n">
        <v>5.5</v>
      </c>
      <c r="F10" t="n">
        <v>5.6</v>
      </c>
      <c r="G10" t="n">
        <v>5.4</v>
      </c>
      <c r="H10" t="n">
        <v>3.6</v>
      </c>
      <c r="I10" t="n">
        <v>1.2</v>
      </c>
      <c r="J10" t="n">
        <v>0.5</v>
      </c>
      <c r="K10" t="n">
        <v>3.6</v>
      </c>
      <c r="L10" t="n">
        <v>1.3</v>
      </c>
      <c r="M10" t="n">
        <v>0.5</v>
      </c>
      <c r="N10" t="n">
        <v>3.7</v>
      </c>
      <c r="O10" t="n">
        <v>1.2</v>
      </c>
      <c r="P10" t="n">
        <v>0.6</v>
      </c>
      <c r="Q10" t="n">
        <v>3.4</v>
      </c>
      <c r="R10" t="n">
        <v>1</v>
      </c>
      <c r="S10" t="n">
        <v>0.4</v>
      </c>
      <c r="T10" t="n">
        <v>3.4</v>
      </c>
      <c r="U10" t="n">
        <v>1.1</v>
      </c>
      <c r="V10" t="n">
        <v>0.3</v>
      </c>
      <c r="W10" t="n">
        <v>3.5</v>
      </c>
      <c r="X10" t="n">
        <v>0.9</v>
      </c>
      <c r="Y10" t="n">
        <v>0.4</v>
      </c>
    </row>
    <row r="11">
      <c r="A11" t="inlineStr">
        <is>
          <t>Kampot</t>
        </is>
      </c>
      <c r="B11" t="n">
        <v>11</v>
      </c>
      <c r="C11" t="n">
        <v>11.9</v>
      </c>
      <c r="D11" t="n">
        <v>10.2</v>
      </c>
      <c r="E11" t="n">
        <v>4.1</v>
      </c>
      <c r="F11" t="n">
        <v>4.4</v>
      </c>
      <c r="G11" t="n">
        <v>3.9</v>
      </c>
      <c r="H11" t="n">
        <v>7.3</v>
      </c>
      <c r="I11" t="n">
        <v>4</v>
      </c>
      <c r="J11" t="n">
        <v>3</v>
      </c>
      <c r="K11" t="n">
        <v>7.9</v>
      </c>
      <c r="L11" t="n">
        <v>4</v>
      </c>
      <c r="M11" t="n">
        <v>3.3</v>
      </c>
      <c r="N11" t="n">
        <v>6.7</v>
      </c>
      <c r="O11" t="n">
        <v>3.9</v>
      </c>
      <c r="P11" t="n">
        <v>2.8</v>
      </c>
      <c r="Q11" t="n">
        <v>4.1</v>
      </c>
      <c r="R11" t="n">
        <v>2.4</v>
      </c>
      <c r="S11" t="n">
        <v>2.1</v>
      </c>
      <c r="T11" t="n">
        <v>4.6</v>
      </c>
      <c r="U11" t="n">
        <v>2.6</v>
      </c>
      <c r="V11" t="n">
        <v>2.4</v>
      </c>
      <c r="W11" t="n">
        <v>3.6</v>
      </c>
      <c r="X11" t="n">
        <v>2.2</v>
      </c>
      <c r="Y11" t="n">
        <v>1.9</v>
      </c>
    </row>
    <row r="12">
      <c r="A12" t="inlineStr">
        <is>
          <t>Kandal</t>
        </is>
      </c>
      <c r="B12" t="n">
        <v>7.2</v>
      </c>
      <c r="C12" t="n">
        <v>7.4</v>
      </c>
      <c r="D12" t="n">
        <v>7</v>
      </c>
      <c r="E12" t="n">
        <v>4.4</v>
      </c>
      <c r="F12" t="n">
        <v>4.5</v>
      </c>
      <c r="G12" t="n">
        <v>4.3</v>
      </c>
      <c r="H12" t="n">
        <v>5.3</v>
      </c>
      <c r="I12" t="n">
        <v>3.1</v>
      </c>
      <c r="J12" t="n">
        <v>2.2</v>
      </c>
      <c r="K12" t="n">
        <v>5.5</v>
      </c>
      <c r="L12" t="n">
        <v>2.9</v>
      </c>
      <c r="M12" t="n">
        <v>2.1</v>
      </c>
      <c r="N12" t="n">
        <v>5.1</v>
      </c>
      <c r="O12" t="n">
        <v>3.3</v>
      </c>
      <c r="P12" t="n">
        <v>2.3</v>
      </c>
      <c r="Q12" t="n">
        <v>4.3</v>
      </c>
      <c r="R12" t="n">
        <v>2.5</v>
      </c>
      <c r="S12" t="n">
        <v>1.8</v>
      </c>
      <c r="T12" t="n">
        <v>4.4</v>
      </c>
      <c r="U12" t="n">
        <v>2.3</v>
      </c>
      <c r="V12" t="n">
        <v>1.8</v>
      </c>
      <c r="W12" t="n">
        <v>4.1</v>
      </c>
      <c r="X12" t="n">
        <v>2.6</v>
      </c>
      <c r="Y12" t="n">
        <v>1.9</v>
      </c>
    </row>
    <row r="13">
      <c r="A13" t="inlineStr">
        <is>
          <t>Kep</t>
        </is>
      </c>
      <c r="B13" t="n">
        <v>24.4</v>
      </c>
      <c r="C13" t="n">
        <v>27.5</v>
      </c>
      <c r="D13" t="n">
        <v>21.5</v>
      </c>
      <c r="E13" t="n">
        <v>0</v>
      </c>
      <c r="F13" t="n">
        <v>0</v>
      </c>
      <c r="G13" t="n">
        <v>0</v>
      </c>
      <c r="H13" t="n">
        <v>9.9</v>
      </c>
      <c r="I13" t="n">
        <v>0</v>
      </c>
      <c r="J13" t="n">
        <v>0</v>
      </c>
      <c r="K13" t="n">
        <v>11.6</v>
      </c>
      <c r="L13" t="n">
        <v>0</v>
      </c>
      <c r="M13" t="n">
        <v>0</v>
      </c>
      <c r="N13" t="n">
        <v>8.300000000000001</v>
      </c>
      <c r="O13" t="n">
        <v>0</v>
      </c>
      <c r="P13" t="n">
        <v>0</v>
      </c>
      <c r="Q13" t="n">
        <v>0.2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-0.7</v>
      </c>
      <c r="X13" t="n">
        <v>0</v>
      </c>
      <c r="Y13" t="n">
        <v>0</v>
      </c>
    </row>
    <row r="14">
      <c r="A14" t="inlineStr">
        <is>
          <t>Koh Kong</t>
        </is>
      </c>
      <c r="B14" t="n">
        <v>16.5</v>
      </c>
      <c r="C14" t="n">
        <v>17.8</v>
      </c>
      <c r="D14" t="n">
        <v>15.4</v>
      </c>
      <c r="E14" t="n">
        <v>6.8</v>
      </c>
      <c r="F14" t="n">
        <v>7.7</v>
      </c>
      <c r="G14" t="n">
        <v>5.9</v>
      </c>
      <c r="H14" t="n">
        <v>10.8</v>
      </c>
      <c r="I14" t="n">
        <v>1.9</v>
      </c>
      <c r="J14" t="n">
        <v>0</v>
      </c>
      <c r="K14" t="n">
        <v>11.9</v>
      </c>
      <c r="L14" t="n">
        <v>2.1</v>
      </c>
      <c r="M14" t="n">
        <v>0</v>
      </c>
      <c r="N14" t="n">
        <v>9.9</v>
      </c>
      <c r="O14" t="n">
        <v>1.8</v>
      </c>
      <c r="P14" t="n">
        <v>0</v>
      </c>
      <c r="Q14" t="n">
        <v>9</v>
      </c>
      <c r="R14" t="n">
        <v>1.3</v>
      </c>
      <c r="S14" t="n">
        <v>0</v>
      </c>
      <c r="T14" t="n">
        <v>10.2</v>
      </c>
      <c r="U14" t="n">
        <v>1.6</v>
      </c>
      <c r="V14" t="n">
        <v>0</v>
      </c>
      <c r="W14" t="n">
        <v>8</v>
      </c>
      <c r="X14" t="n">
        <v>1</v>
      </c>
      <c r="Y14" t="n">
        <v>0</v>
      </c>
    </row>
    <row r="15">
      <c r="A15" t="inlineStr">
        <is>
          <t>Kratie</t>
        </is>
      </c>
      <c r="B15" t="n">
        <v>6.8</v>
      </c>
      <c r="C15" t="n">
        <v>8.699999999999999</v>
      </c>
      <c r="D15" t="n">
        <v>5.1</v>
      </c>
      <c r="E15" t="n">
        <v>0.7</v>
      </c>
      <c r="F15" t="n">
        <v>0.6</v>
      </c>
      <c r="G15" t="n">
        <v>0.7</v>
      </c>
      <c r="H15" t="n">
        <v>2</v>
      </c>
      <c r="I15" t="n">
        <v>0.2</v>
      </c>
      <c r="J15" t="n">
        <v>0.2</v>
      </c>
      <c r="K15" t="n">
        <v>2.5</v>
      </c>
      <c r="L15" t="n">
        <v>0.2</v>
      </c>
      <c r="M15" t="n">
        <v>0.3</v>
      </c>
      <c r="N15" t="n">
        <v>1.6</v>
      </c>
      <c r="O15" t="n">
        <v>0.2</v>
      </c>
      <c r="P15" t="n">
        <v>0.2</v>
      </c>
      <c r="Q15" t="n">
        <v>0.6</v>
      </c>
      <c r="R15" t="n">
        <v>0.1</v>
      </c>
      <c r="S15" t="n">
        <v>0.2</v>
      </c>
      <c r="T15" t="n">
        <v>0.7</v>
      </c>
      <c r="U15" t="n">
        <v>0.2</v>
      </c>
      <c r="V15" t="n">
        <v>0.2</v>
      </c>
      <c r="W15" t="n">
        <v>0.5</v>
      </c>
      <c r="X15" t="n">
        <v>0.1</v>
      </c>
      <c r="Y15" t="n">
        <v>0.2</v>
      </c>
    </row>
    <row r="16">
      <c r="A16" t="inlineStr">
        <is>
          <t>Mondul Kiri</t>
        </is>
      </c>
      <c r="B16" t="n">
        <v>4.8</v>
      </c>
      <c r="C16" t="n">
        <v>4.8</v>
      </c>
      <c r="D16" t="n">
        <v>4.8</v>
      </c>
      <c r="E16" t="n">
        <v>2.9</v>
      </c>
      <c r="F16" t="n">
        <v>3</v>
      </c>
      <c r="G16" t="n">
        <v>2.8</v>
      </c>
      <c r="H16" t="n">
        <v>2.8</v>
      </c>
      <c r="I16" t="n">
        <v>1.7</v>
      </c>
      <c r="J16" t="n">
        <v>0.8</v>
      </c>
      <c r="K16" t="n">
        <v>2.7</v>
      </c>
      <c r="L16" t="n">
        <v>1.4</v>
      </c>
      <c r="M16" t="n">
        <v>0.8</v>
      </c>
      <c r="N16" t="n">
        <v>2.8</v>
      </c>
      <c r="O16" t="n">
        <v>1.9</v>
      </c>
      <c r="P16" t="n">
        <v>0.8</v>
      </c>
      <c r="Q16" t="n">
        <v>2.7</v>
      </c>
      <c r="R16" t="n">
        <v>1.2</v>
      </c>
      <c r="S16" t="n">
        <v>0.6</v>
      </c>
      <c r="T16" t="n">
        <v>2.6</v>
      </c>
      <c r="U16" t="n">
        <v>1</v>
      </c>
      <c r="V16" t="n">
        <v>0.7</v>
      </c>
      <c r="W16" t="n">
        <v>2.7</v>
      </c>
      <c r="X16" t="n">
        <v>1.5</v>
      </c>
      <c r="Y16" t="n">
        <v>0.5</v>
      </c>
    </row>
    <row r="17">
      <c r="A17" t="inlineStr">
        <is>
          <t>Otdar Meanchey</t>
        </is>
      </c>
      <c r="B17" t="n">
        <v>7.6</v>
      </c>
      <c r="C17" t="n">
        <v>7.7</v>
      </c>
      <c r="D17" t="n">
        <v>7.5</v>
      </c>
      <c r="E17" t="n">
        <v>6.6</v>
      </c>
      <c r="F17" t="n">
        <v>6.7</v>
      </c>
      <c r="G17" t="n">
        <v>6.5</v>
      </c>
      <c r="H17" t="n">
        <v>5.2</v>
      </c>
      <c r="I17" t="n">
        <v>0</v>
      </c>
      <c r="J17" t="n">
        <v>0</v>
      </c>
      <c r="K17" t="n">
        <v>5.1</v>
      </c>
      <c r="L17" t="n">
        <v>0</v>
      </c>
      <c r="M17" t="n">
        <v>0</v>
      </c>
      <c r="N17" t="n">
        <v>5.3</v>
      </c>
      <c r="O17" t="n">
        <v>0</v>
      </c>
      <c r="P17" t="n">
        <v>0</v>
      </c>
      <c r="Q17" t="n">
        <v>4.8</v>
      </c>
      <c r="R17" t="n">
        <v>0</v>
      </c>
      <c r="S17" t="n">
        <v>0</v>
      </c>
      <c r="T17" t="n">
        <v>4.7</v>
      </c>
      <c r="U17" t="n">
        <v>0</v>
      </c>
      <c r="V17" t="n">
        <v>0</v>
      </c>
      <c r="W17" t="n">
        <v>4.9</v>
      </c>
      <c r="X17" t="n">
        <v>0</v>
      </c>
      <c r="Y17" t="n">
        <v>0</v>
      </c>
    </row>
    <row r="18">
      <c r="A18" t="inlineStr">
        <is>
          <t>Pailin</t>
        </is>
      </c>
      <c r="B18" t="n">
        <v>21.4</v>
      </c>
      <c r="C18" t="n">
        <v>22.6</v>
      </c>
      <c r="D18" t="n">
        <v>20.3</v>
      </c>
      <c r="E18" t="n">
        <v>13.7</v>
      </c>
      <c r="F18" t="n">
        <v>15.1</v>
      </c>
      <c r="G18" t="n">
        <v>12.4</v>
      </c>
      <c r="H18" t="n">
        <v>14</v>
      </c>
      <c r="I18" t="n">
        <v>0</v>
      </c>
      <c r="J18" t="n">
        <v>0</v>
      </c>
      <c r="K18" t="n">
        <v>14.7</v>
      </c>
      <c r="L18" t="n">
        <v>0</v>
      </c>
      <c r="M18" t="n">
        <v>0</v>
      </c>
      <c r="N18" t="n">
        <v>13.3</v>
      </c>
      <c r="O18" t="n">
        <v>0</v>
      </c>
      <c r="P18" t="n">
        <v>0</v>
      </c>
      <c r="Q18" t="n">
        <v>12.6</v>
      </c>
      <c r="R18" t="n">
        <v>0</v>
      </c>
      <c r="S18" t="n">
        <v>0</v>
      </c>
      <c r="T18" t="n">
        <v>13.2</v>
      </c>
      <c r="U18" t="n">
        <v>0</v>
      </c>
      <c r="V18" t="n">
        <v>0</v>
      </c>
      <c r="W18" t="n">
        <v>12.1</v>
      </c>
      <c r="X18" t="n">
        <v>0</v>
      </c>
      <c r="Y18" t="n">
        <v>0</v>
      </c>
    </row>
    <row r="19">
      <c r="A19" t="inlineStr">
        <is>
          <t>Phnom Penh</t>
        </is>
      </c>
      <c r="B19" t="n">
        <v>29.3</v>
      </c>
      <c r="C19" t="n">
        <v>28.7</v>
      </c>
      <c r="D19" t="n">
        <v>29.9</v>
      </c>
      <c r="E19" t="n">
        <v>22</v>
      </c>
      <c r="F19" t="n">
        <v>21.6</v>
      </c>
      <c r="G19" t="n">
        <v>22.5</v>
      </c>
      <c r="H19" t="n">
        <v>23.7</v>
      </c>
      <c r="I19" t="n">
        <v>14.4</v>
      </c>
      <c r="J19" t="n">
        <v>10.4</v>
      </c>
      <c r="K19" t="n">
        <v>24</v>
      </c>
      <c r="L19" t="n">
        <v>15.1</v>
      </c>
      <c r="M19" t="n">
        <v>10.9</v>
      </c>
      <c r="N19" t="n">
        <v>23.5</v>
      </c>
      <c r="O19" t="n">
        <v>13.7</v>
      </c>
      <c r="P19" t="n">
        <v>9.9</v>
      </c>
      <c r="Q19" t="n">
        <v>22.1</v>
      </c>
      <c r="R19" t="n">
        <v>11.9</v>
      </c>
      <c r="S19" t="n">
        <v>8.9</v>
      </c>
      <c r="T19" t="n">
        <v>22.6</v>
      </c>
      <c r="U19" t="n">
        <v>12.6</v>
      </c>
      <c r="V19" t="n">
        <v>9.5</v>
      </c>
      <c r="W19" t="n">
        <v>21.7</v>
      </c>
      <c r="X19" t="n">
        <v>11.3</v>
      </c>
      <c r="Y19" t="n">
        <v>8.4</v>
      </c>
    </row>
    <row r="20">
      <c r="A20" t="inlineStr">
        <is>
          <t>Preah Sihanouk</t>
        </is>
      </c>
      <c r="B20" t="n">
        <v>19.3</v>
      </c>
      <c r="C20" t="n">
        <v>20.8</v>
      </c>
      <c r="D20" t="n">
        <v>18.1</v>
      </c>
      <c r="E20" t="n">
        <v>6.7</v>
      </c>
      <c r="F20" t="n">
        <v>7.8</v>
      </c>
      <c r="G20" t="n">
        <v>5.8</v>
      </c>
      <c r="H20" t="n">
        <v>13.3</v>
      </c>
      <c r="I20" t="n">
        <v>5.7</v>
      </c>
      <c r="J20" t="n">
        <v>4.2</v>
      </c>
      <c r="K20" t="n">
        <v>14.3</v>
      </c>
      <c r="L20" t="n">
        <v>5.9</v>
      </c>
      <c r="M20" t="n">
        <v>4.3</v>
      </c>
      <c r="N20" t="n">
        <v>12.4</v>
      </c>
      <c r="O20" t="n">
        <v>5.6</v>
      </c>
      <c r="P20" t="n">
        <v>4.2</v>
      </c>
      <c r="Q20" t="n">
        <v>10.8</v>
      </c>
      <c r="R20" t="n">
        <v>4.5</v>
      </c>
      <c r="S20" t="n">
        <v>3.1</v>
      </c>
      <c r="T20" t="n">
        <v>11.9</v>
      </c>
      <c r="U20" t="n">
        <v>4.6</v>
      </c>
      <c r="V20" t="n">
        <v>3.4</v>
      </c>
      <c r="W20" t="n">
        <v>9.9</v>
      </c>
      <c r="X20" t="n">
        <v>4.4</v>
      </c>
      <c r="Y20" t="n">
        <v>2.9</v>
      </c>
    </row>
    <row r="21">
      <c r="A21" t="inlineStr">
        <is>
          <t>Preah Vihear</t>
        </is>
      </c>
      <c r="B21" t="n">
        <v>1.1</v>
      </c>
      <c r="C21" t="n">
        <v>1</v>
      </c>
      <c r="D21" t="n">
        <v>1.3</v>
      </c>
      <c r="E21" t="n">
        <v>1.1</v>
      </c>
      <c r="F21" t="n">
        <v>0.9</v>
      </c>
      <c r="G21" t="n">
        <v>1.2</v>
      </c>
      <c r="H21" t="n">
        <v>0.4</v>
      </c>
      <c r="I21" t="n">
        <v>0</v>
      </c>
      <c r="J21" t="n">
        <v>0</v>
      </c>
      <c r="K21" t="n">
        <v>0.4</v>
      </c>
      <c r="L21" t="n">
        <v>0</v>
      </c>
      <c r="M21" t="n">
        <v>0</v>
      </c>
      <c r="N21" t="n">
        <v>0.4</v>
      </c>
      <c r="O21" t="n">
        <v>0</v>
      </c>
      <c r="P21" t="n">
        <v>0</v>
      </c>
      <c r="Q21" t="n">
        <v>0.4</v>
      </c>
      <c r="R21" t="n">
        <v>0</v>
      </c>
      <c r="S21" t="n">
        <v>0</v>
      </c>
      <c r="T21" t="n">
        <v>0.4</v>
      </c>
      <c r="U21" t="n">
        <v>0</v>
      </c>
      <c r="V21" t="n">
        <v>0</v>
      </c>
      <c r="W21" t="n">
        <v>0.4</v>
      </c>
      <c r="X21" t="n">
        <v>0</v>
      </c>
      <c r="Y21" t="n">
        <v>0</v>
      </c>
    </row>
    <row r="22">
      <c r="A22" t="inlineStr">
        <is>
          <t>Prey Veng</t>
        </is>
      </c>
      <c r="B22" t="n">
        <v>0.1</v>
      </c>
      <c r="C22" t="n">
        <v>0.1</v>
      </c>
      <c r="D22" t="n">
        <v>0.1</v>
      </c>
      <c r="E22" t="n">
        <v>0.1</v>
      </c>
      <c r="F22" t="n">
        <v>0.1</v>
      </c>
      <c r="G22" t="n">
        <v>0.1</v>
      </c>
      <c r="H22" t="n">
        <v>0</v>
      </c>
      <c r="I22" t="n">
        <v>0</v>
      </c>
      <c r="J22" t="n">
        <v>0.2</v>
      </c>
      <c r="K22" t="n">
        <v>0</v>
      </c>
      <c r="L22" t="n">
        <v>0</v>
      </c>
      <c r="M22" t="n">
        <v>0.3</v>
      </c>
      <c r="N22" t="n">
        <v>0</v>
      </c>
      <c r="O22" t="n">
        <v>0</v>
      </c>
      <c r="P22" t="n">
        <v>0.1</v>
      </c>
      <c r="Q22" t="n">
        <v>0</v>
      </c>
      <c r="R22" t="n">
        <v>0</v>
      </c>
      <c r="S22" t="n">
        <v>0.2</v>
      </c>
      <c r="T22" t="n">
        <v>0</v>
      </c>
      <c r="U22" t="n">
        <v>0</v>
      </c>
      <c r="V22" t="n">
        <v>0.2</v>
      </c>
      <c r="W22" t="n">
        <v>0</v>
      </c>
      <c r="X22" t="n">
        <v>0</v>
      </c>
      <c r="Y22" t="n">
        <v>0.1</v>
      </c>
    </row>
    <row r="23">
      <c r="A23" t="inlineStr">
        <is>
          <t>Pursat</t>
        </is>
      </c>
      <c r="B23" t="n">
        <v>0.7</v>
      </c>
      <c r="C23" t="n">
        <v>0.8</v>
      </c>
      <c r="D23" t="n">
        <v>0.6</v>
      </c>
      <c r="E23" t="n">
        <v>0.7</v>
      </c>
      <c r="F23" t="n">
        <v>0.8</v>
      </c>
      <c r="G23" t="n">
        <v>0.5</v>
      </c>
      <c r="H23" t="n">
        <v>0.3</v>
      </c>
      <c r="I23" t="n">
        <v>0</v>
      </c>
      <c r="J23" t="n">
        <v>0</v>
      </c>
      <c r="K23" t="n">
        <v>0.3</v>
      </c>
      <c r="L23" t="n">
        <v>0</v>
      </c>
      <c r="M23" t="n">
        <v>0</v>
      </c>
      <c r="N23" t="n">
        <v>0.2</v>
      </c>
      <c r="O23" t="n">
        <v>0</v>
      </c>
      <c r="P23" t="n">
        <v>0</v>
      </c>
      <c r="Q23" t="n">
        <v>0.3</v>
      </c>
      <c r="R23" t="n">
        <v>0</v>
      </c>
      <c r="S23" t="n">
        <v>0</v>
      </c>
      <c r="T23" t="n">
        <v>0.3</v>
      </c>
      <c r="U23" t="n">
        <v>0</v>
      </c>
      <c r="V23" t="n">
        <v>0</v>
      </c>
      <c r="W23" t="n">
        <v>0.2</v>
      </c>
      <c r="X23" t="n">
        <v>0</v>
      </c>
      <c r="Y23" t="n">
        <v>0</v>
      </c>
    </row>
    <row r="24">
      <c r="A24" t="inlineStr">
        <is>
          <t>Ratanak Kiri</t>
        </is>
      </c>
      <c r="B24" t="n">
        <v>7.7</v>
      </c>
      <c r="C24" t="n">
        <v>6.7</v>
      </c>
      <c r="D24" t="n">
        <v>8.5</v>
      </c>
      <c r="E24" t="n">
        <v>5.9</v>
      </c>
      <c r="F24" t="n">
        <v>5.4</v>
      </c>
      <c r="G24" t="n">
        <v>6.3</v>
      </c>
      <c r="H24" t="n">
        <v>4.4</v>
      </c>
      <c r="I24" t="n">
        <v>2.2</v>
      </c>
      <c r="J24" t="n">
        <v>1.6</v>
      </c>
      <c r="K24" t="n">
        <v>4.5</v>
      </c>
      <c r="L24" t="n">
        <v>2.1</v>
      </c>
      <c r="M24" t="n">
        <v>1.5</v>
      </c>
      <c r="N24" t="n">
        <v>4.4</v>
      </c>
      <c r="O24" t="n">
        <v>2.3</v>
      </c>
      <c r="P24" t="n">
        <v>1.8</v>
      </c>
      <c r="Q24" t="n">
        <v>4.3</v>
      </c>
      <c r="R24" t="n">
        <v>2</v>
      </c>
      <c r="S24" t="n">
        <v>1.3</v>
      </c>
      <c r="T24" t="n">
        <v>4.3</v>
      </c>
      <c r="U24" t="n">
        <v>1.9</v>
      </c>
      <c r="V24" t="n">
        <v>1.2</v>
      </c>
      <c r="W24" t="n">
        <v>4.2</v>
      </c>
      <c r="X24" t="n">
        <v>2</v>
      </c>
      <c r="Y24" t="n">
        <v>1.4</v>
      </c>
    </row>
    <row r="25">
      <c r="A25" t="inlineStr">
        <is>
          <t>Siemreap</t>
        </is>
      </c>
      <c r="B25" t="n">
        <v>6.8</v>
      </c>
      <c r="C25" t="n">
        <v>7.3</v>
      </c>
      <c r="D25" t="n">
        <v>6.4</v>
      </c>
      <c r="E25" t="n">
        <v>4.6</v>
      </c>
      <c r="F25" t="n">
        <v>5.1</v>
      </c>
      <c r="G25" t="n">
        <v>4.2</v>
      </c>
      <c r="H25" t="n">
        <v>5.2</v>
      </c>
      <c r="I25" t="n">
        <v>3.7</v>
      </c>
      <c r="J25" t="n">
        <v>2.8</v>
      </c>
      <c r="K25" t="n">
        <v>5.2</v>
      </c>
      <c r="L25" t="n">
        <v>3.8</v>
      </c>
      <c r="M25" t="n">
        <v>2.8</v>
      </c>
      <c r="N25" t="n">
        <v>5.2</v>
      </c>
      <c r="O25" t="n">
        <v>3.7</v>
      </c>
      <c r="P25" t="n">
        <v>2.7</v>
      </c>
      <c r="Q25" t="n">
        <v>4.8</v>
      </c>
      <c r="R25" t="n">
        <v>3</v>
      </c>
      <c r="S25" t="n">
        <v>2.3</v>
      </c>
      <c r="T25" t="n">
        <v>4.9</v>
      </c>
      <c r="U25" t="n">
        <v>3.1</v>
      </c>
      <c r="V25" t="n">
        <v>2.4</v>
      </c>
      <c r="W25" t="n">
        <v>4.7</v>
      </c>
      <c r="X25" t="n">
        <v>3</v>
      </c>
      <c r="Y25" t="n">
        <v>2.2</v>
      </c>
    </row>
    <row r="26">
      <c r="A26" t="inlineStr">
        <is>
          <t>Stung Treng</t>
        </is>
      </c>
      <c r="B26" t="n">
        <v>3.6</v>
      </c>
      <c r="C26" t="n">
        <v>4</v>
      </c>
      <c r="D26" t="n">
        <v>3.2</v>
      </c>
      <c r="E26" t="n">
        <v>3.1</v>
      </c>
      <c r="F26" t="n">
        <v>3.5</v>
      </c>
      <c r="G26" t="n">
        <v>2.8</v>
      </c>
      <c r="H26" t="n">
        <v>1.8</v>
      </c>
      <c r="I26" t="n">
        <v>0.7</v>
      </c>
      <c r="J26" t="n">
        <v>0.2</v>
      </c>
      <c r="K26" t="n">
        <v>1.9</v>
      </c>
      <c r="L26" t="n">
        <v>0.7</v>
      </c>
      <c r="M26" t="n">
        <v>0.3</v>
      </c>
      <c r="N26" t="n">
        <v>1.6</v>
      </c>
      <c r="O26" t="n">
        <v>0.6</v>
      </c>
      <c r="P26" t="n">
        <v>0.1</v>
      </c>
      <c r="Q26" t="n">
        <v>1.8</v>
      </c>
      <c r="R26" t="n">
        <v>0.7</v>
      </c>
      <c r="S26" t="n">
        <v>0.2</v>
      </c>
      <c r="T26" t="n">
        <v>1.9</v>
      </c>
      <c r="U26" t="n">
        <v>0.7</v>
      </c>
      <c r="V26" t="n">
        <v>0.3</v>
      </c>
      <c r="W26" t="n">
        <v>1.6</v>
      </c>
      <c r="X26" t="n">
        <v>0.6</v>
      </c>
      <c r="Y26" t="n">
        <v>0.1</v>
      </c>
    </row>
    <row r="27">
      <c r="A27" t="inlineStr">
        <is>
          <t>Svay Rieng</t>
        </is>
      </c>
      <c r="B27" t="n">
        <v>0.7</v>
      </c>
      <c r="C27" t="n">
        <v>0.5</v>
      </c>
      <c r="D27" t="n">
        <v>0.8</v>
      </c>
      <c r="E27" t="n">
        <v>0.6</v>
      </c>
      <c r="F27" t="n">
        <v>0.4</v>
      </c>
      <c r="G27" t="n">
        <v>0.8</v>
      </c>
      <c r="H27" t="n">
        <v>0.3</v>
      </c>
      <c r="I27" t="n">
        <v>0</v>
      </c>
      <c r="J27" t="n">
        <v>0</v>
      </c>
      <c r="K27" t="n">
        <v>0.3</v>
      </c>
      <c r="L27" t="n">
        <v>0</v>
      </c>
      <c r="M27" t="n">
        <v>0</v>
      </c>
      <c r="N27" t="n">
        <v>0.4</v>
      </c>
      <c r="O27" t="n">
        <v>0</v>
      </c>
      <c r="P27" t="n">
        <v>0</v>
      </c>
      <c r="Q27" t="n">
        <v>0.3</v>
      </c>
      <c r="R27" t="n">
        <v>0</v>
      </c>
      <c r="S27" t="n">
        <v>0</v>
      </c>
      <c r="T27" t="n">
        <v>0.3</v>
      </c>
      <c r="U27" t="n">
        <v>0</v>
      </c>
      <c r="V27" t="n">
        <v>0</v>
      </c>
      <c r="W27" t="n">
        <v>0.4</v>
      </c>
      <c r="X27" t="n">
        <v>0</v>
      </c>
      <c r="Y27" t="n">
        <v>0</v>
      </c>
    </row>
    <row r="28">
      <c r="A28" t="inlineStr">
        <is>
          <t>Takeo</t>
        </is>
      </c>
      <c r="B28" t="n">
        <v>4.4</v>
      </c>
      <c r="C28" t="n">
        <v>4.2</v>
      </c>
      <c r="D28" t="n">
        <v>4.7</v>
      </c>
      <c r="E28" t="n">
        <v>2.8</v>
      </c>
      <c r="F28" t="n">
        <v>2.7</v>
      </c>
      <c r="G28" t="n">
        <v>2.9</v>
      </c>
      <c r="H28" t="n">
        <v>3</v>
      </c>
      <c r="I28" t="n">
        <v>1.1</v>
      </c>
      <c r="J28" t="n">
        <v>1</v>
      </c>
      <c r="K28" t="n">
        <v>3</v>
      </c>
      <c r="L28" t="n">
        <v>1.2</v>
      </c>
      <c r="M28" t="n">
        <v>1</v>
      </c>
      <c r="N28" t="n">
        <v>3</v>
      </c>
      <c r="O28" t="n">
        <v>1.1</v>
      </c>
      <c r="P28" t="n">
        <v>1</v>
      </c>
      <c r="Q28" t="n">
        <v>2.7</v>
      </c>
      <c r="R28" t="n">
        <v>0.9</v>
      </c>
      <c r="S28" t="n">
        <v>0.8</v>
      </c>
      <c r="T28" t="n">
        <v>2.7</v>
      </c>
      <c r="U28" t="n">
        <v>0.9</v>
      </c>
      <c r="V28" t="n">
        <v>0.7</v>
      </c>
      <c r="W28" t="n">
        <v>2.7</v>
      </c>
      <c r="X28" t="n">
        <v>0.8</v>
      </c>
      <c r="Y28" t="n">
        <v>0.8</v>
      </c>
    </row>
    <row r="29">
      <c r="A29" t="inlineStr">
        <is>
          <t>Tbaung Khmum</t>
        </is>
      </c>
      <c r="B29" t="n">
        <v>2.4</v>
      </c>
      <c r="C29" t="n">
        <v>2.6</v>
      </c>
      <c r="D29" t="n">
        <v>2.2</v>
      </c>
      <c r="E29" t="n">
        <v>1.3</v>
      </c>
      <c r="F29" t="n">
        <v>1.4</v>
      </c>
      <c r="G29" t="n">
        <v>1.2</v>
      </c>
      <c r="H29" t="n">
        <v>1.9</v>
      </c>
      <c r="I29" t="n">
        <v>3.5</v>
      </c>
      <c r="J29" t="n">
        <v>1.2</v>
      </c>
      <c r="K29" t="n">
        <v>2.1</v>
      </c>
      <c r="L29" t="n">
        <v>3.8</v>
      </c>
      <c r="M29" t="n">
        <v>2</v>
      </c>
      <c r="N29" t="n">
        <v>1.8</v>
      </c>
      <c r="O29" t="n">
        <v>3.1</v>
      </c>
      <c r="P29" t="n">
        <v>0.5</v>
      </c>
      <c r="Q29" t="n">
        <v>1.6</v>
      </c>
      <c r="R29" t="n">
        <v>1.8</v>
      </c>
      <c r="S29" t="n">
        <v>0.8</v>
      </c>
      <c r="T29" t="n">
        <v>1.7</v>
      </c>
      <c r="U29" t="n">
        <v>2.3</v>
      </c>
      <c r="V29" t="n">
        <v>1.3</v>
      </c>
      <c r="W29" t="n">
        <v>1.5</v>
      </c>
      <c r="X29" t="n">
        <v>1.4</v>
      </c>
      <c r="Y29" t="n">
        <v>0.3</v>
      </c>
    </row>
    <row r="30">
      <c r="A30" t="inlineStr">
        <is>
          <t>Whole Kingdom</t>
        </is>
      </c>
      <c r="B30" t="n">
        <v>9.4</v>
      </c>
      <c r="C30" t="n">
        <v>9.4</v>
      </c>
      <c r="D30" t="n">
        <v>9.4</v>
      </c>
      <c r="E30" t="n">
        <v>6.1</v>
      </c>
      <c r="F30" t="n">
        <v>6.1</v>
      </c>
      <c r="G30" t="n">
        <v>6.1</v>
      </c>
      <c r="H30" t="n">
        <v>7</v>
      </c>
      <c r="I30" t="n">
        <v>4</v>
      </c>
      <c r="J30" t="n">
        <v>2.7</v>
      </c>
      <c r="K30" t="n">
        <v>7.1</v>
      </c>
      <c r="L30" t="n">
        <v>4.1</v>
      </c>
      <c r="M30" t="n">
        <v>2.9</v>
      </c>
      <c r="N30" t="n">
        <v>6.9</v>
      </c>
      <c r="O30" t="n">
        <v>3.8</v>
      </c>
      <c r="P30" t="n">
        <v>2.6</v>
      </c>
      <c r="Q30" t="n">
        <v>6.2</v>
      </c>
      <c r="R30" t="n">
        <v>3.1</v>
      </c>
      <c r="S30" t="n">
        <v>2.3</v>
      </c>
      <c r="T30" t="n">
        <v>6.3</v>
      </c>
      <c r="U30" t="n">
        <v>3.3</v>
      </c>
      <c r="V30" t="n">
        <v>2.4</v>
      </c>
      <c r="W30" t="n">
        <v>6</v>
      </c>
      <c r="X30" t="n">
        <v>3</v>
      </c>
      <c r="Y30" t="n">
        <v>2.1</v>
      </c>
    </row>
    <row r="31">
      <c r="A31" t="inlineStr">
        <is>
          <t>- Urban Area</t>
        </is>
      </c>
      <c r="B31" t="n">
        <v>26.9</v>
      </c>
      <c r="C31" t="n">
        <v>26.4</v>
      </c>
      <c r="D31" t="n">
        <v>27.4</v>
      </c>
      <c r="E31" t="n">
        <v>18.5</v>
      </c>
      <c r="F31" t="n">
        <v>18.3</v>
      </c>
      <c r="G31" t="n">
        <v>18.7</v>
      </c>
      <c r="H31" t="n">
        <v>20.9</v>
      </c>
      <c r="I31" t="n">
        <v>12.6</v>
      </c>
      <c r="J31" t="n">
        <v>9.199999999999999</v>
      </c>
      <c r="K31" t="n">
        <v>21.1</v>
      </c>
      <c r="L31" t="n">
        <v>13.2</v>
      </c>
      <c r="M31" t="n">
        <v>9.6</v>
      </c>
      <c r="N31" t="n">
        <v>20.6</v>
      </c>
      <c r="O31" t="n">
        <v>12</v>
      </c>
      <c r="P31" t="n">
        <v>8.699999999999999</v>
      </c>
      <c r="Q31" t="n">
        <v>19</v>
      </c>
      <c r="R31" t="n">
        <v>10.2</v>
      </c>
      <c r="S31" t="n">
        <v>7.7</v>
      </c>
      <c r="T31" t="n">
        <v>19.4</v>
      </c>
      <c r="U31" t="n">
        <v>10.8</v>
      </c>
      <c r="V31" t="n">
        <v>8.199999999999999</v>
      </c>
      <c r="W31" t="n">
        <v>18.6</v>
      </c>
      <c r="X31" t="n">
        <v>9.6</v>
      </c>
      <c r="Y31" t="n">
        <v>7.2</v>
      </c>
    </row>
    <row r="32">
      <c r="A32" t="inlineStr">
        <is>
          <t>- Rural Area</t>
        </is>
      </c>
      <c r="B32" t="n">
        <v>3</v>
      </c>
      <c r="C32" t="n">
        <v>3.2</v>
      </c>
      <c r="D32" t="n">
        <v>2.8</v>
      </c>
      <c r="E32" t="n">
        <v>1.6</v>
      </c>
      <c r="F32" t="n">
        <v>1.7</v>
      </c>
      <c r="G32" t="n">
        <v>1.5</v>
      </c>
      <c r="H32" t="n">
        <v>1.9</v>
      </c>
      <c r="I32" t="n">
        <v>0.8</v>
      </c>
      <c r="J32" t="n">
        <v>0.4</v>
      </c>
      <c r="K32" t="n">
        <v>1.9</v>
      </c>
      <c r="L32" t="n">
        <v>0.8</v>
      </c>
      <c r="M32" t="n">
        <v>0.4</v>
      </c>
      <c r="N32" t="n">
        <v>1.9</v>
      </c>
      <c r="O32" t="n">
        <v>0.9</v>
      </c>
      <c r="P32" t="n">
        <v>0.4</v>
      </c>
      <c r="Q32" t="n">
        <v>1.5</v>
      </c>
      <c r="R32" t="n">
        <v>0.6</v>
      </c>
      <c r="S32" t="n">
        <v>0.3</v>
      </c>
      <c r="T32" t="n">
        <v>1.5</v>
      </c>
      <c r="U32" t="n">
        <v>0.6</v>
      </c>
      <c r="V32" t="n">
        <v>0.3</v>
      </c>
      <c r="W32" t="n">
        <v>1.4</v>
      </c>
      <c r="X32" t="n">
        <v>0.6</v>
      </c>
      <c r="Y32" t="n">
        <v>0.3</v>
      </c>
    </row>
  </sheetData>
  <mergeCells count="12">
    <mergeCell ref="B2:D3"/>
    <mergeCell ref="E2:G3"/>
    <mergeCell ref="A1:Z1"/>
    <mergeCell ref="A2:A4"/>
    <mergeCell ref="Q3:S3"/>
    <mergeCell ref="W3:Y3"/>
    <mergeCell ref="T3:V3"/>
    <mergeCell ref="H2:P2"/>
    <mergeCell ref="K3:M3"/>
    <mergeCell ref="H3:J3"/>
    <mergeCell ref="N3:P3"/>
    <mergeCell ref="Q2:Y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00B0F0"/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6" customWidth="1" min="1" max="1"/>
    <col width="11.1640625" customWidth="1" min="2" max="2"/>
    <col width="17.33203125" customWidth="1" min="3" max="3"/>
    <col width="12.83203125" customWidth="1" min="11" max="11"/>
  </cols>
  <sheetData>
    <row r="1">
      <c r="A1" t="inlineStr">
        <is>
          <t>Table 1: Schools, Classes, Students and Staff</t>
        </is>
      </c>
    </row>
    <row r="2">
      <c r="A2" t="inlineStr">
        <is>
          <t>Province</t>
        </is>
      </c>
      <c r="B2" t="inlineStr">
        <is>
          <t>Primary</t>
        </is>
      </c>
      <c r="E2" t="inlineStr">
        <is>
          <t>Lower Secondary</t>
        </is>
      </c>
      <c r="H2" t="inlineStr">
        <is>
          <t>Upper Secondary</t>
        </is>
      </c>
    </row>
    <row r="3">
      <c r="B3" t="inlineStr">
        <is>
          <t>Total</t>
        </is>
      </c>
      <c r="C3" t="inlineStr">
        <is>
          <t>Girl</t>
        </is>
      </c>
      <c r="D3" t="inlineStr">
        <is>
          <t>Boy</t>
        </is>
      </c>
      <c r="E3" t="inlineStr">
        <is>
          <t>Total</t>
        </is>
      </c>
      <c r="F3" t="inlineStr">
        <is>
          <t>Girl</t>
        </is>
      </c>
      <c r="G3" t="inlineStr">
        <is>
          <t>Boy</t>
        </is>
      </c>
      <c r="H3" t="inlineStr">
        <is>
          <t>Total</t>
        </is>
      </c>
      <c r="I3" t="inlineStr">
        <is>
          <t>Girl</t>
        </is>
      </c>
      <c r="J3" t="inlineStr">
        <is>
          <t>Boy</t>
        </is>
      </c>
    </row>
    <row r="4">
      <c r="A4" t="inlineStr">
        <is>
          <t>Banteay Meanchey</t>
        </is>
      </c>
      <c r="B4" t="n">
        <v>8.6</v>
      </c>
      <c r="C4" t="n">
        <v>9</v>
      </c>
      <c r="D4" t="n">
        <v>8.199999999999999</v>
      </c>
      <c r="E4" t="n">
        <v>6.3</v>
      </c>
      <c r="F4" t="n">
        <v>7</v>
      </c>
      <c r="G4" t="n">
        <v>5.6</v>
      </c>
      <c r="H4" t="n">
        <v>3.1</v>
      </c>
      <c r="I4" t="n">
        <v>3.1</v>
      </c>
      <c r="J4" t="n">
        <v>3.1</v>
      </c>
    </row>
    <row r="5">
      <c r="A5" t="inlineStr">
        <is>
          <t>Battambang</t>
        </is>
      </c>
      <c r="B5" t="n">
        <v>2.3</v>
      </c>
      <c r="C5" t="n">
        <v>2.5</v>
      </c>
      <c r="D5" t="n">
        <v>2.2</v>
      </c>
      <c r="E5" t="n">
        <v>2.8</v>
      </c>
      <c r="F5" t="n">
        <v>3</v>
      </c>
      <c r="G5" t="n">
        <v>2.6</v>
      </c>
      <c r="H5" t="n">
        <v>2.8</v>
      </c>
      <c r="I5" t="n">
        <v>3.1</v>
      </c>
      <c r="J5" t="n">
        <v>2.5</v>
      </c>
    </row>
    <row r="6">
      <c r="A6" t="inlineStr">
        <is>
          <t>Kampong Cham</t>
        </is>
      </c>
      <c r="B6" t="n">
        <v>1.6</v>
      </c>
      <c r="C6" t="n">
        <v>1.8</v>
      </c>
      <c r="D6" t="n">
        <v>1.3</v>
      </c>
      <c r="E6" t="n">
        <v>1.3</v>
      </c>
      <c r="F6" t="n">
        <v>1.4</v>
      </c>
      <c r="G6" t="n">
        <v>1.3</v>
      </c>
      <c r="H6" t="n">
        <v>0.6</v>
      </c>
      <c r="I6" t="n">
        <v>0.6</v>
      </c>
      <c r="J6" t="n">
        <v>0.6</v>
      </c>
    </row>
    <row r="7">
      <c r="A7" t="inlineStr">
        <is>
          <t>Kampong Chhnang</t>
        </is>
      </c>
      <c r="B7" t="n">
        <v>1.8</v>
      </c>
      <c r="C7" t="n">
        <v>1.6</v>
      </c>
      <c r="D7" t="n">
        <v>2</v>
      </c>
      <c r="E7" t="n">
        <v>1.8</v>
      </c>
      <c r="F7" t="n">
        <v>1.5</v>
      </c>
      <c r="G7" t="n">
        <v>2</v>
      </c>
      <c r="H7" t="n">
        <v>0.9</v>
      </c>
      <c r="I7" t="n">
        <v>0.6</v>
      </c>
      <c r="J7" t="n">
        <v>1.1</v>
      </c>
    </row>
    <row r="8">
      <c r="A8" t="inlineStr">
        <is>
          <t>Kampong Speu</t>
        </is>
      </c>
      <c r="B8" t="n">
        <v>1.9</v>
      </c>
      <c r="C8" t="n">
        <v>2</v>
      </c>
      <c r="D8" t="n">
        <v>1.8</v>
      </c>
      <c r="E8" t="n">
        <v>0.9</v>
      </c>
      <c r="F8" t="n">
        <v>1.1</v>
      </c>
      <c r="G8" t="n">
        <v>0.8</v>
      </c>
      <c r="H8" t="n">
        <v>0.4</v>
      </c>
      <c r="I8" t="n">
        <v>0.5</v>
      </c>
      <c r="J8" t="n">
        <v>0.3</v>
      </c>
    </row>
    <row r="9">
      <c r="A9" t="inlineStr">
        <is>
          <t>Kampong Thom</t>
        </is>
      </c>
      <c r="B9" t="n">
        <v>2</v>
      </c>
      <c r="C9" t="n">
        <v>2.1</v>
      </c>
      <c r="D9" t="n">
        <v>1.9</v>
      </c>
      <c r="E9" t="n">
        <v>0.9</v>
      </c>
      <c r="F9" t="n">
        <v>0.8</v>
      </c>
      <c r="G9" t="n">
        <v>0.9</v>
      </c>
      <c r="H9" t="n">
        <v>0.3</v>
      </c>
      <c r="I9" t="n">
        <v>0.4</v>
      </c>
      <c r="J9" t="n">
        <v>0.3</v>
      </c>
    </row>
    <row r="10">
      <c r="A10" t="inlineStr">
        <is>
          <t>Kampot</t>
        </is>
      </c>
      <c r="B10" t="n">
        <v>3.6</v>
      </c>
      <c r="C10" t="n">
        <v>3.8</v>
      </c>
      <c r="D10" t="n">
        <v>3.4</v>
      </c>
      <c r="E10" t="n">
        <v>3.7</v>
      </c>
      <c r="F10" t="n">
        <v>3.8</v>
      </c>
      <c r="G10" t="n">
        <v>3.7</v>
      </c>
      <c r="H10" t="n">
        <v>3.2</v>
      </c>
      <c r="I10" t="n">
        <v>3.3</v>
      </c>
      <c r="J10" t="n">
        <v>3</v>
      </c>
    </row>
    <row r="11">
      <c r="A11" t="inlineStr">
        <is>
          <t>Kandal</t>
        </is>
      </c>
      <c r="B11" t="n">
        <v>3</v>
      </c>
      <c r="C11" t="n">
        <v>3.5</v>
      </c>
      <c r="D11" t="n">
        <v>2.6</v>
      </c>
      <c r="E11" t="n">
        <v>2.9</v>
      </c>
      <c r="F11" t="n">
        <v>2.9</v>
      </c>
      <c r="G11" t="n">
        <v>2.9</v>
      </c>
      <c r="H11" t="n">
        <v>2</v>
      </c>
      <c r="I11" t="n">
        <v>2</v>
      </c>
      <c r="J11" t="n">
        <v>2</v>
      </c>
    </row>
    <row r="12">
      <c r="A12" t="inlineStr">
        <is>
          <t>Kep</t>
        </is>
      </c>
      <c r="B12" t="n">
        <v>1.8</v>
      </c>
      <c r="C12" t="n">
        <v>1.4</v>
      </c>
      <c r="D12" t="n">
        <v>2.2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Koh Kong</t>
        </is>
      </c>
      <c r="B13" t="n">
        <v>6.4</v>
      </c>
      <c r="C13" t="n">
        <v>7.2</v>
      </c>
      <c r="D13" t="n">
        <v>5.8</v>
      </c>
      <c r="E13" t="n">
        <v>2.2</v>
      </c>
      <c r="F13" t="n">
        <v>2.6</v>
      </c>
      <c r="G13" t="n">
        <v>1.7</v>
      </c>
      <c r="H13" t="n">
        <v>0</v>
      </c>
      <c r="I13" t="n">
        <v>0</v>
      </c>
      <c r="J13" t="n">
        <v>0</v>
      </c>
    </row>
    <row r="14">
      <c r="A14" t="inlineStr">
        <is>
          <t>Kratie</t>
        </is>
      </c>
      <c r="B14" t="n">
        <v>0.2</v>
      </c>
      <c r="C14" t="n">
        <v>0.1</v>
      </c>
      <c r="D14" t="n">
        <v>0.2</v>
      </c>
      <c r="E14" t="n">
        <v>0.3</v>
      </c>
      <c r="F14" t="n">
        <v>0.3</v>
      </c>
      <c r="G14" t="n">
        <v>0.3</v>
      </c>
      <c r="H14" t="n">
        <v>0.3</v>
      </c>
      <c r="I14" t="n">
        <v>0.4</v>
      </c>
      <c r="J14" t="n">
        <v>0.3</v>
      </c>
    </row>
    <row r="15">
      <c r="A15" t="inlineStr">
        <is>
          <t>Mondul Kiri</t>
        </is>
      </c>
      <c r="B15" t="n">
        <v>1.2</v>
      </c>
      <c r="C15" t="n">
        <v>1.3</v>
      </c>
      <c r="D15" t="n">
        <v>1.2</v>
      </c>
      <c r="E15" t="n">
        <v>1.4</v>
      </c>
      <c r="F15" t="n">
        <v>1.3</v>
      </c>
      <c r="G15" t="n">
        <v>1.5</v>
      </c>
      <c r="H15" t="n">
        <v>0.7</v>
      </c>
      <c r="I15" t="n">
        <v>0.8</v>
      </c>
      <c r="J15" t="n">
        <v>0.6</v>
      </c>
    </row>
    <row r="16">
      <c r="A16" t="inlineStr">
        <is>
          <t>Otdar Meanchey</t>
        </is>
      </c>
      <c r="B16" t="n">
        <v>2.8</v>
      </c>
      <c r="C16" t="n">
        <v>2.6</v>
      </c>
      <c r="D16" t="n">
        <v>2.9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Pailin</t>
        </is>
      </c>
      <c r="B17" t="n">
        <v>8.1</v>
      </c>
      <c r="C17" t="n">
        <v>10.2</v>
      </c>
      <c r="D17" t="n">
        <v>6.2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Phnom Penh</t>
        </is>
      </c>
      <c r="B18" t="n">
        <v>15.9</v>
      </c>
      <c r="C18" t="n">
        <v>16.5</v>
      </c>
      <c r="D18" t="n">
        <v>15.3</v>
      </c>
      <c r="E18" t="n">
        <v>13</v>
      </c>
      <c r="F18" t="n">
        <v>14.3</v>
      </c>
      <c r="G18" t="n">
        <v>11.8</v>
      </c>
      <c r="H18" t="n">
        <v>9.699999999999999</v>
      </c>
      <c r="I18" t="n">
        <v>10.4</v>
      </c>
      <c r="J18" t="n">
        <v>9.1</v>
      </c>
    </row>
    <row r="19">
      <c r="A19" t="inlineStr">
        <is>
          <t>Preah Sihanouk</t>
        </is>
      </c>
      <c r="B19" t="n">
        <v>7.1</v>
      </c>
      <c r="C19" t="n">
        <v>7.8</v>
      </c>
      <c r="D19" t="n">
        <v>6.4</v>
      </c>
      <c r="E19" t="n">
        <v>5.3</v>
      </c>
      <c r="F19" t="n">
        <v>5.5</v>
      </c>
      <c r="G19" t="n">
        <v>5.1</v>
      </c>
      <c r="H19" t="n">
        <v>4.2</v>
      </c>
      <c r="I19" t="n">
        <v>4.5</v>
      </c>
      <c r="J19" t="n">
        <v>4</v>
      </c>
    </row>
    <row r="20">
      <c r="A20" t="inlineStr">
        <is>
          <t>Preah Vihear</t>
        </is>
      </c>
      <c r="B20" t="n">
        <v>0.1</v>
      </c>
      <c r="C20" t="n">
        <v>0</v>
      </c>
      <c r="D20" t="n">
        <v>0.2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Prey Veng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0.2</v>
      </c>
      <c r="I21" t="n">
        <v>0.3</v>
      </c>
      <c r="J21" t="n">
        <v>0.1</v>
      </c>
    </row>
    <row r="22">
      <c r="A22" t="inlineStr">
        <is>
          <t>Pursat</t>
        </is>
      </c>
      <c r="B22" t="n">
        <v>0.1</v>
      </c>
      <c r="C22" t="n">
        <v>0</v>
      </c>
      <c r="D22" t="n">
        <v>0.1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Ratanak Kiri</t>
        </is>
      </c>
      <c r="B23" t="n">
        <v>2.6</v>
      </c>
      <c r="C23" t="n">
        <v>2.9</v>
      </c>
      <c r="D23" t="n">
        <v>2.4</v>
      </c>
      <c r="E23" t="n">
        <v>1.8</v>
      </c>
      <c r="F23" t="n">
        <v>1.8</v>
      </c>
      <c r="G23" t="n">
        <v>1.8</v>
      </c>
      <c r="H23" t="n">
        <v>1.7</v>
      </c>
      <c r="I23" t="n">
        <v>1.7</v>
      </c>
      <c r="J23" t="n">
        <v>1.6</v>
      </c>
    </row>
    <row r="24">
      <c r="A24" t="inlineStr">
        <is>
          <t>Siemreap</t>
        </is>
      </c>
      <c r="B24" t="n">
        <v>3.4</v>
      </c>
      <c r="C24" t="n">
        <v>3.4</v>
      </c>
      <c r="D24" t="n">
        <v>3.3</v>
      </c>
      <c r="E24" t="n">
        <v>3.7</v>
      </c>
      <c r="F24" t="n">
        <v>3.7</v>
      </c>
      <c r="G24" t="n">
        <v>3.6</v>
      </c>
      <c r="H24" t="n">
        <v>2.5</v>
      </c>
      <c r="I24" t="n">
        <v>2.5</v>
      </c>
      <c r="J24" t="n">
        <v>2.5</v>
      </c>
    </row>
    <row r="25">
      <c r="A25" t="inlineStr">
        <is>
          <t>Stung Treng</t>
        </is>
      </c>
      <c r="B25" t="n">
        <v>1</v>
      </c>
      <c r="C25" t="n">
        <v>0.8</v>
      </c>
      <c r="D25" t="n">
        <v>1.2</v>
      </c>
      <c r="E25" t="n">
        <v>0.5</v>
      </c>
      <c r="F25" t="n">
        <v>0.6</v>
      </c>
      <c r="G25" t="n">
        <v>0.4</v>
      </c>
      <c r="H25" t="n">
        <v>0</v>
      </c>
      <c r="I25" t="n">
        <v>0</v>
      </c>
      <c r="J25" t="n">
        <v>0</v>
      </c>
    </row>
    <row r="26">
      <c r="A26" t="inlineStr">
        <is>
          <t>Svay Rieng</t>
        </is>
      </c>
      <c r="B26" t="n">
        <v>0.2</v>
      </c>
      <c r="C26" t="n">
        <v>0.2</v>
      </c>
      <c r="D26" t="n">
        <v>0.2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Takeo</t>
        </is>
      </c>
      <c r="B27" t="n">
        <v>2</v>
      </c>
      <c r="C27" t="n">
        <v>2.1</v>
      </c>
      <c r="D27" t="n">
        <v>1.9</v>
      </c>
      <c r="E27" t="n">
        <v>1</v>
      </c>
      <c r="F27" t="n">
        <v>1</v>
      </c>
      <c r="G27" t="n">
        <v>1</v>
      </c>
      <c r="H27" t="n">
        <v>0.9</v>
      </c>
      <c r="I27" t="n">
        <v>0.9</v>
      </c>
      <c r="J27" t="n">
        <v>0.8</v>
      </c>
    </row>
    <row r="28">
      <c r="A28" t="inlineStr">
        <is>
          <t>Tbaung Khmum</t>
        </is>
      </c>
      <c r="B28" t="n">
        <v>1.2</v>
      </c>
      <c r="C28" t="n">
        <v>1.4</v>
      </c>
      <c r="D28" t="n">
        <v>1</v>
      </c>
      <c r="E28" t="n">
        <v>2.7</v>
      </c>
      <c r="F28" t="n">
        <v>2.7</v>
      </c>
      <c r="G28" t="n">
        <v>2.7</v>
      </c>
      <c r="H28" t="n">
        <v>0.9</v>
      </c>
      <c r="I28" t="n">
        <v>1.2</v>
      </c>
      <c r="J28" t="n">
        <v>0.5</v>
      </c>
    </row>
    <row r="29">
      <c r="A29" t="inlineStr">
        <is>
          <t>Whole Kingdom</t>
        </is>
      </c>
      <c r="B29" t="n">
        <v>4.4</v>
      </c>
      <c r="C29" t="n">
        <v>4.6</v>
      </c>
      <c r="D29" t="n">
        <v>4.2</v>
      </c>
      <c r="E29" t="n">
        <v>3.6</v>
      </c>
      <c r="F29" t="n">
        <v>3.9</v>
      </c>
      <c r="G29" t="n">
        <v>3.4</v>
      </c>
      <c r="H29" t="n">
        <v>2.5</v>
      </c>
      <c r="I29" t="n">
        <v>2.7</v>
      </c>
      <c r="J29" t="n">
        <v>2.4</v>
      </c>
    </row>
    <row r="30">
      <c r="A30" t="inlineStr">
        <is>
          <t>- Urban Area</t>
        </is>
      </c>
      <c r="B30" t="n">
        <v>13.9</v>
      </c>
      <c r="C30" t="n">
        <v>14.6</v>
      </c>
      <c r="D30" t="n">
        <v>13.1</v>
      </c>
      <c r="E30" t="n">
        <v>11.6</v>
      </c>
      <c r="F30" t="n">
        <v>12.6</v>
      </c>
      <c r="G30" t="n">
        <v>10.6</v>
      </c>
      <c r="H30" t="n">
        <v>8.6</v>
      </c>
      <c r="I30" t="n">
        <v>9.199999999999999</v>
      </c>
      <c r="J30" t="n">
        <v>8.1</v>
      </c>
    </row>
    <row r="31">
      <c r="A31" t="inlineStr">
        <is>
          <t>- Rural Area</t>
        </is>
      </c>
      <c r="B31" t="n">
        <v>1</v>
      </c>
      <c r="C31" t="n">
        <v>1</v>
      </c>
      <c r="D31" t="n">
        <v>0.9</v>
      </c>
      <c r="E31" t="n">
        <v>0.7</v>
      </c>
      <c r="F31" t="n">
        <v>0.7</v>
      </c>
      <c r="G31" t="n">
        <v>0.8</v>
      </c>
      <c r="H31" t="n">
        <v>0.3</v>
      </c>
      <c r="I31" t="n">
        <v>0.3</v>
      </c>
      <c r="J31" t="n">
        <v>0.3</v>
      </c>
    </row>
  </sheetData>
  <mergeCells count="5">
    <mergeCell ref="E2:G2"/>
    <mergeCell ref="A2:A3"/>
    <mergeCell ref="H2:J2"/>
    <mergeCell ref="A1:K1"/>
    <mergeCell ref="B2:D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FF66CC"/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8" customWidth="1" min="2" max="2"/>
    <col width="21.5" customWidth="1" min="10" max="10"/>
  </cols>
  <sheetData>
    <row r="1">
      <c r="A1" t="inlineStr">
        <is>
          <t>Table 1: Schools, Classes, Students and Staff</t>
        </is>
      </c>
    </row>
    <row r="2">
      <c r="A2" t="inlineStr">
        <is>
          <t>Province</t>
        </is>
      </c>
      <c r="B2" t="inlineStr">
        <is>
          <t>GPI for GAR</t>
        </is>
      </c>
      <c r="C2" t="inlineStr">
        <is>
          <t>GPI for NAR</t>
        </is>
      </c>
      <c r="D2" t="inlineStr">
        <is>
          <t>GPI for GER</t>
        </is>
      </c>
      <c r="G2" t="inlineStr">
        <is>
          <t>GPI for NER</t>
        </is>
      </c>
    </row>
    <row r="3">
      <c r="D3" t="inlineStr">
        <is>
          <t>Primary</t>
        </is>
      </c>
      <c r="E3" t="inlineStr">
        <is>
          <t>Lower Sec.</t>
        </is>
      </c>
      <c r="F3" t="inlineStr">
        <is>
          <t>Upper Sec.</t>
        </is>
      </c>
      <c r="G3" t="inlineStr">
        <is>
          <t>Primary</t>
        </is>
      </c>
      <c r="H3" t="inlineStr">
        <is>
          <t>Lower Sec.</t>
        </is>
      </c>
      <c r="I3" t="inlineStr">
        <is>
          <t>Upper Sec.</t>
        </is>
      </c>
    </row>
    <row r="4">
      <c r="A4" t="inlineStr">
        <is>
          <t>Banteay Meanchey</t>
        </is>
      </c>
      <c r="B4" t="n">
        <v>1</v>
      </c>
      <c r="C4" t="n">
        <v>1.1</v>
      </c>
      <c r="D4" t="n">
        <v>1</v>
      </c>
      <c r="E4" t="n">
        <v>1.1</v>
      </c>
      <c r="F4" t="n">
        <v>1.1</v>
      </c>
      <c r="G4" t="n">
        <v>1.1</v>
      </c>
      <c r="H4" t="n">
        <v>1.3</v>
      </c>
      <c r="I4" t="n">
        <v>1.2</v>
      </c>
    </row>
    <row r="5">
      <c r="A5" t="inlineStr">
        <is>
          <t>Battambang</t>
        </is>
      </c>
      <c r="B5" t="n">
        <v>0.9</v>
      </c>
      <c r="C5" t="n">
        <v>1</v>
      </c>
      <c r="D5" t="n">
        <v>0.9</v>
      </c>
      <c r="E5" t="n">
        <v>1.1</v>
      </c>
      <c r="F5" t="n">
        <v>1.3</v>
      </c>
      <c r="G5" t="n">
        <v>1</v>
      </c>
      <c r="H5" t="n">
        <v>1.2</v>
      </c>
      <c r="I5" t="n">
        <v>1.3</v>
      </c>
    </row>
    <row r="6">
      <c r="A6" t="inlineStr">
        <is>
          <t>Kampong Cham</t>
        </is>
      </c>
      <c r="B6" t="n">
        <v>1</v>
      </c>
      <c r="C6" t="n">
        <v>1.2</v>
      </c>
      <c r="D6" t="n">
        <v>1.1</v>
      </c>
      <c r="E6" t="n">
        <v>1.1</v>
      </c>
      <c r="F6" t="n">
        <v>0.8</v>
      </c>
      <c r="G6" t="n">
        <v>1.1</v>
      </c>
      <c r="H6" t="n">
        <v>1.1</v>
      </c>
      <c r="I6" t="n">
        <v>0.9</v>
      </c>
    </row>
    <row r="7">
      <c r="A7" t="inlineStr">
        <is>
          <t>Kampong Chhnang</t>
        </is>
      </c>
      <c r="B7" t="n">
        <v>0.8</v>
      </c>
      <c r="C7" t="n">
        <v>0.9</v>
      </c>
      <c r="D7" t="n">
        <v>0.8</v>
      </c>
      <c r="E7" t="n">
        <v>0.6</v>
      </c>
      <c r="F7" t="n">
        <v>0.5</v>
      </c>
      <c r="G7" t="n">
        <v>0.9</v>
      </c>
      <c r="H7" t="n">
        <v>0.7</v>
      </c>
      <c r="I7" t="n">
        <v>0.5</v>
      </c>
    </row>
    <row r="8">
      <c r="A8" t="inlineStr">
        <is>
          <t>Kampong Speu</t>
        </is>
      </c>
      <c r="B8" t="n">
        <v>1</v>
      </c>
      <c r="C8" t="n">
        <v>0.9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0.9</v>
      </c>
    </row>
    <row r="9">
      <c r="A9" t="inlineStr">
        <is>
          <t>Kampong Thom</t>
        </is>
      </c>
      <c r="B9" t="n">
        <v>1</v>
      </c>
      <c r="C9" t="n">
        <v>1</v>
      </c>
      <c r="D9" t="n">
        <v>1</v>
      </c>
      <c r="E9" t="n">
        <v>1.1</v>
      </c>
      <c r="F9" t="n">
        <v>0.9</v>
      </c>
      <c r="G9" t="n">
        <v>1</v>
      </c>
      <c r="H9" t="n">
        <v>1.3</v>
      </c>
      <c r="I9" t="n">
        <v>1</v>
      </c>
    </row>
    <row r="10">
      <c r="A10" t="inlineStr">
        <is>
          <t>Kampot</t>
        </is>
      </c>
      <c r="B10" t="n">
        <v>1.2</v>
      </c>
      <c r="C10" t="n">
        <v>1.1</v>
      </c>
      <c r="D10" t="n">
        <v>1.2</v>
      </c>
      <c r="E10" t="n">
        <v>1</v>
      </c>
      <c r="F10" t="n">
        <v>1.2</v>
      </c>
      <c r="G10" t="n">
        <v>1.3</v>
      </c>
      <c r="H10" t="n">
        <v>1.2</v>
      </c>
      <c r="I10" t="n">
        <v>1.3</v>
      </c>
    </row>
    <row r="11">
      <c r="A11" t="inlineStr">
        <is>
          <t>Kandal</t>
        </is>
      </c>
      <c r="B11" t="n">
        <v>1.1</v>
      </c>
      <c r="C11" t="n">
        <v>1</v>
      </c>
      <c r="D11" t="n">
        <v>1.1</v>
      </c>
      <c r="E11" t="n">
        <v>0.9</v>
      </c>
      <c r="F11" t="n">
        <v>0.9</v>
      </c>
      <c r="G11" t="n">
        <v>1.1</v>
      </c>
      <c r="H11" t="n">
        <v>0.9</v>
      </c>
      <c r="I11" t="n">
        <v>1</v>
      </c>
    </row>
    <row r="12">
      <c r="A12" t="inlineStr">
        <is>
          <t>Kep</t>
        </is>
      </c>
      <c r="B12" t="n">
        <v>1.3</v>
      </c>
      <c r="C12" t="e">
        <v>#DIV/0!</v>
      </c>
      <c r="D12" t="n">
        <v>1.4</v>
      </c>
      <c r="E12" t="e">
        <v>#DIV/0!</v>
      </c>
      <c r="F12" t="e">
        <v>#DIV/0!</v>
      </c>
      <c r="G12" t="n">
        <v>1.6</v>
      </c>
      <c r="H12" t="e">
        <v>#DIV/0!</v>
      </c>
      <c r="I12" t="e">
        <v>#DIV/0!</v>
      </c>
    </row>
    <row r="13">
      <c r="A13" t="inlineStr">
        <is>
          <t>Koh Kong</t>
        </is>
      </c>
      <c r="B13" t="n">
        <v>1.2</v>
      </c>
      <c r="C13" t="n">
        <v>1.3</v>
      </c>
      <c r="D13" t="n">
        <v>1.2</v>
      </c>
      <c r="E13" t="n">
        <v>1.2</v>
      </c>
      <c r="F13" t="e">
        <v>#DIV/0!</v>
      </c>
      <c r="G13" t="n">
        <v>1.3</v>
      </c>
      <c r="H13" t="n">
        <v>1.6</v>
      </c>
      <c r="I13" t="e">
        <v>#DIV/0!</v>
      </c>
    </row>
    <row r="14">
      <c r="A14" t="inlineStr">
        <is>
          <t>Kratie</t>
        </is>
      </c>
      <c r="B14" t="n">
        <v>1.7</v>
      </c>
      <c r="C14" t="n">
        <v>0.8</v>
      </c>
      <c r="D14" t="n">
        <v>1.5</v>
      </c>
      <c r="E14" t="n">
        <v>1.1</v>
      </c>
      <c r="F14" t="n">
        <v>1.2</v>
      </c>
      <c r="G14" t="n">
        <v>1.4</v>
      </c>
      <c r="H14" t="n">
        <v>1.3</v>
      </c>
      <c r="I14" t="n">
        <v>1</v>
      </c>
    </row>
    <row r="15">
      <c r="A15" t="inlineStr">
        <is>
          <t>Mondul Kiri</t>
        </is>
      </c>
      <c r="B15" t="n">
        <v>1</v>
      </c>
      <c r="C15" t="n">
        <v>1</v>
      </c>
      <c r="D15" t="n">
        <v>0.9</v>
      </c>
      <c r="E15" t="n">
        <v>0.7</v>
      </c>
      <c r="F15" t="n">
        <v>1.1</v>
      </c>
      <c r="G15" t="n">
        <v>1</v>
      </c>
      <c r="H15" t="n">
        <v>0.7</v>
      </c>
      <c r="I15" t="n">
        <v>1.4</v>
      </c>
    </row>
    <row r="16">
      <c r="A16" t="inlineStr">
        <is>
          <t>Otdar Meanchey</t>
        </is>
      </c>
      <c r="B16" t="n">
        <v>1</v>
      </c>
      <c r="C16" t="n">
        <v>1</v>
      </c>
      <c r="D16" t="n">
        <v>0.9</v>
      </c>
      <c r="E16" t="e">
        <v>#DIV/0!</v>
      </c>
      <c r="F16" t="e">
        <v>#DIV/0!</v>
      </c>
      <c r="G16" t="n">
        <v>1</v>
      </c>
      <c r="H16" t="e">
        <v>#DIV/0!</v>
      </c>
      <c r="I16" t="e">
        <v>#DIV/0!</v>
      </c>
    </row>
    <row r="17">
      <c r="A17" t="inlineStr">
        <is>
          <t>Pailin</t>
        </is>
      </c>
      <c r="B17" t="n">
        <v>1.1</v>
      </c>
      <c r="C17" t="n">
        <v>1.2</v>
      </c>
      <c r="D17" t="n">
        <v>1.1</v>
      </c>
      <c r="E17" t="e">
        <v>#DIV/0!</v>
      </c>
      <c r="F17" t="e">
        <v>#DIV/0!</v>
      </c>
      <c r="G17" t="n">
        <v>1.1</v>
      </c>
      <c r="H17" t="e">
        <v>#DIV/0!</v>
      </c>
      <c r="I17" t="e">
        <v>#DIV/0!</v>
      </c>
    </row>
    <row r="18">
      <c r="A18" t="inlineStr">
        <is>
          <t>Phnom Penh</t>
        </is>
      </c>
      <c r="B18" t="n">
        <v>1</v>
      </c>
      <c r="C18" t="n">
        <v>1</v>
      </c>
      <c r="D18" t="n">
        <v>1</v>
      </c>
      <c r="E18" t="n">
        <v>1.1</v>
      </c>
      <c r="F18" t="n">
        <v>1.1</v>
      </c>
      <c r="G18" t="n">
        <v>1</v>
      </c>
      <c r="H18" t="n">
        <v>1.1</v>
      </c>
      <c r="I18" t="n">
        <v>1.1</v>
      </c>
    </row>
    <row r="19">
      <c r="A19" t="inlineStr">
        <is>
          <t>Preah Sihanouk</t>
        </is>
      </c>
      <c r="B19" t="n">
        <v>1.1</v>
      </c>
      <c r="C19" t="n">
        <v>1.3</v>
      </c>
      <c r="D19" t="n">
        <v>1.2</v>
      </c>
      <c r="E19" t="n">
        <v>1.1</v>
      </c>
      <c r="F19" t="n">
        <v>1</v>
      </c>
      <c r="G19" t="n">
        <v>1.2</v>
      </c>
      <c r="H19" t="n">
        <v>1</v>
      </c>
      <c r="I19" t="n">
        <v>1.2</v>
      </c>
    </row>
    <row r="20">
      <c r="A20" t="inlineStr">
        <is>
          <t>Preah Vihear</t>
        </is>
      </c>
      <c r="B20" t="n">
        <v>0.8</v>
      </c>
      <c r="C20" t="n">
        <v>0.7</v>
      </c>
      <c r="D20" t="n">
        <v>1</v>
      </c>
      <c r="E20" t="e">
        <v>#DIV/0!</v>
      </c>
      <c r="F20" t="e">
        <v>#DIV/0!</v>
      </c>
      <c r="G20" t="n">
        <v>1</v>
      </c>
      <c r="H20" t="e">
        <v>#DIV/0!</v>
      </c>
      <c r="I20" t="e">
        <v>#DIV/0!</v>
      </c>
    </row>
    <row r="21">
      <c r="A21" t="inlineStr">
        <is>
          <t>Prey Veng</t>
        </is>
      </c>
      <c r="B21" t="n">
        <v>1</v>
      </c>
      <c r="C21" t="n">
        <v>1</v>
      </c>
      <c r="D21" t="n">
        <v>1</v>
      </c>
      <c r="E21" t="e">
        <v>#DIV/0!</v>
      </c>
      <c r="F21" t="n">
        <v>1.7</v>
      </c>
      <c r="G21" t="n">
        <v>1</v>
      </c>
      <c r="H21" t="e">
        <v>#DIV/0!</v>
      </c>
      <c r="I21" t="n">
        <v>1.6</v>
      </c>
    </row>
    <row r="22">
      <c r="A22" t="inlineStr">
        <is>
          <t>Pursat</t>
        </is>
      </c>
      <c r="B22" t="n">
        <v>1.4</v>
      </c>
      <c r="C22" t="n">
        <v>1.5</v>
      </c>
      <c r="D22" t="n">
        <v>1.2</v>
      </c>
      <c r="E22" t="e">
        <v>#DIV/0!</v>
      </c>
      <c r="F22" t="e">
        <v>#DIV/0!</v>
      </c>
      <c r="G22" t="n">
        <v>1.2</v>
      </c>
      <c r="H22" t="e">
        <v>#DIV/0!</v>
      </c>
      <c r="I22" t="e">
        <v>#DIV/0!</v>
      </c>
    </row>
    <row r="23">
      <c r="A23" t="inlineStr">
        <is>
          <t>Ratanak Kiri</t>
        </is>
      </c>
      <c r="B23" t="n">
        <v>0.8</v>
      </c>
      <c r="C23" t="n">
        <v>0.9</v>
      </c>
      <c r="D23" t="n">
        <v>1</v>
      </c>
      <c r="E23" t="n">
        <v>0.9</v>
      </c>
      <c r="F23" t="n">
        <v>0.8</v>
      </c>
      <c r="G23" t="n">
        <v>1</v>
      </c>
      <c r="H23" t="n">
        <v>1</v>
      </c>
      <c r="I23" t="n">
        <v>0.9</v>
      </c>
    </row>
    <row r="24">
      <c r="A24" t="inlineStr">
        <is>
          <t>Siemreap</t>
        </is>
      </c>
      <c r="B24" t="n">
        <v>1.1</v>
      </c>
      <c r="C24" t="n">
        <v>1.2</v>
      </c>
      <c r="D24" t="n">
        <v>1</v>
      </c>
      <c r="E24" t="n">
        <v>1</v>
      </c>
      <c r="F24" t="n">
        <v>1.1</v>
      </c>
      <c r="G24" t="n">
        <v>1</v>
      </c>
      <c r="H24" t="n">
        <v>1.1</v>
      </c>
      <c r="I24" t="n">
        <v>1.1</v>
      </c>
    </row>
    <row r="25">
      <c r="A25" t="inlineStr">
        <is>
          <t>Stung Treng</t>
        </is>
      </c>
      <c r="B25" t="n">
        <v>1.3</v>
      </c>
      <c r="C25" t="n">
        <v>1.2</v>
      </c>
      <c r="D25" t="n">
        <v>1.2</v>
      </c>
      <c r="E25" t="n">
        <v>1.1</v>
      </c>
      <c r="F25" t="n">
        <v>3</v>
      </c>
      <c r="G25" t="n">
        <v>1.2</v>
      </c>
      <c r="H25" t="n">
        <v>1.1</v>
      </c>
      <c r="I25" t="n">
        <v>3</v>
      </c>
    </row>
    <row r="26">
      <c r="A26" t="inlineStr">
        <is>
          <t>Svay Rieng</t>
        </is>
      </c>
      <c r="B26" t="n">
        <v>0.6</v>
      </c>
      <c r="C26" t="n">
        <v>0.5</v>
      </c>
      <c r="D26" t="n">
        <v>0.7</v>
      </c>
      <c r="E26" t="e">
        <v>#DIV/0!</v>
      </c>
      <c r="F26" t="e">
        <v>#DIV/0!</v>
      </c>
      <c r="G26" t="n">
        <v>0.7</v>
      </c>
      <c r="H26" t="e">
        <v>#DIV/0!</v>
      </c>
      <c r="I26" t="e">
        <v>#DIV/0!</v>
      </c>
    </row>
    <row r="27">
      <c r="A27" t="inlineStr">
        <is>
          <t>Takeo</t>
        </is>
      </c>
      <c r="B27" t="n">
        <v>0.9</v>
      </c>
      <c r="C27" t="n">
        <v>0.9</v>
      </c>
      <c r="D27" t="n">
        <v>1</v>
      </c>
      <c r="E27" t="n">
        <v>1.1</v>
      </c>
      <c r="F27" t="n">
        <v>0.9</v>
      </c>
      <c r="G27" t="n">
        <v>1</v>
      </c>
      <c r="H27" t="n">
        <v>1.2</v>
      </c>
      <c r="I27" t="n">
        <v>0.9</v>
      </c>
    </row>
    <row r="28">
      <c r="A28" t="inlineStr">
        <is>
          <t>Tbaung Khmum</t>
        </is>
      </c>
      <c r="B28" t="n">
        <v>1.2</v>
      </c>
      <c r="C28" t="n">
        <v>1.1</v>
      </c>
      <c r="D28" t="n">
        <v>1.1</v>
      </c>
      <c r="E28" t="n">
        <v>1.2</v>
      </c>
      <c r="F28" t="n">
        <v>3.8</v>
      </c>
      <c r="G28" t="n">
        <v>1.1</v>
      </c>
      <c r="H28" t="n">
        <v>1.6</v>
      </c>
      <c r="I28" t="n">
        <v>5</v>
      </c>
    </row>
    <row r="29">
      <c r="A29" t="inlineStr">
        <is>
          <t>Whole Kingdom</t>
        </is>
      </c>
      <c r="B29" t="n">
        <v>1</v>
      </c>
      <c r="C29" t="n">
        <v>1</v>
      </c>
      <c r="D29" t="n">
        <v>1</v>
      </c>
      <c r="E29" t="n">
        <v>1.1</v>
      </c>
      <c r="F29" t="n">
        <v>1.1</v>
      </c>
      <c r="G29" t="n">
        <v>1</v>
      </c>
      <c r="H29" t="n">
        <v>1.1</v>
      </c>
      <c r="I29" t="n">
        <v>1.1</v>
      </c>
    </row>
    <row r="30">
      <c r="A30" t="inlineStr">
        <is>
          <t>- Urban Area</t>
        </is>
      </c>
      <c r="B30" t="n">
        <v>1</v>
      </c>
      <c r="C30" t="n">
        <v>1</v>
      </c>
      <c r="D30" t="n">
        <v>1</v>
      </c>
      <c r="E30" t="n">
        <v>1.1</v>
      </c>
      <c r="F30" t="n">
        <v>1.1</v>
      </c>
      <c r="G30" t="n">
        <v>1</v>
      </c>
      <c r="H30" t="n">
        <v>1.1</v>
      </c>
      <c r="I30" t="n">
        <v>1.1</v>
      </c>
    </row>
    <row r="31">
      <c r="A31" t="inlineStr">
        <is>
          <t>- Rural Area</t>
        </is>
      </c>
      <c r="B31" t="n">
        <v>1.1</v>
      </c>
      <c r="C31" t="n">
        <v>1.1</v>
      </c>
      <c r="D31" t="n">
        <v>1</v>
      </c>
      <c r="E31" t="n">
        <v>0.9</v>
      </c>
      <c r="F31" t="n">
        <v>1</v>
      </c>
      <c r="G31" t="n">
        <v>1</v>
      </c>
      <c r="H31" t="n">
        <v>1</v>
      </c>
      <c r="I31" t="n">
        <v>1.1</v>
      </c>
    </row>
  </sheetData>
  <mergeCells count="6">
    <mergeCell ref="D2:F2"/>
    <mergeCell ref="A1:J1"/>
    <mergeCell ref="G2:I2"/>
    <mergeCell ref="B2:B3"/>
    <mergeCell ref="A2:A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2026-03-11T06:53:40Z</dcterms:created>
  <dcterms:modified xmlns:dcterms="http://purl.org/dc/terms/" xmlns:xsi="http://www.w3.org/2001/XMLSchema-instance" xsi:type="dcterms:W3CDTF">2026-03-11T06:53:41Z</dcterms:modified>
</cp:coreProperties>
</file>