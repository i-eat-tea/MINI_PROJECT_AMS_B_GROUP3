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National Summary - Schools, Cla" sheetId="2" state="visible" r:id="rId2"/>
    <sheet xmlns:r="http://schemas.openxmlformats.org/officeDocument/2006/relationships" name="Schools, Classes &amp; Staff by Pro" sheetId="3" state="visible" r:id="rId3"/>
    <sheet xmlns:r="http://schemas.openxmlformats.org/officeDocument/2006/relationships" name="Colleges by Province" sheetId="4" state="visible" r:id="rId4"/>
    <sheet xmlns:r="http://schemas.openxmlformats.org/officeDocument/2006/relationships" name="Lycees by Province" sheetId="5" state="visible" r:id="rId5"/>
    <sheet xmlns:r="http://schemas.openxmlformats.org/officeDocument/2006/relationships" name="Pre-Schools by Province" sheetId="6" state="visible" r:id="rId6"/>
    <sheet xmlns:r="http://schemas.openxmlformats.org/officeDocument/2006/relationships" name="Primary Schools by Province" sheetId="7" state="visible" r:id="rId7"/>
    <sheet xmlns:r="http://schemas.openxmlformats.org/officeDocument/2006/relationships" name="Secondary Schools by Province" sheetId="8" state="visible" r:id="rId8"/>
    <sheet xmlns:r="http://schemas.openxmlformats.org/officeDocument/2006/relationships" name="Schools by Highest Grade Taught" sheetId="9" state="visible" r:id="rId9"/>
    <sheet xmlns:r="http://schemas.openxmlformats.org/officeDocument/2006/relationships" name="Enrollment &amp; Repeaters by Grade" sheetId="10" state="visible" r:id="rId10"/>
    <sheet xmlns:r="http://schemas.openxmlformats.org/officeDocument/2006/relationships" name="Enrollment by Level 2018-2019" sheetId="11" state="visible" r:id="rId11"/>
    <sheet xmlns:r="http://schemas.openxmlformats.org/officeDocument/2006/relationships" name="Enrollment by Level 2019-2020" sheetId="12" state="visible" r:id="rId12"/>
    <sheet xmlns:r="http://schemas.openxmlformats.org/officeDocument/2006/relationships" name="New Intake &amp; Enrollment by Age " sheetId="13" state="visible" r:id="rId13"/>
    <sheet xmlns:r="http://schemas.openxmlformats.org/officeDocument/2006/relationships" name="New Intake &amp; Enrollment by Ag 1" sheetId="14" state="visible" r:id="rId14"/>
    <sheet xmlns:r="http://schemas.openxmlformats.org/officeDocument/2006/relationships" name="Pre-School Enrollment Rate by A" sheetId="15" state="visible" r:id="rId15"/>
    <sheet xmlns:r="http://schemas.openxmlformats.org/officeDocument/2006/relationships" name="Pre-School Enrollment by Age (3" sheetId="16" state="visible" r:id="rId16"/>
    <sheet xmlns:r="http://schemas.openxmlformats.org/officeDocument/2006/relationships" name="Pre-School Enrollment by Step" sheetId="17" state="visible" r:id="rId17"/>
    <sheet xmlns:r="http://schemas.openxmlformats.org/officeDocument/2006/relationships" name="Non-Teaching Staff by Education" sheetId="18" state="visible" r:id="rId18"/>
    <sheet xmlns:r="http://schemas.openxmlformats.org/officeDocument/2006/relationships" name="Teaching Staff by Education Lev" sheetId="19" state="visible" r:id="rId19"/>
    <sheet xmlns:r="http://schemas.openxmlformats.org/officeDocument/2006/relationships" name="Learning Facilities (Computers," sheetId="20" state="visible" r:id="rId20"/>
    <sheet xmlns:r="http://schemas.openxmlformats.org/officeDocument/2006/relationships" name="School Building Conditions" sheetId="21" state="visible" r:id="rId21"/>
    <sheet xmlns:r="http://schemas.openxmlformats.org/officeDocument/2006/relationships" name="School Space &amp; Sports Facilitie" sheetId="22" state="visible" r:id="rId22"/>
    <sheet xmlns:r="http://schemas.openxmlformats.org/officeDocument/2006/relationships" name="School Fees - Pre-School (by St" sheetId="23" state="visible" r:id="rId23"/>
    <sheet xmlns:r="http://schemas.openxmlformats.org/officeDocument/2006/relationships" name="School Fees - Primary (by Grade" sheetId="24" state="visible" r:id="rId24"/>
    <sheet xmlns:r="http://schemas.openxmlformats.org/officeDocument/2006/relationships" name="School Fees - Secondary (by Gra" sheetId="25" state="visible" r:id="rId25"/>
    <sheet xmlns:r="http://schemas.openxmlformats.org/officeDocument/2006/relationships" name="Access &amp; Admission Rate Indicat" sheetId="26" state="visible" r:id="rId26"/>
    <sheet xmlns:r="http://schemas.openxmlformats.org/officeDocument/2006/relationships" name="Completion Rate 2019-2020" sheetId="27" state="visible" r:id="rId27"/>
    <sheet xmlns:r="http://schemas.openxmlformats.org/officeDocument/2006/relationships" name="Gender Parity Index 2019-2020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color rgb="00888888"/>
      <sz val="9"/>
    </font>
    <font>
      <name val="Arial"/>
      <sz val="10"/>
    </font>
    <font>
      <name val="Arial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FFC000"/>
      </patternFill>
    </fill>
    <fill>
      <patternFill patternType="solid">
        <fgColor rgb="00A9D18E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FF66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2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2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2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2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2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2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2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2" fillId="14" borderId="1" applyAlignment="1" pivotButton="0" quotePrefix="0" xfId="0">
      <alignment horizontal="left" vertical="center"/>
    </xf>
    <xf numFmtId="0" fontId="0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D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48" customWidth="1" min="3" max="3"/>
    <col width="34" customWidth="1" min="4" max="4"/>
  </cols>
  <sheetData>
    <row r="2" ht="32" customHeight="1">
      <c r="B2" s="1" t="inlineStr">
        <is>
          <t>Cambodia Education — Private Schools 2019-2020</t>
        </is>
      </c>
    </row>
    <row r="4" ht="20" customHeight="1">
      <c r="B4" s="2" t="inlineStr">
        <is>
          <t>Category</t>
        </is>
      </c>
      <c r="C4" s="2" t="inlineStr">
        <is>
          <t>Sheet Description</t>
        </is>
      </c>
      <c r="D4" s="2" t="inlineStr">
        <is>
          <t>Open Sheet →</t>
        </is>
      </c>
    </row>
    <row r="5" ht="17" customHeight="1">
      <c r="B5" s="3" t="inlineStr">
        <is>
          <t xml:space="preserve">  ▸  Overview</t>
        </is>
      </c>
      <c r="C5" s="4" t="n"/>
      <c r="D5" s="4" t="n"/>
    </row>
    <row r="6" ht="15" customHeight="1">
      <c r="B6" s="5" t="inlineStr">
        <is>
          <t>Overview</t>
        </is>
      </c>
      <c r="C6" s="6" t="inlineStr">
        <is>
          <t>National Summary - Schools, Classes &amp; Staff</t>
        </is>
      </c>
      <c r="D6" s="7">
        <f>HYPERLINK("#'National Summary - Schools, Cla'!A1","National Summary - Schools, Cla")</f>
        <v/>
      </c>
    </row>
    <row r="7" ht="15" customHeight="1">
      <c r="B7" s="8" t="inlineStr">
        <is>
          <t>Overview</t>
        </is>
      </c>
      <c r="C7" s="9" t="inlineStr">
        <is>
          <t>Schools, Classes &amp; Staff by Province</t>
        </is>
      </c>
      <c r="D7" s="10">
        <f>HYPERLINK("#'Schools, Classes &amp; Staff by Pro'!A1","Schools, Classes &amp; Staff by Pro")</f>
        <v/>
      </c>
    </row>
    <row r="8" ht="17" customHeight="1">
      <c r="B8" s="11" t="inlineStr">
        <is>
          <t xml:space="preserve">  ▸  School Types</t>
        </is>
      </c>
      <c r="C8" s="12" t="n"/>
      <c r="D8" s="12" t="n"/>
    </row>
    <row r="9" ht="15" customHeight="1">
      <c r="B9" s="8" t="inlineStr">
        <is>
          <t>School Types</t>
        </is>
      </c>
      <c r="C9" s="9" t="inlineStr">
        <is>
          <t>Colleges by Province</t>
        </is>
      </c>
      <c r="D9" s="10">
        <f>HYPERLINK("#'Colleges by Province'!A1","Colleges by Province")</f>
        <v/>
      </c>
    </row>
    <row r="10" ht="15" customHeight="1">
      <c r="B10" s="5" t="inlineStr">
        <is>
          <t>School Types</t>
        </is>
      </c>
      <c r="C10" s="6" t="inlineStr">
        <is>
          <t>Lycees by Province</t>
        </is>
      </c>
      <c r="D10" s="7">
        <f>HYPERLINK("#'Lycees by Province'!A1","Lycees by Province")</f>
        <v/>
      </c>
    </row>
    <row r="11" ht="15" customHeight="1">
      <c r="B11" s="8" t="inlineStr">
        <is>
          <t>School Types</t>
        </is>
      </c>
      <c r="C11" s="9" t="inlineStr">
        <is>
          <t>Pre-Schools by Province</t>
        </is>
      </c>
      <c r="D11" s="10">
        <f>HYPERLINK("#'Pre-Schools by Province'!A1","Pre-Schools by Province")</f>
        <v/>
      </c>
    </row>
    <row r="12" ht="15" customHeight="1">
      <c r="B12" s="5" t="inlineStr">
        <is>
          <t>School Types</t>
        </is>
      </c>
      <c r="C12" s="6" t="inlineStr">
        <is>
          <t>Primary Schools by Province</t>
        </is>
      </c>
      <c r="D12" s="7">
        <f>HYPERLINK("#'Primary Schools by Province'!A1","Primary Schools by Province")</f>
        <v/>
      </c>
    </row>
    <row r="13" ht="15" customHeight="1">
      <c r="B13" s="8" t="inlineStr">
        <is>
          <t>School Types</t>
        </is>
      </c>
      <c r="C13" s="9" t="inlineStr">
        <is>
          <t>Secondary Schools by Province</t>
        </is>
      </c>
      <c r="D13" s="10">
        <f>HYPERLINK("#'Secondary Schools by Province'!A1","Secondary Schools by Province")</f>
        <v/>
      </c>
    </row>
    <row r="14" ht="17" customHeight="1">
      <c r="B14" s="13" t="inlineStr">
        <is>
          <t xml:space="preserve">  ▸  School Info</t>
        </is>
      </c>
      <c r="C14" s="14" t="n"/>
      <c r="D14" s="14" t="n"/>
    </row>
    <row r="15" ht="15" customHeight="1">
      <c r="B15" s="8" t="inlineStr">
        <is>
          <t>School Info</t>
        </is>
      </c>
      <c r="C15" s="9" t="inlineStr">
        <is>
          <t>Schools by Highest Grade Taught</t>
        </is>
      </c>
      <c r="D15" s="10">
        <f>HYPERLINK("#'Schools by Highest Grade Taught'!A1","Schools by Highest Grade Taught")</f>
        <v/>
      </c>
    </row>
    <row r="16" ht="17" customHeight="1">
      <c r="B16" s="15" t="inlineStr">
        <is>
          <t xml:space="preserve">  ▸  Enrollment</t>
        </is>
      </c>
      <c r="C16" s="16" t="n"/>
      <c r="D16" s="16" t="n"/>
    </row>
    <row r="17" ht="15" customHeight="1">
      <c r="B17" s="8" t="inlineStr">
        <is>
          <t>Enrollment</t>
        </is>
      </c>
      <c r="C17" s="9" t="inlineStr">
        <is>
          <t>Enrollment &amp; Repeaters by Grade</t>
        </is>
      </c>
      <c r="D17" s="10">
        <f>HYPERLINK("#'Enrollment &amp; Repeaters by Grade'!A1","Enrollment &amp; Repeaters by Grade")</f>
        <v/>
      </c>
    </row>
    <row r="18" ht="15" customHeight="1">
      <c r="B18" s="5" t="inlineStr">
        <is>
          <t>Enrollment</t>
        </is>
      </c>
      <c r="C18" s="6" t="inlineStr">
        <is>
          <t>Enrollment by Level 2018-2019</t>
        </is>
      </c>
      <c r="D18" s="7">
        <f>HYPERLINK("#'Enrollment by Level 2018-2019'!A1","Enrollment by Level 2018-2019")</f>
        <v/>
      </c>
    </row>
    <row r="19" ht="15" customHeight="1">
      <c r="B19" s="8" t="inlineStr">
        <is>
          <t>Enrollment</t>
        </is>
      </c>
      <c r="C19" s="9" t="inlineStr">
        <is>
          <t>Enrollment by Level 2019-2020</t>
        </is>
      </c>
      <c r="D19" s="10">
        <f>HYPERLINK("#'Enrollment by Level 2019-2020'!A1","Enrollment by Level 2019-2020")</f>
        <v/>
      </c>
    </row>
    <row r="20" ht="15" customHeight="1">
      <c r="B20" s="5" t="inlineStr">
        <is>
          <t>Enrollment</t>
        </is>
      </c>
      <c r="C20" s="6" t="inlineStr">
        <is>
          <t>New Intake &amp; Enrollment by Age (Both)</t>
        </is>
      </c>
      <c r="D20" s="7">
        <f>HYPERLINK("#'New Intake &amp; Enrollment by Age '!A1","New Intake &amp; Enrollment by Age ")</f>
        <v/>
      </c>
    </row>
    <row r="21" ht="15" customHeight="1">
      <c r="B21" s="8" t="inlineStr">
        <is>
          <t>Enrollment</t>
        </is>
      </c>
      <c r="C21" s="9" t="inlineStr">
        <is>
          <t>New Intake &amp; Enrollment by Age (Female)</t>
        </is>
      </c>
      <c r="D21" s="10">
        <f>HYPERLINK("#'New Intake &amp; Enrollment by Ag 1'!A1","New Intake &amp; Enrollment by Ag 1")</f>
        <v/>
      </c>
    </row>
    <row r="22" ht="15" customHeight="1">
      <c r="B22" s="5" t="inlineStr">
        <is>
          <t>Enrollment</t>
        </is>
      </c>
      <c r="C22" s="6" t="inlineStr">
        <is>
          <t>Pre-School Enrollment Rate by Age (3-5 yrs)</t>
        </is>
      </c>
      <c r="D22" s="7">
        <f>HYPERLINK("#'Pre-School Enrollment Rate by A'!A1","Pre-School Enrollment Rate by A")</f>
        <v/>
      </c>
    </row>
    <row r="23" ht="15" customHeight="1">
      <c r="B23" s="8" t="inlineStr">
        <is>
          <t>Enrollment</t>
        </is>
      </c>
      <c r="C23" s="9" t="inlineStr">
        <is>
          <t>Pre-School Enrollment by Age (3-5 yrs)</t>
        </is>
      </c>
      <c r="D23" s="10">
        <f>HYPERLINK("#'Pre-School Enrollment by Age (3'!A1","Pre-School Enrollment by Age (3")</f>
        <v/>
      </c>
    </row>
    <row r="24" ht="15" customHeight="1">
      <c r="B24" s="5" t="inlineStr">
        <is>
          <t>Enrollment</t>
        </is>
      </c>
      <c r="C24" s="6" t="inlineStr">
        <is>
          <t>Pre-School Enrollment by Step</t>
        </is>
      </c>
      <c r="D24" s="7">
        <f>HYPERLINK("#'Pre-School Enrollment by Step'!A1","Pre-School Enrollment by Step")</f>
        <v/>
      </c>
    </row>
    <row r="25" ht="17" customHeight="1">
      <c r="B25" s="17" t="inlineStr">
        <is>
          <t xml:space="preserve">  ▸  Staff</t>
        </is>
      </c>
      <c r="C25" s="18" t="n"/>
      <c r="D25" s="18" t="n"/>
    </row>
    <row r="26" ht="15" customHeight="1">
      <c r="B26" s="5" t="inlineStr">
        <is>
          <t>Staff</t>
        </is>
      </c>
      <c r="C26" s="6" t="inlineStr">
        <is>
          <t>Non-Teaching Staff by Education Level</t>
        </is>
      </c>
      <c r="D26" s="7">
        <f>HYPERLINK("#'Non-Teaching Staff by Education'!A1","Non-Teaching Staff by Education")</f>
        <v/>
      </c>
    </row>
    <row r="27" ht="15" customHeight="1">
      <c r="B27" s="8" t="inlineStr">
        <is>
          <t>Staff</t>
        </is>
      </c>
      <c r="C27" s="9" t="inlineStr">
        <is>
          <t>Teaching Staff by Education Level</t>
        </is>
      </c>
      <c r="D27" s="10">
        <f>HYPERLINK("#'Teaching Staff by Education Lev'!A1","Teaching Staff by Education Lev")</f>
        <v/>
      </c>
    </row>
    <row r="28" ht="17" customHeight="1">
      <c r="B28" s="19" t="inlineStr">
        <is>
          <t xml:space="preserve">  ▸  Facilities</t>
        </is>
      </c>
      <c r="C28" s="20" t="n"/>
      <c r="D28" s="20" t="n"/>
    </row>
    <row r="29" ht="15" customHeight="1">
      <c r="B29" s="8" t="inlineStr">
        <is>
          <t>Facilities</t>
        </is>
      </c>
      <c r="C29" s="9" t="inlineStr">
        <is>
          <t>Learning Facilities (Computers, Library etc.)</t>
        </is>
      </c>
      <c r="D29" s="10">
        <f>HYPERLINK("#'Learning Facilities (Computers,'!A1","Learning Facilities (Computers,")</f>
        <v/>
      </c>
    </row>
    <row r="30" ht="15" customHeight="1">
      <c r="B30" s="5" t="inlineStr">
        <is>
          <t>Facilities</t>
        </is>
      </c>
      <c r="C30" s="6" t="inlineStr">
        <is>
          <t>School Building Conditions</t>
        </is>
      </c>
      <c r="D30" s="7">
        <f>HYPERLINK("#'School Building Conditions'!A1","School Building Conditions")</f>
        <v/>
      </c>
    </row>
    <row r="31" ht="15" customHeight="1">
      <c r="B31" s="8" t="inlineStr">
        <is>
          <t>Facilities</t>
        </is>
      </c>
      <c r="C31" s="9" t="inlineStr">
        <is>
          <t>School Space &amp; Sports Facilities</t>
        </is>
      </c>
      <c r="D31" s="10">
        <f>HYPERLINK("#'School Space &amp; Sports Facilitie'!A1","School Space &amp; Sports Facilitie")</f>
        <v/>
      </c>
    </row>
    <row r="32" ht="17" customHeight="1">
      <c r="B32" s="21" t="inlineStr">
        <is>
          <t xml:space="preserve">  ▸  Fees</t>
        </is>
      </c>
      <c r="C32" s="22" t="n"/>
      <c r="D32" s="22" t="n"/>
    </row>
    <row r="33" ht="15" customHeight="1">
      <c r="B33" s="8" t="inlineStr">
        <is>
          <t>Fees</t>
        </is>
      </c>
      <c r="C33" s="9" t="inlineStr">
        <is>
          <t>School Fees - Pre-School (by Step)</t>
        </is>
      </c>
      <c r="D33" s="10">
        <f>HYPERLINK("#'School Fees - Pre-School (by St'!A1","School Fees - Pre-School (by St")</f>
        <v/>
      </c>
    </row>
    <row r="34" ht="15" customHeight="1">
      <c r="B34" s="5" t="inlineStr">
        <is>
          <t>Fees</t>
        </is>
      </c>
      <c r="C34" s="6" t="inlineStr">
        <is>
          <t>School Fees - Primary (by Grade)</t>
        </is>
      </c>
      <c r="D34" s="7">
        <f>HYPERLINK("#'School Fees - Primary (by Grade'!A1","School Fees - Primary (by Grade")</f>
        <v/>
      </c>
    </row>
    <row r="35" ht="15" customHeight="1">
      <c r="B35" s="8" t="inlineStr">
        <is>
          <t>Fees</t>
        </is>
      </c>
      <c r="C35" s="9" t="inlineStr">
        <is>
          <t>School Fees - Secondary (by Grade)</t>
        </is>
      </c>
      <c r="D35" s="10">
        <f>HYPERLINK("#'School Fees - Secondary (by Gra'!A1","School Fees - Secondary (by Gra")</f>
        <v/>
      </c>
    </row>
    <row r="36" ht="17" customHeight="1">
      <c r="B36" s="23" t="inlineStr">
        <is>
          <t xml:space="preserve">  ▸  Indicators</t>
        </is>
      </c>
      <c r="C36" s="24" t="n"/>
      <c r="D36" s="24" t="n"/>
    </row>
    <row r="37" ht="15" customHeight="1">
      <c r="B37" s="8" t="inlineStr">
        <is>
          <t>Indicators</t>
        </is>
      </c>
      <c r="C37" s="9" t="inlineStr">
        <is>
          <t>Access &amp; Admission Rate Indicators</t>
        </is>
      </c>
      <c r="D37" s="10">
        <f>HYPERLINK("#'Access &amp; Admission Rate Indicat'!A1","Access &amp; Admission Rate Indicat")</f>
        <v/>
      </c>
    </row>
    <row r="38" ht="17" customHeight="1">
      <c r="B38" s="25" t="inlineStr">
        <is>
          <t xml:space="preserve">  ▸  Student Flow</t>
        </is>
      </c>
      <c r="C38" s="26" t="n"/>
      <c r="D38" s="26" t="n"/>
    </row>
    <row r="39" ht="15" customHeight="1">
      <c r="B39" s="8" t="inlineStr">
        <is>
          <t>Student Flow</t>
        </is>
      </c>
      <c r="C39" s="9" t="inlineStr">
        <is>
          <t>Completion Rate 2019-2020</t>
        </is>
      </c>
      <c r="D39" s="10">
        <f>HYPERLINK("#'Completion Rate 2019-2020'!A1","Completion Rate 2019-2020")</f>
        <v/>
      </c>
    </row>
    <row r="40" ht="17" customHeight="1">
      <c r="B40" s="27" t="inlineStr">
        <is>
          <t xml:space="preserve">  ▸  Gender &amp; Equity</t>
        </is>
      </c>
      <c r="C40" s="28" t="n"/>
      <c r="D40" s="28" t="n"/>
    </row>
    <row r="41" ht="15" customHeight="1">
      <c r="B41" s="8" t="inlineStr">
        <is>
          <t>Gender &amp; Equity</t>
        </is>
      </c>
      <c r="C41" s="9" t="inlineStr">
        <is>
          <t>Gender Parity Index 2019-2020</t>
        </is>
      </c>
      <c r="D41" s="10">
        <f>HYPERLINK("#'Gender Parity Index 2019-2020'!A1","Gender Parity Index 2019-2020")</f>
        <v/>
      </c>
    </row>
  </sheetData>
  <mergeCells count="11">
    <mergeCell ref="B28:D28"/>
    <mergeCell ref="B5:D5"/>
    <mergeCell ref="B14:D14"/>
    <mergeCell ref="B36:D36"/>
    <mergeCell ref="B8:D8"/>
    <mergeCell ref="B32:D32"/>
    <mergeCell ref="B40:D40"/>
    <mergeCell ref="B2:D2"/>
    <mergeCell ref="B25:D25"/>
    <mergeCell ref="B38:D38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27.33203125" customWidth="1" min="1" max="1"/>
    <col width="8.1640625" customWidth="1" min="2" max="2"/>
    <col width="8.5" customWidth="1" min="3" max="3"/>
    <col width="6.83203125" customWidth="1" min="4" max="4"/>
    <col width="8.83203125" customWidth="1" min="5" max="5"/>
    <col width="6.6640625" customWidth="1" min="6" max="6"/>
    <col width="7.33203125" customWidth="1" min="8" max="8"/>
    <col width="10.6640625" customWidth="1" min="9" max="9"/>
    <col width="6" customWidth="1" min="10" max="10"/>
    <col width="8.5" customWidth="1" min="11" max="11"/>
    <col width="6.5" customWidth="1" min="13" max="13"/>
    <col width="7.5" customWidth="1" min="15" max="15"/>
    <col width="6.83203125" customWidth="1" min="16" max="16"/>
    <col width="9.33203125" customWidth="1" min="17" max="17"/>
    <col width="6.1640625" customWidth="1" min="19" max="19"/>
    <col width="9.33203125" customWidth="1" min="20" max="20"/>
    <col width="3.83203125" customWidth="1" min="21" max="21"/>
  </cols>
  <sheetData>
    <row r="1">
      <c r="A1" t="inlineStr">
        <is>
          <t>Table 1: Schools, Classes, Students and Staff</t>
        </is>
      </c>
    </row>
    <row r="2">
      <c r="A2" t="inlineStr">
        <is>
          <t>Particulars</t>
        </is>
      </c>
      <c r="B2" t="inlineStr">
        <is>
          <t>Number of Schools</t>
        </is>
      </c>
      <c r="C2" t="inlineStr">
        <is>
          <t>Number of Classes</t>
        </is>
      </c>
      <c r="D2" t="inlineStr">
        <is>
          <t>Schools</t>
        </is>
      </c>
      <c r="K2" t="inlineStr">
        <is>
          <t>Enrollment</t>
        </is>
      </c>
      <c r="M2" t="inlineStr">
        <is>
          <t>Repeaters</t>
        </is>
      </c>
      <c r="O2" t="inlineStr">
        <is>
          <t>Teaching Staff</t>
        </is>
      </c>
      <c r="Q2" t="inlineStr">
        <is>
          <t>Non-Teaching Staff</t>
        </is>
      </c>
      <c r="S2" t="inlineStr">
        <is>
          <t>Gov. staff</t>
        </is>
      </c>
      <c r="T2" t="inlineStr">
        <is>
          <t>Foreigner Teaching Staff</t>
        </is>
      </c>
    </row>
    <row r="3">
      <c r="D3" t="inlineStr">
        <is>
          <t>khmer</t>
        </is>
      </c>
      <c r="E3" t="inlineStr">
        <is>
          <t>Chinesse</t>
        </is>
      </c>
      <c r="F3" t="inlineStr">
        <is>
          <t>Muslim</t>
        </is>
      </c>
      <c r="G3" t="inlineStr">
        <is>
          <t>French</t>
        </is>
      </c>
      <c r="H3" t="inlineStr">
        <is>
          <t>English</t>
        </is>
      </c>
      <c r="I3" t="inlineStr">
        <is>
          <t>Vietnamese</t>
        </is>
      </c>
      <c r="J3" t="inlineStr">
        <is>
          <t>Other</t>
        </is>
      </c>
      <c r="K3" t="inlineStr">
        <is>
          <t>Total</t>
        </is>
      </c>
      <c r="L3" t="inlineStr">
        <is>
          <t>Girl</t>
        </is>
      </c>
      <c r="M3" t="inlineStr">
        <is>
          <t>Total</t>
        </is>
      </c>
      <c r="N3" t="inlineStr">
        <is>
          <t>Girl</t>
        </is>
      </c>
      <c r="O3" t="inlineStr">
        <is>
          <t>Total</t>
        </is>
      </c>
      <c r="P3" t="inlineStr">
        <is>
          <t>Female</t>
        </is>
      </c>
      <c r="Q3" t="inlineStr">
        <is>
          <t>Total</t>
        </is>
      </c>
      <c r="R3" t="inlineStr">
        <is>
          <t>Female</t>
        </is>
      </c>
    </row>
    <row r="4">
      <c r="A4" t="inlineStr">
        <is>
          <t>Whole Kingdom</t>
        </is>
      </c>
      <c r="B4" t="n">
        <v>1426</v>
      </c>
      <c r="C4" t="n">
        <v>11000</v>
      </c>
      <c r="D4" t="n">
        <v>1024</v>
      </c>
      <c r="E4" t="n">
        <v>234</v>
      </c>
      <c r="F4" t="n">
        <v>38</v>
      </c>
      <c r="G4" t="n">
        <v>0</v>
      </c>
      <c r="H4" t="n">
        <v>128</v>
      </c>
      <c r="I4" t="n">
        <v>1</v>
      </c>
      <c r="J4" t="n">
        <v>1</v>
      </c>
      <c r="K4" t="n">
        <v>253569</v>
      </c>
      <c r="L4" t="n">
        <v>126580</v>
      </c>
      <c r="M4" t="n">
        <v>3799</v>
      </c>
      <c r="N4" t="n">
        <v>1623</v>
      </c>
      <c r="O4" t="n">
        <v>16069</v>
      </c>
      <c r="P4" t="n">
        <v>9361</v>
      </c>
      <c r="Q4" t="n">
        <v>7276</v>
      </c>
      <c r="R4" t="n">
        <v>4280</v>
      </c>
      <c r="S4" t="n">
        <v>5739</v>
      </c>
      <c r="T4" t="n">
        <v>1294</v>
      </c>
    </row>
    <row r="5">
      <c r="A5" t="inlineStr">
        <is>
          <t>Pre School</t>
        </is>
      </c>
      <c r="B5" t="n">
        <v>594</v>
      </c>
      <c r="C5" t="n">
        <v>2596</v>
      </c>
      <c r="D5" t="n">
        <v>406</v>
      </c>
      <c r="E5" t="n">
        <v>98</v>
      </c>
      <c r="F5" t="n">
        <v>4</v>
      </c>
      <c r="G5" t="n">
        <v>0</v>
      </c>
      <c r="H5" t="n">
        <v>85</v>
      </c>
      <c r="I5" t="n">
        <v>1</v>
      </c>
      <c r="J5" t="n">
        <v>0</v>
      </c>
      <c r="K5" t="n">
        <v>56004</v>
      </c>
      <c r="L5" t="n">
        <v>27831</v>
      </c>
      <c r="M5" t="n">
        <v>0</v>
      </c>
      <c r="N5" t="n">
        <v>0</v>
      </c>
      <c r="O5" t="n">
        <v>3182</v>
      </c>
      <c r="P5" t="n">
        <v>2668</v>
      </c>
      <c r="Q5" t="n">
        <v>2033</v>
      </c>
      <c r="R5" t="n">
        <v>1459</v>
      </c>
      <c r="S5" t="n">
        <v>474</v>
      </c>
      <c r="T5" t="n">
        <v>447</v>
      </c>
    </row>
    <row r="6">
      <c r="A6" t="inlineStr">
        <is>
          <t>Primary School</t>
        </is>
      </c>
      <c r="B6" t="n">
        <v>574</v>
      </c>
      <c r="C6" t="n">
        <v>5969</v>
      </c>
      <c r="D6" t="n">
        <v>416</v>
      </c>
      <c r="E6" t="n">
        <v>95</v>
      </c>
      <c r="F6" t="n">
        <v>28</v>
      </c>
      <c r="G6" t="n">
        <v>0</v>
      </c>
      <c r="H6" t="n">
        <v>34</v>
      </c>
      <c r="I6" t="n">
        <v>0</v>
      </c>
      <c r="J6" t="n">
        <v>1</v>
      </c>
      <c r="K6" t="n">
        <v>137637</v>
      </c>
      <c r="L6" t="n">
        <v>67994</v>
      </c>
      <c r="M6" t="n">
        <v>3283</v>
      </c>
      <c r="N6" t="n">
        <v>1418</v>
      </c>
      <c r="O6" t="n">
        <v>6572</v>
      </c>
      <c r="P6" t="n">
        <v>4431</v>
      </c>
      <c r="Q6" t="n">
        <v>3250</v>
      </c>
      <c r="R6" t="n">
        <v>1879</v>
      </c>
      <c r="S6" t="n">
        <v>2145</v>
      </c>
      <c r="T6" t="n">
        <v>493</v>
      </c>
    </row>
    <row r="7">
      <c r="A7" t="inlineStr">
        <is>
          <t>College(Grade7-9)</t>
        </is>
      </c>
      <c r="B7" t="n">
        <v>87</v>
      </c>
      <c r="C7" t="n">
        <v>277</v>
      </c>
      <c r="D7" t="n">
        <v>54</v>
      </c>
      <c r="E7" t="n">
        <v>28</v>
      </c>
      <c r="F7" t="n">
        <v>2</v>
      </c>
      <c r="G7" t="n">
        <v>0</v>
      </c>
      <c r="H7" t="n">
        <v>3</v>
      </c>
      <c r="I7" t="n">
        <v>0</v>
      </c>
      <c r="J7" t="n">
        <v>0</v>
      </c>
      <c r="K7" t="n">
        <v>5862</v>
      </c>
      <c r="L7" t="n">
        <v>2798</v>
      </c>
      <c r="M7" t="n">
        <v>40</v>
      </c>
      <c r="N7" t="n">
        <v>10</v>
      </c>
      <c r="O7" t="n">
        <v>930</v>
      </c>
      <c r="P7" t="n">
        <v>396</v>
      </c>
      <c r="Q7" t="n">
        <v>312</v>
      </c>
      <c r="R7" t="n">
        <v>157</v>
      </c>
      <c r="S7" t="n">
        <v>378</v>
      </c>
      <c r="T7" t="n">
        <v>99</v>
      </c>
    </row>
    <row r="8">
      <c r="A8" t="inlineStr">
        <is>
          <t>Lycee(Grade10-12)</t>
        </is>
      </c>
      <c r="B8" t="n">
        <v>4</v>
      </c>
      <c r="C8" t="n">
        <v>15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366</v>
      </c>
      <c r="L8" t="n">
        <v>181</v>
      </c>
      <c r="M8" t="n">
        <v>2</v>
      </c>
      <c r="N8" t="n">
        <v>1</v>
      </c>
      <c r="O8" t="n">
        <v>67</v>
      </c>
      <c r="P8" t="n">
        <v>23</v>
      </c>
      <c r="Q8" t="n">
        <v>10</v>
      </c>
      <c r="R8" t="n">
        <v>5</v>
      </c>
      <c r="S8" t="n">
        <v>24</v>
      </c>
      <c r="T8" t="n">
        <v>1</v>
      </c>
    </row>
    <row r="9">
      <c r="A9" t="inlineStr">
        <is>
          <t>Lycee(Grade7-12)</t>
        </is>
      </c>
      <c r="B9" t="n">
        <v>167</v>
      </c>
      <c r="C9" t="n">
        <v>2143</v>
      </c>
      <c r="D9" t="n">
        <v>144</v>
      </c>
      <c r="E9" t="n">
        <v>13</v>
      </c>
      <c r="F9" t="n">
        <v>4</v>
      </c>
      <c r="G9" t="n">
        <v>0</v>
      </c>
      <c r="H9" t="n">
        <v>6</v>
      </c>
      <c r="I9" t="n">
        <v>0</v>
      </c>
      <c r="J9" t="n">
        <v>0</v>
      </c>
      <c r="K9" t="n">
        <v>53700</v>
      </c>
      <c r="L9" t="n">
        <v>27776</v>
      </c>
      <c r="M9" t="n">
        <v>474</v>
      </c>
      <c r="N9" t="n">
        <v>194</v>
      </c>
      <c r="O9" t="n">
        <v>5318</v>
      </c>
      <c r="P9" t="n">
        <v>1843</v>
      </c>
      <c r="Q9" t="n">
        <v>1671</v>
      </c>
      <c r="R9" t="n">
        <v>780</v>
      </c>
      <c r="S9" t="n">
        <v>2718</v>
      </c>
      <c r="T9" t="n">
        <v>254</v>
      </c>
    </row>
    <row r="10">
      <c r="A10" t="inlineStr">
        <is>
          <t>Lower Secondary(Grade7-9)</t>
        </is>
      </c>
      <c r="B10" t="n">
        <v>254</v>
      </c>
      <c r="C10" t="n">
        <v>1441</v>
      </c>
      <c r="D10" t="n">
        <v>198</v>
      </c>
      <c r="E10" t="n">
        <v>41</v>
      </c>
      <c r="F10" t="n">
        <v>6</v>
      </c>
      <c r="G10" t="n">
        <v>0</v>
      </c>
      <c r="H10" t="n">
        <v>9</v>
      </c>
      <c r="I10" t="n">
        <v>0</v>
      </c>
      <c r="J10" t="n">
        <v>0</v>
      </c>
      <c r="K10" t="n">
        <v>36087</v>
      </c>
      <c r="L10" t="n">
        <v>18546</v>
      </c>
      <c r="M10" t="n">
        <v>379</v>
      </c>
      <c r="N10" t="n">
        <v>161</v>
      </c>
    </row>
    <row r="11">
      <c r="A11" t="inlineStr">
        <is>
          <t>Upper Secondary(Grade10-12</t>
        </is>
      </c>
      <c r="B11" t="n">
        <v>171</v>
      </c>
      <c r="C11" t="n">
        <v>994</v>
      </c>
      <c r="D11" t="n">
        <v>148</v>
      </c>
      <c r="E11" t="n">
        <v>13</v>
      </c>
      <c r="F11" t="n">
        <v>4</v>
      </c>
      <c r="G11" t="n">
        <v>0</v>
      </c>
      <c r="H11" t="n">
        <v>6</v>
      </c>
      <c r="I11" t="n">
        <v>0</v>
      </c>
      <c r="J11" t="n">
        <v>0</v>
      </c>
      <c r="K11" t="n">
        <v>23841</v>
      </c>
      <c r="L11" t="n">
        <v>12209</v>
      </c>
      <c r="M11" t="n">
        <v>137</v>
      </c>
      <c r="N11" t="n">
        <v>44</v>
      </c>
    </row>
    <row r="12">
      <c r="A12" t="inlineStr">
        <is>
          <t>- Urban Area</t>
        </is>
      </c>
      <c r="B12" t="n">
        <v>1131</v>
      </c>
      <c r="C12" t="n">
        <v>9402</v>
      </c>
      <c r="D12" t="n">
        <v>860</v>
      </c>
      <c r="E12" t="n">
        <v>168</v>
      </c>
      <c r="F12" t="n">
        <v>6</v>
      </c>
      <c r="G12" t="n">
        <v>0</v>
      </c>
      <c r="H12" t="n">
        <v>96</v>
      </c>
      <c r="I12" t="n">
        <v>1</v>
      </c>
      <c r="J12" t="n">
        <v>0</v>
      </c>
      <c r="K12" t="n">
        <v>214004</v>
      </c>
      <c r="L12" t="n">
        <v>106028</v>
      </c>
      <c r="M12" t="n">
        <v>3016</v>
      </c>
      <c r="N12" t="n">
        <v>1263</v>
      </c>
      <c r="O12" t="n">
        <v>13718</v>
      </c>
      <c r="P12" t="n">
        <v>8082</v>
      </c>
      <c r="Q12" t="n">
        <v>6771</v>
      </c>
      <c r="R12" t="n">
        <v>4065</v>
      </c>
      <c r="S12" t="n">
        <v>5004</v>
      </c>
      <c r="T12" t="n">
        <v>1138</v>
      </c>
    </row>
    <row r="13">
      <c r="A13" t="inlineStr">
        <is>
          <t>- Rural Area</t>
        </is>
      </c>
      <c r="B13" t="n">
        <v>295</v>
      </c>
      <c r="C13" t="n">
        <v>1598</v>
      </c>
      <c r="D13" t="n">
        <v>164</v>
      </c>
      <c r="E13" t="n">
        <v>66</v>
      </c>
      <c r="F13" t="n">
        <v>32</v>
      </c>
      <c r="G13" t="n">
        <v>0</v>
      </c>
      <c r="H13" t="n">
        <v>32</v>
      </c>
      <c r="I13" t="n">
        <v>0</v>
      </c>
      <c r="J13" t="n">
        <v>1</v>
      </c>
      <c r="K13" t="n">
        <v>39565</v>
      </c>
      <c r="L13" t="n">
        <v>20552</v>
      </c>
      <c r="M13" t="n">
        <v>783</v>
      </c>
      <c r="N13" t="n">
        <v>360</v>
      </c>
      <c r="O13" t="n">
        <v>2351</v>
      </c>
      <c r="P13" t="n">
        <v>1279</v>
      </c>
      <c r="Q13" t="n">
        <v>505</v>
      </c>
      <c r="R13" t="n">
        <v>215</v>
      </c>
      <c r="S13" t="n">
        <v>735</v>
      </c>
      <c r="T13" t="n">
        <v>156</v>
      </c>
    </row>
    <row r="14">
      <c r="A14" t="inlineStr">
        <is>
          <t>Page 1                                                                                                                                                            Whole Kingdom                                                                                                                      Summary Statistics, 2019-2020</t>
        </is>
      </c>
    </row>
  </sheetData>
  <mergeCells count="12">
    <mergeCell ref="O2:P2"/>
    <mergeCell ref="M2:N2"/>
    <mergeCell ref="T2:T3"/>
    <mergeCell ref="Q2:R2"/>
    <mergeCell ref="K2:L2"/>
    <mergeCell ref="B2:B3"/>
    <mergeCell ref="A2:A3"/>
    <mergeCell ref="A14:U14"/>
    <mergeCell ref="C2:C3"/>
    <mergeCell ref="A1:U1"/>
    <mergeCell ref="D2:J2"/>
    <mergeCell ref="S2:S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.83203125" customWidth="1" min="1" max="1"/>
    <col width="10" customWidth="1" min="2" max="2"/>
    <col width="10.1640625" customWidth="1" min="10" max="10"/>
    <col width="11.33203125" customWidth="1" min="11" max="11"/>
    <col width="10.5" customWidth="1" min="13" max="13"/>
    <col width="10.1640625" customWidth="1" min="14" max="14"/>
    <col width="10.6640625" customWidth="1" min="15" max="15"/>
  </cols>
  <sheetData>
    <row r="1">
      <c r="A1" t="inlineStr">
        <is>
          <t>Province</t>
        </is>
      </c>
      <c r="B1" t="inlineStr">
        <is>
          <t>Number of
Schools</t>
        </is>
      </c>
      <c r="C1" t="inlineStr">
        <is>
          <t>Number of
Classes</t>
        </is>
      </c>
      <c r="D1" t="inlineStr">
        <is>
          <t>Enrollment</t>
        </is>
      </c>
      <c r="F1" t="inlineStr">
        <is>
          <t>Teaching Staff</t>
        </is>
      </c>
      <c r="H1" t="inlineStr">
        <is>
          <t>Non-Teaching Staff</t>
        </is>
      </c>
      <c r="J1" t="inlineStr">
        <is>
          <t>Govern. staff</t>
        </is>
      </c>
      <c r="K1" t="inlineStr">
        <is>
          <t>Foreigner Teaching Staff</t>
        </is>
      </c>
      <c r="M1" t="inlineStr">
        <is>
          <t>Buildings</t>
        </is>
      </c>
      <c r="N1" t="inlineStr">
        <is>
          <t>Rooms</t>
        </is>
      </c>
      <c r="O1" t="inlineStr">
        <is>
          <t>Classrooms</t>
        </is>
      </c>
    </row>
    <row r="2"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Female</t>
        </is>
      </c>
      <c r="H2" t="inlineStr">
        <is>
          <t>Total</t>
        </is>
      </c>
      <c r="I2" t="inlineStr">
        <is>
          <t>Female</t>
        </is>
      </c>
      <c r="K2" t="inlineStr">
        <is>
          <t>Total</t>
        </is>
      </c>
      <c r="L2" t="inlineStr">
        <is>
          <t>Female</t>
        </is>
      </c>
    </row>
    <row r="3">
      <c r="A3" t="inlineStr">
        <is>
          <t>Banteay Meanchey</t>
        </is>
      </c>
      <c r="B3" t="n">
        <v>133</v>
      </c>
      <c r="C3" t="n">
        <v>947</v>
      </c>
      <c r="D3" t="n">
        <v>23316</v>
      </c>
      <c r="E3" t="n">
        <v>11458</v>
      </c>
      <c r="F3" t="n">
        <v>1204</v>
      </c>
      <c r="G3" t="n">
        <v>659</v>
      </c>
      <c r="H3" t="n">
        <v>232</v>
      </c>
      <c r="I3" t="n">
        <v>117</v>
      </c>
      <c r="J3" t="n">
        <v>495</v>
      </c>
      <c r="K3" t="n">
        <v>33</v>
      </c>
      <c r="L3" t="n">
        <v>17</v>
      </c>
      <c r="M3" t="n">
        <v>119</v>
      </c>
      <c r="N3" t="n">
        <v>1585</v>
      </c>
      <c r="O3" t="n">
        <v>794</v>
      </c>
    </row>
    <row r="4">
      <c r="A4" t="inlineStr">
        <is>
          <t>Battambang</t>
        </is>
      </c>
      <c r="B4" t="n">
        <v>52</v>
      </c>
      <c r="C4" t="n">
        <v>407</v>
      </c>
      <c r="D4" t="n">
        <v>8992</v>
      </c>
      <c r="E4" t="n">
        <v>4373</v>
      </c>
      <c r="F4" t="n">
        <v>785</v>
      </c>
      <c r="G4" t="n">
        <v>458</v>
      </c>
      <c r="H4" t="n">
        <v>255</v>
      </c>
      <c r="I4" t="n">
        <v>147</v>
      </c>
      <c r="J4" t="n">
        <v>427</v>
      </c>
      <c r="K4" t="n">
        <v>37</v>
      </c>
      <c r="L4" t="n">
        <v>26</v>
      </c>
      <c r="M4" t="n">
        <v>72</v>
      </c>
      <c r="N4" t="n">
        <v>662</v>
      </c>
      <c r="O4" t="n">
        <v>408</v>
      </c>
    </row>
    <row r="5">
      <c r="A5" t="inlineStr">
        <is>
          <t>Kampong Cham</t>
        </is>
      </c>
      <c r="B5" t="n">
        <v>29</v>
      </c>
      <c r="C5" t="n">
        <v>208</v>
      </c>
      <c r="D5" t="n">
        <v>4770</v>
      </c>
      <c r="E5" t="n">
        <v>2357</v>
      </c>
      <c r="F5" t="n">
        <v>275</v>
      </c>
      <c r="G5" t="n">
        <v>158</v>
      </c>
      <c r="H5" t="n">
        <v>56</v>
      </c>
      <c r="I5" t="n">
        <v>23</v>
      </c>
      <c r="J5" t="n">
        <v>80</v>
      </c>
      <c r="K5" t="n">
        <v>7</v>
      </c>
      <c r="L5" t="n">
        <v>6</v>
      </c>
      <c r="M5" t="n">
        <v>45</v>
      </c>
      <c r="N5" t="n">
        <v>416</v>
      </c>
      <c r="O5" t="n">
        <v>206</v>
      </c>
    </row>
    <row r="6">
      <c r="A6" t="inlineStr">
        <is>
          <t>Kampong Chhnang</t>
        </is>
      </c>
      <c r="B6" t="n">
        <v>25</v>
      </c>
      <c r="C6" t="n">
        <v>181</v>
      </c>
      <c r="D6" t="n">
        <v>4256</v>
      </c>
      <c r="E6" t="n">
        <v>1940</v>
      </c>
      <c r="F6" t="n">
        <v>324</v>
      </c>
      <c r="G6" t="n">
        <v>209</v>
      </c>
      <c r="H6" t="n">
        <v>76</v>
      </c>
      <c r="I6" t="n">
        <v>42</v>
      </c>
      <c r="J6" t="n">
        <v>143</v>
      </c>
      <c r="K6" t="n">
        <v>9</v>
      </c>
      <c r="L6" t="n">
        <v>7</v>
      </c>
      <c r="M6" t="n">
        <v>36</v>
      </c>
      <c r="N6" t="n">
        <v>340</v>
      </c>
      <c r="O6" t="n">
        <v>179</v>
      </c>
    </row>
    <row r="7">
      <c r="A7" t="inlineStr">
        <is>
          <t>Kampong Speu</t>
        </is>
      </c>
      <c r="B7" t="n">
        <v>64</v>
      </c>
      <c r="C7" t="n">
        <v>361</v>
      </c>
      <c r="D7" t="n">
        <v>8260</v>
      </c>
      <c r="E7" t="n">
        <v>4272</v>
      </c>
      <c r="F7" t="n">
        <v>596</v>
      </c>
      <c r="G7" t="n">
        <v>348</v>
      </c>
      <c r="H7" t="n">
        <v>155</v>
      </c>
      <c r="I7" t="n">
        <v>55</v>
      </c>
      <c r="J7" t="n">
        <v>108</v>
      </c>
      <c r="K7" t="n">
        <v>39</v>
      </c>
      <c r="L7" t="n">
        <v>29</v>
      </c>
      <c r="M7" t="n">
        <v>86</v>
      </c>
      <c r="N7" t="n">
        <v>710</v>
      </c>
      <c r="O7" t="n">
        <v>325</v>
      </c>
    </row>
    <row r="8">
      <c r="A8" t="inlineStr">
        <is>
          <t>Kampong Thom</t>
        </is>
      </c>
      <c r="B8" t="n">
        <v>34</v>
      </c>
      <c r="C8" t="n">
        <v>133</v>
      </c>
      <c r="D8" t="n">
        <v>2658</v>
      </c>
      <c r="E8" t="n">
        <v>1298</v>
      </c>
      <c r="F8" t="n">
        <v>190</v>
      </c>
      <c r="G8" t="n">
        <v>88</v>
      </c>
      <c r="H8" t="n">
        <v>36</v>
      </c>
      <c r="I8" t="n">
        <v>20</v>
      </c>
      <c r="J8" t="n">
        <v>121</v>
      </c>
      <c r="K8" t="n">
        <v>3</v>
      </c>
      <c r="L8" t="n">
        <v>3</v>
      </c>
      <c r="M8" t="n">
        <v>55</v>
      </c>
      <c r="N8" t="n">
        <v>258</v>
      </c>
      <c r="O8" t="n">
        <v>129</v>
      </c>
    </row>
    <row r="9">
      <c r="A9" t="inlineStr">
        <is>
          <t>Kampot</t>
        </is>
      </c>
      <c r="B9" t="n">
        <v>47</v>
      </c>
      <c r="C9" t="n">
        <v>304</v>
      </c>
      <c r="D9" t="n">
        <v>10904</v>
      </c>
      <c r="E9" t="n">
        <v>5610</v>
      </c>
      <c r="F9" t="n">
        <v>499</v>
      </c>
      <c r="G9" t="n">
        <v>261</v>
      </c>
      <c r="H9" t="n">
        <v>66</v>
      </c>
      <c r="I9" t="n">
        <v>34</v>
      </c>
      <c r="J9" t="n">
        <v>106</v>
      </c>
      <c r="K9" t="n">
        <v>66</v>
      </c>
      <c r="L9" t="n">
        <v>40</v>
      </c>
      <c r="M9" t="n">
        <v>62</v>
      </c>
      <c r="N9" t="n">
        <v>503</v>
      </c>
      <c r="O9" t="n">
        <v>222</v>
      </c>
    </row>
    <row r="10">
      <c r="A10" t="inlineStr">
        <is>
          <t>Kandal</t>
        </is>
      </c>
      <c r="B10" t="n">
        <v>68</v>
      </c>
      <c r="C10" t="n">
        <v>540</v>
      </c>
      <c r="D10" t="n">
        <v>11402</v>
      </c>
      <c r="E10" t="n">
        <v>6079</v>
      </c>
      <c r="F10" t="n">
        <v>685</v>
      </c>
      <c r="G10" t="n">
        <v>391</v>
      </c>
      <c r="H10" t="n">
        <v>227</v>
      </c>
      <c r="I10" t="n">
        <v>129</v>
      </c>
      <c r="J10" t="n">
        <v>369</v>
      </c>
      <c r="K10" t="n">
        <v>63</v>
      </c>
      <c r="L10" t="n">
        <v>45</v>
      </c>
      <c r="M10" t="n">
        <v>95</v>
      </c>
      <c r="N10" t="n">
        <v>1386</v>
      </c>
      <c r="O10" t="n">
        <v>518</v>
      </c>
    </row>
    <row r="11">
      <c r="A11" t="inlineStr">
        <is>
          <t>Kep</t>
        </is>
      </c>
      <c r="B11" t="n">
        <v>4</v>
      </c>
      <c r="C11" t="n">
        <v>19</v>
      </c>
      <c r="D11" t="n">
        <v>946</v>
      </c>
      <c r="E11" t="n">
        <v>545</v>
      </c>
      <c r="F11" t="n">
        <v>26</v>
      </c>
      <c r="G11" t="n">
        <v>17</v>
      </c>
      <c r="H11" t="n">
        <v>4</v>
      </c>
      <c r="I11" t="n">
        <v>4</v>
      </c>
      <c r="J11" t="n">
        <v>3</v>
      </c>
      <c r="K11" t="n">
        <v>8</v>
      </c>
      <c r="L11" t="n">
        <v>4</v>
      </c>
      <c r="M11" t="n">
        <v>9</v>
      </c>
      <c r="N11" t="n">
        <v>26</v>
      </c>
      <c r="O11" t="n">
        <v>19</v>
      </c>
    </row>
    <row r="12">
      <c r="A12" t="inlineStr">
        <is>
          <t>Koh Kong</t>
        </is>
      </c>
      <c r="B12" t="n">
        <v>29</v>
      </c>
      <c r="C12" t="n">
        <v>159</v>
      </c>
      <c r="D12" t="n">
        <v>4133</v>
      </c>
      <c r="E12" t="n">
        <v>2101</v>
      </c>
      <c r="F12" t="n">
        <v>190</v>
      </c>
      <c r="G12" t="n">
        <v>118</v>
      </c>
      <c r="H12" t="n">
        <v>23</v>
      </c>
      <c r="I12" t="n">
        <v>12</v>
      </c>
      <c r="J12" t="n">
        <v>57</v>
      </c>
      <c r="K12" t="n">
        <v>7</v>
      </c>
      <c r="L12" t="n">
        <v>6</v>
      </c>
      <c r="M12" t="n">
        <v>58</v>
      </c>
      <c r="N12" t="n">
        <v>249</v>
      </c>
      <c r="O12" t="n">
        <v>143</v>
      </c>
    </row>
    <row r="13">
      <c r="A13" t="inlineStr">
        <is>
          <t>Kratie</t>
        </is>
      </c>
      <c r="B13" t="n">
        <v>8</v>
      </c>
      <c r="C13" t="n">
        <v>34</v>
      </c>
      <c r="D13" t="n">
        <v>706</v>
      </c>
      <c r="E13" t="n">
        <v>395</v>
      </c>
      <c r="F13" t="n">
        <v>76</v>
      </c>
      <c r="G13" t="n">
        <v>43</v>
      </c>
      <c r="H13" t="n">
        <v>35</v>
      </c>
      <c r="I13" t="n">
        <v>20</v>
      </c>
      <c r="J13" t="n">
        <v>2</v>
      </c>
      <c r="K13" t="n">
        <v>14</v>
      </c>
      <c r="L13" t="n">
        <v>10</v>
      </c>
      <c r="M13" t="n">
        <v>12</v>
      </c>
      <c r="N13" t="n">
        <v>74</v>
      </c>
      <c r="O13" t="n">
        <v>34</v>
      </c>
    </row>
    <row r="14">
      <c r="A14" t="inlineStr">
        <is>
          <t>Mondul Kiri</t>
        </is>
      </c>
      <c r="B14" t="n">
        <v>8</v>
      </c>
      <c r="C14" t="n">
        <v>20</v>
      </c>
      <c r="D14" t="n">
        <v>406</v>
      </c>
      <c r="E14" t="n">
        <v>190</v>
      </c>
      <c r="F14" t="n">
        <v>40</v>
      </c>
      <c r="G14" t="n">
        <v>30</v>
      </c>
      <c r="H14" t="n">
        <v>16</v>
      </c>
      <c r="I14" t="n">
        <v>14</v>
      </c>
      <c r="J14" t="n">
        <v>0</v>
      </c>
      <c r="K14" t="n">
        <v>0</v>
      </c>
      <c r="L14" t="n">
        <v>0</v>
      </c>
      <c r="M14" t="n">
        <v>7</v>
      </c>
      <c r="N14" t="n">
        <v>35</v>
      </c>
      <c r="O14" t="n">
        <v>20</v>
      </c>
    </row>
    <row r="15">
      <c r="A15" t="inlineStr">
        <is>
          <t>Otdar Meanchey</t>
        </is>
      </c>
      <c r="B15" t="n">
        <v>6</v>
      </c>
      <c r="C15" t="n">
        <v>51</v>
      </c>
      <c r="D15" t="n">
        <v>1361</v>
      </c>
      <c r="E15" t="n">
        <v>625</v>
      </c>
      <c r="F15" t="n">
        <v>29</v>
      </c>
      <c r="G15" t="n">
        <v>20</v>
      </c>
      <c r="H15" t="n">
        <v>5</v>
      </c>
      <c r="I15" t="n">
        <v>2</v>
      </c>
      <c r="J15" t="n">
        <v>3</v>
      </c>
      <c r="K15" t="n">
        <v>0</v>
      </c>
      <c r="L15" t="n">
        <v>0</v>
      </c>
      <c r="M15" t="n">
        <v>8</v>
      </c>
      <c r="N15" t="n">
        <v>51</v>
      </c>
      <c r="O15" t="n">
        <v>30</v>
      </c>
    </row>
    <row r="16">
      <c r="A16" t="inlineStr">
        <is>
          <t>Pailin</t>
        </is>
      </c>
      <c r="B16" t="n">
        <v>20</v>
      </c>
      <c r="C16" t="n">
        <v>116</v>
      </c>
      <c r="D16" t="n">
        <v>2400</v>
      </c>
      <c r="E16" t="n">
        <v>1156</v>
      </c>
      <c r="F16" t="n">
        <v>103</v>
      </c>
      <c r="G16" t="n">
        <v>89</v>
      </c>
      <c r="H16" t="n">
        <v>19</v>
      </c>
      <c r="I16" t="n">
        <v>9</v>
      </c>
      <c r="J16" t="n">
        <v>13</v>
      </c>
      <c r="K16" t="n">
        <v>3</v>
      </c>
      <c r="L16" t="n">
        <v>1</v>
      </c>
      <c r="M16" t="n">
        <v>26</v>
      </c>
      <c r="N16" t="n">
        <v>182</v>
      </c>
      <c r="O16" t="n">
        <v>94</v>
      </c>
    </row>
    <row r="17">
      <c r="A17" t="inlineStr">
        <is>
          <t>Phnom Penh</t>
        </is>
      </c>
      <c r="B17" t="n">
        <v>638</v>
      </c>
      <c r="C17" t="n">
        <v>5947</v>
      </c>
      <c r="D17" t="n">
        <v>133809</v>
      </c>
      <c r="E17" t="n">
        <v>66571</v>
      </c>
      <c r="F17" t="n">
        <v>8425</v>
      </c>
      <c r="G17" t="n">
        <v>4892</v>
      </c>
      <c r="H17" t="n">
        <v>5196</v>
      </c>
      <c r="I17" t="n">
        <v>3116</v>
      </c>
      <c r="J17" t="n">
        <v>2894</v>
      </c>
      <c r="K17" t="n">
        <v>722</v>
      </c>
      <c r="L17" t="n">
        <v>388</v>
      </c>
      <c r="M17" t="n">
        <v>676</v>
      </c>
      <c r="N17" t="n">
        <v>12292</v>
      </c>
      <c r="O17" t="n">
        <v>5166</v>
      </c>
    </row>
    <row r="18">
      <c r="A18" t="inlineStr">
        <is>
          <t>Preah Sihanouk</t>
        </is>
      </c>
      <c r="B18" t="n">
        <v>48</v>
      </c>
      <c r="C18" t="n">
        <v>343</v>
      </c>
      <c r="D18" t="n">
        <v>7962</v>
      </c>
      <c r="E18" t="n">
        <v>3709</v>
      </c>
      <c r="F18" t="n">
        <v>518</v>
      </c>
      <c r="G18" t="n">
        <v>275</v>
      </c>
      <c r="H18" t="n">
        <v>137</v>
      </c>
      <c r="I18" t="n">
        <v>90</v>
      </c>
      <c r="J18" t="n">
        <v>226</v>
      </c>
      <c r="K18" t="n">
        <v>87</v>
      </c>
      <c r="L18" t="n">
        <v>68</v>
      </c>
      <c r="M18" t="n">
        <v>51</v>
      </c>
      <c r="N18" t="n">
        <v>687</v>
      </c>
      <c r="O18" t="n">
        <v>307</v>
      </c>
    </row>
    <row r="19">
      <c r="A19" t="inlineStr">
        <is>
          <t>Preah Vihear</t>
        </is>
      </c>
      <c r="B19" t="n">
        <v>4</v>
      </c>
      <c r="C19" t="n">
        <v>19</v>
      </c>
      <c r="D19" t="n">
        <v>217</v>
      </c>
      <c r="E19" t="n">
        <v>105</v>
      </c>
      <c r="F19" t="n">
        <v>21</v>
      </c>
      <c r="G19" t="n">
        <v>15</v>
      </c>
      <c r="H19" t="n">
        <v>5</v>
      </c>
      <c r="I19" t="n">
        <v>3</v>
      </c>
      <c r="J19" t="n">
        <v>11</v>
      </c>
      <c r="K19" t="n">
        <v>2</v>
      </c>
      <c r="L19" t="n">
        <v>0</v>
      </c>
      <c r="M19" t="n">
        <v>8</v>
      </c>
      <c r="N19" t="n">
        <v>40</v>
      </c>
      <c r="O19" t="n">
        <v>36</v>
      </c>
    </row>
    <row r="20">
      <c r="A20" t="inlineStr">
        <is>
          <t>Prey Veng</t>
        </is>
      </c>
      <c r="B20" t="n">
        <v>7</v>
      </c>
      <c r="C20" t="n">
        <v>26</v>
      </c>
      <c r="D20" t="n">
        <v>552</v>
      </c>
      <c r="E20" t="n">
        <v>239</v>
      </c>
      <c r="F20" t="n">
        <v>45</v>
      </c>
      <c r="G20" t="n">
        <v>29</v>
      </c>
      <c r="H20" t="n">
        <v>11</v>
      </c>
      <c r="I20" t="n">
        <v>6</v>
      </c>
      <c r="J20" t="n">
        <v>0</v>
      </c>
      <c r="K20" t="n">
        <v>1</v>
      </c>
      <c r="L20" t="n">
        <v>0</v>
      </c>
      <c r="M20" t="n">
        <v>15</v>
      </c>
      <c r="N20" t="n">
        <v>71</v>
      </c>
      <c r="O20" t="n">
        <v>26</v>
      </c>
    </row>
    <row r="21">
      <c r="A21" t="inlineStr">
        <is>
          <t>Pursat</t>
        </is>
      </c>
      <c r="B21" t="n">
        <v>11</v>
      </c>
      <c r="C21" t="n">
        <v>46</v>
      </c>
      <c r="D21" t="n">
        <v>1406</v>
      </c>
      <c r="E21" t="n">
        <v>685</v>
      </c>
      <c r="F21" t="n">
        <v>77</v>
      </c>
      <c r="G21" t="n">
        <v>65</v>
      </c>
      <c r="H21" t="n">
        <v>34</v>
      </c>
      <c r="I21" t="n">
        <v>26</v>
      </c>
      <c r="J21" t="n">
        <v>23</v>
      </c>
      <c r="K21" t="n">
        <v>0</v>
      </c>
      <c r="L21" t="n">
        <v>0</v>
      </c>
      <c r="M21" t="n">
        <v>16</v>
      </c>
      <c r="N21" t="n">
        <v>108</v>
      </c>
      <c r="O21" t="n">
        <v>44</v>
      </c>
    </row>
    <row r="22">
      <c r="A22" t="inlineStr">
        <is>
          <t>Ratanak Kiri</t>
        </is>
      </c>
      <c r="B22" t="n">
        <v>13</v>
      </c>
      <c r="C22" t="n">
        <v>132</v>
      </c>
      <c r="D22" t="n">
        <v>2971</v>
      </c>
      <c r="E22" t="n">
        <v>1407</v>
      </c>
      <c r="F22" t="n">
        <v>290</v>
      </c>
      <c r="G22" t="n">
        <v>162</v>
      </c>
      <c r="H22" t="n">
        <v>179</v>
      </c>
      <c r="I22" t="n">
        <v>100</v>
      </c>
      <c r="J22" t="n">
        <v>185</v>
      </c>
      <c r="K22" t="n">
        <v>0</v>
      </c>
      <c r="L22" t="n">
        <v>0</v>
      </c>
      <c r="M22" t="n">
        <v>31</v>
      </c>
      <c r="N22" t="n">
        <v>284</v>
      </c>
      <c r="O22" t="n">
        <v>103</v>
      </c>
    </row>
    <row r="23">
      <c r="A23" t="inlineStr">
        <is>
          <t>Siemreap</t>
        </is>
      </c>
      <c r="B23" t="n">
        <v>83</v>
      </c>
      <c r="C23" t="n">
        <v>581</v>
      </c>
      <c r="D23" t="n">
        <v>12504</v>
      </c>
      <c r="E23" t="n">
        <v>6318</v>
      </c>
      <c r="F23" t="n">
        <v>921</v>
      </c>
      <c r="G23" t="n">
        <v>611</v>
      </c>
      <c r="H23" t="n">
        <v>280</v>
      </c>
      <c r="I23" t="n">
        <v>186</v>
      </c>
      <c r="J23" t="n">
        <v>251</v>
      </c>
      <c r="K23" t="n">
        <v>129</v>
      </c>
      <c r="L23" t="n">
        <v>101</v>
      </c>
      <c r="M23" t="n">
        <v>102</v>
      </c>
      <c r="N23" t="n">
        <v>959</v>
      </c>
      <c r="O23" t="n">
        <v>483</v>
      </c>
    </row>
    <row r="24">
      <c r="A24" t="inlineStr">
        <is>
          <t>Stung Treng</t>
        </is>
      </c>
      <c r="B24" t="n">
        <v>11</v>
      </c>
      <c r="C24" t="n">
        <v>51</v>
      </c>
      <c r="D24" t="n">
        <v>863</v>
      </c>
      <c r="E24" t="n">
        <v>432</v>
      </c>
      <c r="F24" t="n">
        <v>70</v>
      </c>
      <c r="G24" t="n">
        <v>43</v>
      </c>
      <c r="H24" t="n">
        <v>11</v>
      </c>
      <c r="I24" t="n">
        <v>7</v>
      </c>
      <c r="J24" t="n">
        <v>23</v>
      </c>
      <c r="K24" t="n">
        <v>11</v>
      </c>
      <c r="L24" t="n">
        <v>10</v>
      </c>
      <c r="M24" t="n">
        <v>7</v>
      </c>
      <c r="N24" t="n">
        <v>47</v>
      </c>
      <c r="O24" t="n">
        <v>40</v>
      </c>
    </row>
    <row r="25">
      <c r="A25" t="inlineStr">
        <is>
          <t>Svay Rieng</t>
        </is>
      </c>
      <c r="B25" t="n">
        <v>13</v>
      </c>
      <c r="C25" t="n">
        <v>41</v>
      </c>
      <c r="D25" t="n">
        <v>853</v>
      </c>
      <c r="E25" t="n">
        <v>444</v>
      </c>
      <c r="F25" t="n">
        <v>66</v>
      </c>
      <c r="G25" t="n">
        <v>54</v>
      </c>
      <c r="H25" t="n">
        <v>48</v>
      </c>
      <c r="I25" t="n">
        <v>33</v>
      </c>
      <c r="J25" t="n">
        <v>8</v>
      </c>
      <c r="K25" t="n">
        <v>15</v>
      </c>
      <c r="L25" t="n">
        <v>15</v>
      </c>
      <c r="M25" t="n">
        <v>8</v>
      </c>
      <c r="N25" t="n">
        <v>84</v>
      </c>
      <c r="O25" t="n">
        <v>41</v>
      </c>
    </row>
    <row r="26">
      <c r="A26" t="inlineStr">
        <is>
          <t>Takeo</t>
        </is>
      </c>
      <c r="B26" t="n">
        <v>40</v>
      </c>
      <c r="C26" t="n">
        <v>174</v>
      </c>
      <c r="D26" t="n">
        <v>3557</v>
      </c>
      <c r="E26" t="n">
        <v>1687</v>
      </c>
      <c r="F26" t="n">
        <v>346</v>
      </c>
      <c r="G26" t="n">
        <v>152</v>
      </c>
      <c r="H26" t="n">
        <v>122</v>
      </c>
      <c r="I26" t="n">
        <v>62</v>
      </c>
      <c r="J26" t="n">
        <v>158</v>
      </c>
      <c r="K26" t="n">
        <v>9</v>
      </c>
      <c r="L26" t="n">
        <v>5</v>
      </c>
      <c r="M26" t="n">
        <v>60</v>
      </c>
      <c r="N26" t="n">
        <v>358</v>
      </c>
      <c r="O26" t="n">
        <v>169</v>
      </c>
    </row>
    <row r="27">
      <c r="A27" t="inlineStr">
        <is>
          <t>Tbaung Khmum</t>
        </is>
      </c>
      <c r="B27" t="n">
        <v>31</v>
      </c>
      <c r="C27" t="n">
        <v>160</v>
      </c>
      <c r="D27" t="n">
        <v>4365</v>
      </c>
      <c r="E27" t="n">
        <v>2584</v>
      </c>
      <c r="F27" t="n">
        <v>268</v>
      </c>
      <c r="G27" t="n">
        <v>174</v>
      </c>
      <c r="H27" t="n">
        <v>48</v>
      </c>
      <c r="I27" t="n">
        <v>23</v>
      </c>
      <c r="J27" t="n">
        <v>33</v>
      </c>
      <c r="K27" t="n">
        <v>29</v>
      </c>
      <c r="L27" t="n">
        <v>24</v>
      </c>
      <c r="M27" t="n">
        <v>46</v>
      </c>
      <c r="N27" t="n">
        <v>453</v>
      </c>
      <c r="O27" t="n">
        <v>187</v>
      </c>
    </row>
    <row r="28">
      <c r="A28" t="inlineStr">
        <is>
          <t>Whole Kingdom</t>
        </is>
      </c>
      <c r="B28" t="n">
        <v>1426</v>
      </c>
      <c r="C28" t="n">
        <v>11000</v>
      </c>
      <c r="D28" t="n">
        <v>253569</v>
      </c>
      <c r="E28" t="n">
        <v>126580</v>
      </c>
      <c r="F28" t="n">
        <v>16069</v>
      </c>
      <c r="G28" t="n">
        <v>9361</v>
      </c>
      <c r="H28" t="n">
        <v>7276</v>
      </c>
      <c r="I28" t="n">
        <v>4280</v>
      </c>
      <c r="J28" t="n">
        <v>5739</v>
      </c>
      <c r="K28" t="n">
        <v>1294</v>
      </c>
      <c r="L28" t="n">
        <v>805</v>
      </c>
      <c r="M28" t="n">
        <v>1710</v>
      </c>
      <c r="N28" t="n">
        <v>21860</v>
      </c>
      <c r="O28" t="n">
        <v>9723</v>
      </c>
    </row>
    <row r="29">
      <c r="A29" t="inlineStr">
        <is>
          <t>- Urban Area</t>
        </is>
      </c>
      <c r="B29" t="n">
        <v>1131</v>
      </c>
      <c r="C29" t="n">
        <v>9402</v>
      </c>
      <c r="D29" t="n">
        <v>214004</v>
      </c>
      <c r="E29" t="n">
        <v>106028</v>
      </c>
      <c r="F29" t="n">
        <v>13718</v>
      </c>
      <c r="G29" t="n">
        <v>8082</v>
      </c>
      <c r="H29" t="n">
        <v>6771</v>
      </c>
      <c r="I29" t="n">
        <v>4065</v>
      </c>
      <c r="J29" t="n">
        <v>5004</v>
      </c>
      <c r="K29" t="n">
        <v>1138</v>
      </c>
      <c r="L29" t="n">
        <v>702</v>
      </c>
      <c r="M29" t="n">
        <v>1274</v>
      </c>
      <c r="N29" t="n">
        <v>18970</v>
      </c>
      <c r="O29" t="n">
        <v>8201</v>
      </c>
    </row>
    <row r="30">
      <c r="A30" t="inlineStr">
        <is>
          <t>- Rural Area</t>
        </is>
      </c>
      <c r="B30" t="n">
        <v>295</v>
      </c>
      <c r="C30" t="n">
        <v>1598</v>
      </c>
      <c r="D30" t="n">
        <v>39565</v>
      </c>
      <c r="E30" t="n">
        <v>20552</v>
      </c>
      <c r="F30" t="n">
        <v>2351</v>
      </c>
      <c r="G30" t="n">
        <v>1279</v>
      </c>
      <c r="H30" t="n">
        <v>505</v>
      </c>
      <c r="I30" t="n">
        <v>215</v>
      </c>
      <c r="J30" t="n">
        <v>735</v>
      </c>
      <c r="K30" t="n">
        <v>156</v>
      </c>
      <c r="L30" t="n">
        <v>103</v>
      </c>
      <c r="M30" t="n">
        <v>436</v>
      </c>
      <c r="N30" t="n">
        <v>2890</v>
      </c>
      <c r="O30" t="n">
        <v>1522</v>
      </c>
    </row>
  </sheetData>
  <mergeCells count="11">
    <mergeCell ref="D1:E1"/>
    <mergeCell ref="K1:L1"/>
    <mergeCell ref="H1:I1"/>
    <mergeCell ref="C1:C2"/>
    <mergeCell ref="B1:B2"/>
    <mergeCell ref="F1:G1"/>
    <mergeCell ref="M1:M2"/>
    <mergeCell ref="J1:J2"/>
    <mergeCell ref="O1:O2"/>
    <mergeCell ref="N1:N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9.83203125" customWidth="1" min="1" max="1"/>
    <col width="10.5" customWidth="1" min="2" max="2"/>
    <col width="10.1640625" customWidth="1" min="3" max="3"/>
    <col width="10.5" customWidth="1" min="4" max="4"/>
    <col width="10.1640625" customWidth="1" min="5" max="5"/>
    <col width="10.5" customWidth="1" min="7" max="7"/>
    <col width="10.1640625" customWidth="1" min="8" max="8"/>
    <col width="10.5" customWidth="1" min="10" max="10"/>
    <col width="10.1640625" customWidth="1" min="11" max="11"/>
    <col width="10.5" customWidth="1" min="12" max="12"/>
    <col width="10.1640625" customWidth="1" min="13" max="13"/>
    <col width="10.5" customWidth="1" min="15" max="15"/>
  </cols>
  <sheetData>
    <row r="1">
      <c r="A1" t="inlineStr">
        <is>
          <t>Province</t>
        </is>
      </c>
      <c r="B1" t="inlineStr">
        <is>
          <t>Number of
Schools</t>
        </is>
      </c>
      <c r="C1" t="inlineStr">
        <is>
          <t>Number of
Classes</t>
        </is>
      </c>
      <c r="D1" t="inlineStr">
        <is>
          <t>Enrollment</t>
        </is>
      </c>
      <c r="F1" t="inlineStr">
        <is>
          <t>Teaching Staff</t>
        </is>
      </c>
      <c r="H1" t="inlineStr">
        <is>
          <t>Non-Teaching Staff</t>
        </is>
      </c>
      <c r="J1" t="inlineStr">
        <is>
          <t>Govern. staff</t>
        </is>
      </c>
      <c r="K1" t="inlineStr">
        <is>
          <t>Foreigner Teaching Staff</t>
        </is>
      </c>
      <c r="M1" t="inlineStr">
        <is>
          <t>Buildings</t>
        </is>
      </c>
      <c r="N1" t="inlineStr">
        <is>
          <t>Rooms</t>
        </is>
      </c>
      <c r="O1" t="inlineStr">
        <is>
          <t>Classrooms</t>
        </is>
      </c>
    </row>
    <row r="2"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Female</t>
        </is>
      </c>
      <c r="H2" t="inlineStr">
        <is>
          <t>Total</t>
        </is>
      </c>
      <c r="I2" t="inlineStr">
        <is>
          <t>Female</t>
        </is>
      </c>
      <c r="K2" t="inlineStr">
        <is>
          <t>Total</t>
        </is>
      </c>
      <c r="L2" t="inlineStr">
        <is>
          <t>Female</t>
        </is>
      </c>
    </row>
    <row r="3">
      <c r="A3" t="inlineStr">
        <is>
          <t>Banteay Meanchey</t>
        </is>
      </c>
      <c r="B3" t="n">
        <v>10</v>
      </c>
      <c r="C3" t="n">
        <v>26</v>
      </c>
      <c r="D3" t="n">
        <v>504</v>
      </c>
      <c r="E3" t="n">
        <v>271</v>
      </c>
      <c r="F3" t="n">
        <v>101</v>
      </c>
      <c r="G3" t="n">
        <v>48</v>
      </c>
      <c r="H3" t="n">
        <v>14</v>
      </c>
      <c r="I3" t="n">
        <v>3</v>
      </c>
      <c r="J3" t="n">
        <v>51</v>
      </c>
      <c r="K3" t="n">
        <v>3</v>
      </c>
      <c r="L3" t="n">
        <v>2</v>
      </c>
      <c r="M3" t="n">
        <v>12</v>
      </c>
      <c r="N3" t="n">
        <v>93</v>
      </c>
      <c r="O3" t="n">
        <v>26</v>
      </c>
    </row>
    <row r="4">
      <c r="A4" t="inlineStr">
        <is>
          <t>Battambang</t>
        </is>
      </c>
      <c r="B4" t="n">
        <v>1</v>
      </c>
      <c r="C4" t="n">
        <v>3</v>
      </c>
      <c r="D4" t="n">
        <v>18</v>
      </c>
      <c r="E4" t="n">
        <v>5</v>
      </c>
      <c r="F4" t="n">
        <v>23</v>
      </c>
      <c r="G4" t="n">
        <v>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3</v>
      </c>
      <c r="O4" t="n">
        <v>3</v>
      </c>
    </row>
    <row r="5">
      <c r="A5" t="inlineStr">
        <is>
          <t>Kampong Cham</t>
        </is>
      </c>
      <c r="B5" t="n">
        <v>2</v>
      </c>
      <c r="C5" t="n">
        <v>5</v>
      </c>
      <c r="D5" t="n">
        <v>81</v>
      </c>
      <c r="E5" t="n">
        <v>36</v>
      </c>
      <c r="F5" t="n">
        <v>11</v>
      </c>
      <c r="G5" t="n">
        <v>6</v>
      </c>
      <c r="H5" t="n">
        <v>11</v>
      </c>
      <c r="I5" t="n">
        <v>5</v>
      </c>
      <c r="J5" t="n">
        <v>0</v>
      </c>
      <c r="K5" t="n">
        <v>0</v>
      </c>
      <c r="L5" t="n">
        <v>0</v>
      </c>
      <c r="M5" t="n">
        <v>5</v>
      </c>
      <c r="N5" t="n">
        <v>28</v>
      </c>
      <c r="O5" t="n">
        <v>5</v>
      </c>
    </row>
    <row r="6">
      <c r="A6" t="inlineStr">
        <is>
          <t>Kampong Chhnang</t>
        </is>
      </c>
      <c r="B6" t="n">
        <v>1</v>
      </c>
      <c r="C6" t="n">
        <v>1</v>
      </c>
      <c r="D6" t="n">
        <v>24</v>
      </c>
      <c r="E6" t="n">
        <v>8</v>
      </c>
      <c r="F6" t="n">
        <v>6</v>
      </c>
      <c r="G6" t="n">
        <v>2</v>
      </c>
      <c r="H6" t="n">
        <v>1</v>
      </c>
      <c r="I6" t="n">
        <v>0</v>
      </c>
      <c r="J6" t="n">
        <v>5</v>
      </c>
      <c r="K6" t="n">
        <v>0</v>
      </c>
      <c r="L6" t="n">
        <v>0</v>
      </c>
      <c r="M6" t="n">
        <v>1</v>
      </c>
      <c r="N6" t="n">
        <v>6</v>
      </c>
      <c r="O6" t="n">
        <v>1</v>
      </c>
    </row>
    <row r="7">
      <c r="A7" t="inlineStr">
        <is>
          <t>Kampong Speu</t>
        </is>
      </c>
      <c r="B7" t="n">
        <v>4</v>
      </c>
      <c r="C7" t="n">
        <v>12</v>
      </c>
      <c r="D7" t="n">
        <v>317</v>
      </c>
      <c r="E7" t="n">
        <v>174</v>
      </c>
      <c r="F7" t="n">
        <v>62</v>
      </c>
      <c r="G7" t="n">
        <v>27</v>
      </c>
      <c r="H7" t="n">
        <v>18</v>
      </c>
      <c r="I7" t="n">
        <v>5</v>
      </c>
      <c r="J7" t="n">
        <v>4</v>
      </c>
      <c r="K7" t="n">
        <v>2</v>
      </c>
      <c r="L7" t="n">
        <v>1</v>
      </c>
      <c r="M7" t="n">
        <v>8</v>
      </c>
      <c r="N7" t="n">
        <v>68</v>
      </c>
      <c r="O7" t="n">
        <v>12</v>
      </c>
    </row>
    <row r="8">
      <c r="A8" t="inlineStr">
        <is>
          <t>Kampong Thom</t>
        </is>
      </c>
      <c r="B8" t="n">
        <v>2</v>
      </c>
      <c r="C8" t="n">
        <v>3</v>
      </c>
      <c r="D8" t="n">
        <v>59</v>
      </c>
      <c r="E8" t="n">
        <v>22</v>
      </c>
      <c r="F8" t="n">
        <v>8</v>
      </c>
      <c r="G8" t="n">
        <v>1</v>
      </c>
      <c r="H8" t="n">
        <v>1</v>
      </c>
      <c r="I8" t="n">
        <v>0</v>
      </c>
      <c r="J8" t="n">
        <v>8</v>
      </c>
      <c r="K8" t="n">
        <v>0</v>
      </c>
      <c r="L8" t="n">
        <v>0</v>
      </c>
      <c r="M8" t="n">
        <v>4</v>
      </c>
      <c r="N8" t="n">
        <v>45</v>
      </c>
      <c r="O8" t="n">
        <v>3</v>
      </c>
    </row>
    <row r="9">
      <c r="A9" t="inlineStr">
        <is>
          <t>Kampot</t>
        </is>
      </c>
      <c r="B9" t="n">
        <v>6</v>
      </c>
      <c r="C9" t="n">
        <v>21</v>
      </c>
      <c r="D9" t="n">
        <v>531</v>
      </c>
      <c r="E9" t="n">
        <v>185</v>
      </c>
      <c r="F9" t="n">
        <v>60</v>
      </c>
      <c r="G9" t="n">
        <v>17</v>
      </c>
      <c r="H9" t="n">
        <v>9</v>
      </c>
      <c r="I9" t="n">
        <v>2</v>
      </c>
      <c r="J9" t="n">
        <v>18</v>
      </c>
      <c r="K9" t="n">
        <v>12</v>
      </c>
      <c r="L9" t="n">
        <v>10</v>
      </c>
      <c r="M9" t="n">
        <v>18</v>
      </c>
      <c r="N9" t="n">
        <v>77</v>
      </c>
      <c r="O9" t="n">
        <v>18</v>
      </c>
    </row>
    <row r="10">
      <c r="A10" t="inlineStr">
        <is>
          <t>Kandal</t>
        </is>
      </c>
      <c r="B10" t="n">
        <v>4</v>
      </c>
      <c r="C10" t="n">
        <v>9</v>
      </c>
      <c r="D10" t="n">
        <v>104</v>
      </c>
      <c r="E10" t="n">
        <v>68</v>
      </c>
      <c r="F10" t="n">
        <v>27</v>
      </c>
      <c r="G10" t="n">
        <v>15</v>
      </c>
      <c r="H10" t="n">
        <v>12</v>
      </c>
      <c r="I10" t="n">
        <v>7</v>
      </c>
      <c r="J10" t="n">
        <v>23</v>
      </c>
      <c r="K10" t="n">
        <v>7</v>
      </c>
      <c r="L10" t="n">
        <v>6</v>
      </c>
      <c r="M10" t="n">
        <v>6</v>
      </c>
      <c r="N10" t="n">
        <v>85</v>
      </c>
      <c r="O10" t="n">
        <v>9</v>
      </c>
    </row>
    <row r="11">
      <c r="A11" t="inlineStr">
        <is>
          <t>Koh Kong</t>
        </is>
      </c>
      <c r="B11" t="n">
        <v>3</v>
      </c>
      <c r="C11" t="n">
        <v>5</v>
      </c>
      <c r="D11" t="n">
        <v>115</v>
      </c>
      <c r="E11" t="n">
        <v>59</v>
      </c>
      <c r="F11" t="n">
        <v>14</v>
      </c>
      <c r="G11" t="n">
        <v>3</v>
      </c>
      <c r="H11" t="n">
        <v>0</v>
      </c>
      <c r="I11" t="n">
        <v>0</v>
      </c>
      <c r="J11" t="n">
        <v>0</v>
      </c>
      <c r="K11" t="n">
        <v>2</v>
      </c>
      <c r="L11" t="n">
        <v>2</v>
      </c>
      <c r="M11" t="n">
        <v>4</v>
      </c>
      <c r="N11" t="n">
        <v>38</v>
      </c>
      <c r="O11" t="n">
        <v>5</v>
      </c>
    </row>
    <row r="12">
      <c r="A12" t="inlineStr">
        <is>
          <t>Mondul Kiri</t>
        </is>
      </c>
      <c r="B12" t="n">
        <v>1</v>
      </c>
      <c r="C12" t="n">
        <v>1</v>
      </c>
      <c r="D12" t="n">
        <v>10</v>
      </c>
      <c r="E12" t="n">
        <v>5</v>
      </c>
      <c r="F12" t="n">
        <v>5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</row>
    <row r="13">
      <c r="A13" t="inlineStr">
        <is>
          <t>Phnom Penh</t>
        </is>
      </c>
      <c r="B13" t="n">
        <v>38</v>
      </c>
      <c r="C13" t="n">
        <v>160</v>
      </c>
      <c r="D13" t="n">
        <v>3562</v>
      </c>
      <c r="E13" t="n">
        <v>1717</v>
      </c>
      <c r="F13" t="n">
        <v>499</v>
      </c>
      <c r="G13" t="n">
        <v>212</v>
      </c>
      <c r="H13" t="n">
        <v>225</v>
      </c>
      <c r="I13" t="n">
        <v>124</v>
      </c>
      <c r="J13" t="n">
        <v>228</v>
      </c>
      <c r="K13" t="n">
        <v>39</v>
      </c>
      <c r="L13" t="n">
        <v>10</v>
      </c>
      <c r="M13" t="n">
        <v>46</v>
      </c>
      <c r="N13" t="n">
        <v>638</v>
      </c>
      <c r="O13" t="n">
        <v>150</v>
      </c>
    </row>
    <row r="14">
      <c r="A14" t="inlineStr">
        <is>
          <t>Preah Sihanouk</t>
        </is>
      </c>
      <c r="B14" t="n">
        <v>5</v>
      </c>
      <c r="C14" t="n">
        <v>11</v>
      </c>
      <c r="D14" t="n">
        <v>120</v>
      </c>
      <c r="E14" t="n">
        <v>52</v>
      </c>
      <c r="F14" t="n">
        <v>40</v>
      </c>
      <c r="G14" t="n">
        <v>14</v>
      </c>
      <c r="H14" t="n">
        <v>5</v>
      </c>
      <c r="I14" t="n">
        <v>3</v>
      </c>
      <c r="J14" t="n">
        <v>23</v>
      </c>
      <c r="K14" t="n">
        <v>22</v>
      </c>
      <c r="L14" t="n">
        <v>18</v>
      </c>
      <c r="M14" t="n">
        <v>6</v>
      </c>
      <c r="N14" t="n">
        <v>100</v>
      </c>
      <c r="O14" t="n">
        <v>11</v>
      </c>
    </row>
    <row r="15">
      <c r="A15" t="inlineStr">
        <is>
          <t>Siemreap</t>
        </is>
      </c>
      <c r="B15" t="n">
        <v>4</v>
      </c>
      <c r="C15" t="n">
        <v>7</v>
      </c>
      <c r="D15" t="n">
        <v>63</v>
      </c>
      <c r="E15" t="n">
        <v>26</v>
      </c>
      <c r="F15" t="n">
        <v>32</v>
      </c>
      <c r="G15" t="n">
        <v>21</v>
      </c>
      <c r="H15" t="n">
        <v>10</v>
      </c>
      <c r="I15" t="n">
        <v>6</v>
      </c>
      <c r="J15" t="n">
        <v>7</v>
      </c>
      <c r="K15" t="n">
        <v>8</v>
      </c>
      <c r="L15" t="n">
        <v>4</v>
      </c>
      <c r="M15" t="n">
        <v>5</v>
      </c>
      <c r="N15" t="n">
        <v>66</v>
      </c>
      <c r="O15" t="n">
        <v>6</v>
      </c>
    </row>
    <row r="16">
      <c r="A16" t="inlineStr">
        <is>
          <t>Stung Treng</t>
        </is>
      </c>
      <c r="B16" t="n">
        <v>1</v>
      </c>
      <c r="C16" t="n">
        <v>3</v>
      </c>
      <c r="D16" t="n">
        <v>63</v>
      </c>
      <c r="E16" t="n">
        <v>35</v>
      </c>
      <c r="F16" t="n">
        <v>8</v>
      </c>
      <c r="G16" t="n">
        <v>4</v>
      </c>
      <c r="H16" t="n">
        <v>1</v>
      </c>
      <c r="I16" t="n">
        <v>0</v>
      </c>
      <c r="J16" t="n">
        <v>7</v>
      </c>
      <c r="K16" t="n">
        <v>0</v>
      </c>
      <c r="L16" t="n">
        <v>0</v>
      </c>
      <c r="M16" t="n">
        <v>1</v>
      </c>
      <c r="N16" t="n">
        <v>3</v>
      </c>
      <c r="O16" t="n">
        <v>3</v>
      </c>
    </row>
    <row r="17">
      <c r="A17" t="inlineStr">
        <is>
          <t>Takeo</t>
        </is>
      </c>
      <c r="B17" t="n">
        <v>2</v>
      </c>
      <c r="C17" t="n">
        <v>1</v>
      </c>
      <c r="D17" t="n">
        <v>19</v>
      </c>
      <c r="E17" t="n">
        <v>10</v>
      </c>
      <c r="F17" t="n">
        <v>20</v>
      </c>
      <c r="G17" t="n">
        <v>7</v>
      </c>
      <c r="H17" t="n">
        <v>4</v>
      </c>
      <c r="I17" t="n">
        <v>1</v>
      </c>
      <c r="J17" t="n">
        <v>4</v>
      </c>
      <c r="K17" t="n">
        <v>0</v>
      </c>
      <c r="L17" t="n">
        <v>0</v>
      </c>
      <c r="M17" t="n">
        <v>6</v>
      </c>
      <c r="N17" t="n">
        <v>39</v>
      </c>
      <c r="O17" t="n">
        <v>3</v>
      </c>
    </row>
    <row r="18">
      <c r="A18" t="inlineStr">
        <is>
          <t>Tbaung Khmum</t>
        </is>
      </c>
      <c r="B18" t="n">
        <v>3</v>
      </c>
      <c r="C18" t="n">
        <v>9</v>
      </c>
      <c r="D18" t="n">
        <v>272</v>
      </c>
      <c r="E18" t="n">
        <v>125</v>
      </c>
      <c r="F18" t="n">
        <v>14</v>
      </c>
      <c r="G18" t="n">
        <v>5</v>
      </c>
      <c r="H18" t="n">
        <v>1</v>
      </c>
      <c r="I18" t="n">
        <v>1</v>
      </c>
      <c r="J18" t="n">
        <v>0</v>
      </c>
      <c r="K18" t="n">
        <v>4</v>
      </c>
      <c r="L18" t="n">
        <v>2</v>
      </c>
      <c r="M18" t="n">
        <v>3</v>
      </c>
      <c r="N18" t="n">
        <v>124</v>
      </c>
      <c r="O18" t="n">
        <v>9</v>
      </c>
    </row>
    <row r="19">
      <c r="A19" t="inlineStr">
        <is>
          <t>Whole Kingdom</t>
        </is>
      </c>
      <c r="B19" t="n">
        <v>87</v>
      </c>
      <c r="C19" t="n">
        <v>277</v>
      </c>
      <c r="D19" t="n">
        <v>5862</v>
      </c>
      <c r="E19" t="n">
        <v>2798</v>
      </c>
      <c r="F19" t="n">
        <v>930</v>
      </c>
      <c r="G19" t="n">
        <v>396</v>
      </c>
      <c r="H19" t="n">
        <v>312</v>
      </c>
      <c r="I19" t="n">
        <v>157</v>
      </c>
      <c r="J19" t="n">
        <v>378</v>
      </c>
      <c r="K19" t="n">
        <v>99</v>
      </c>
      <c r="L19" t="n">
        <v>55</v>
      </c>
      <c r="M19" t="n">
        <v>127</v>
      </c>
      <c r="N19" t="n">
        <v>1414</v>
      </c>
      <c r="O19" t="n">
        <v>265</v>
      </c>
    </row>
    <row r="20">
      <c r="A20" t="inlineStr">
        <is>
          <t>- Urban Area</t>
        </is>
      </c>
      <c r="B20" t="n">
        <v>65</v>
      </c>
      <c r="C20" t="n">
        <v>221</v>
      </c>
      <c r="D20" t="n">
        <v>4513</v>
      </c>
      <c r="E20" t="n">
        <v>2201</v>
      </c>
      <c r="F20" t="n">
        <v>733</v>
      </c>
      <c r="G20" t="n">
        <v>324</v>
      </c>
      <c r="H20" t="n">
        <v>279</v>
      </c>
      <c r="I20" t="n">
        <v>149</v>
      </c>
      <c r="J20" t="n">
        <v>305</v>
      </c>
      <c r="K20" t="n">
        <v>86</v>
      </c>
      <c r="L20" t="n">
        <v>47</v>
      </c>
      <c r="M20" t="n">
        <v>82</v>
      </c>
      <c r="N20" t="n">
        <v>979</v>
      </c>
      <c r="O20" t="n">
        <v>207</v>
      </c>
    </row>
    <row r="21">
      <c r="A21" t="inlineStr">
        <is>
          <t>- Rural Area</t>
        </is>
      </c>
      <c r="B21" t="n">
        <v>22</v>
      </c>
      <c r="C21" t="n">
        <v>56</v>
      </c>
      <c r="D21" t="n">
        <v>1349</v>
      </c>
      <c r="E21" t="n">
        <v>597</v>
      </c>
      <c r="F21" t="n">
        <v>197</v>
      </c>
      <c r="G21" t="n">
        <v>72</v>
      </c>
      <c r="H21" t="n">
        <v>33</v>
      </c>
      <c r="I21" t="n">
        <v>8</v>
      </c>
      <c r="J21" t="n">
        <v>73</v>
      </c>
      <c r="K21" t="n">
        <v>13</v>
      </c>
      <c r="L21" t="n">
        <v>8</v>
      </c>
      <c r="M21" t="n">
        <v>45</v>
      </c>
      <c r="N21" t="n">
        <v>435</v>
      </c>
      <c r="O21" t="n">
        <v>58</v>
      </c>
    </row>
  </sheetData>
  <mergeCells count="11">
    <mergeCell ref="D1:E1"/>
    <mergeCell ref="K1:L1"/>
    <mergeCell ref="H1:I1"/>
    <mergeCell ref="C1:C2"/>
    <mergeCell ref="B1:B2"/>
    <mergeCell ref="F1:G1"/>
    <mergeCell ref="M1:M2"/>
    <mergeCell ref="J1:J2"/>
    <mergeCell ref="O1:O2"/>
    <mergeCell ref="N1:N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9.83203125" customWidth="1" min="1" max="1"/>
    <col width="10.5" customWidth="1" min="2" max="2"/>
    <col width="10.1640625" customWidth="1" min="3" max="3"/>
    <col width="10.5" customWidth="1" min="4" max="4"/>
    <col width="10.1640625" customWidth="1" min="5" max="5"/>
    <col width="10.5" customWidth="1" min="7" max="7"/>
    <col width="10.1640625" customWidth="1" min="8" max="8"/>
    <col width="10.5" customWidth="1" min="10" max="10"/>
    <col width="10.1640625" customWidth="1" min="11" max="11"/>
    <col width="10.5" customWidth="1" min="12" max="12"/>
    <col width="10.1640625" customWidth="1" min="13" max="13"/>
    <col width="10.5" customWidth="1" min="15" max="15"/>
  </cols>
  <sheetData>
    <row r="1">
      <c r="A1" t="inlineStr">
        <is>
          <t>Province</t>
        </is>
      </c>
      <c r="B1" t="inlineStr">
        <is>
          <t>Number of
Schools</t>
        </is>
      </c>
      <c r="C1" t="inlineStr">
        <is>
          <t>Number of
Classes</t>
        </is>
      </c>
      <c r="D1" t="inlineStr">
        <is>
          <t>Enrollment</t>
        </is>
      </c>
      <c r="F1" t="inlineStr">
        <is>
          <t>Teaching Staff</t>
        </is>
      </c>
      <c r="H1" t="inlineStr">
        <is>
          <t>Non-Teaching Staff</t>
        </is>
      </c>
      <c r="J1" t="inlineStr">
        <is>
          <t>Govern. staff</t>
        </is>
      </c>
      <c r="K1" t="inlineStr">
        <is>
          <t>Foreigner Teaching Staff</t>
        </is>
      </c>
      <c r="M1" t="inlineStr">
        <is>
          <t>Buildings</t>
        </is>
      </c>
      <c r="N1" t="inlineStr">
        <is>
          <t>Rooms</t>
        </is>
      </c>
      <c r="O1" t="inlineStr">
        <is>
          <t>Classrooms</t>
        </is>
      </c>
    </row>
    <row r="2"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Female</t>
        </is>
      </c>
      <c r="H2" t="inlineStr">
        <is>
          <t>Total</t>
        </is>
      </c>
      <c r="I2" t="inlineStr">
        <is>
          <t>Female</t>
        </is>
      </c>
      <c r="K2" t="inlineStr">
        <is>
          <t>Total</t>
        </is>
      </c>
      <c r="L2" t="inlineStr">
        <is>
          <t>Female</t>
        </is>
      </c>
    </row>
    <row r="3">
      <c r="A3" t="inlineStr">
        <is>
          <t>Banteay Meanchey</t>
        </is>
      </c>
      <c r="B3" t="n">
        <v>14</v>
      </c>
      <c r="C3" t="n">
        <v>163</v>
      </c>
      <c r="D3" t="n">
        <v>4536</v>
      </c>
      <c r="E3" t="n">
        <v>2283</v>
      </c>
      <c r="F3" t="n">
        <v>389</v>
      </c>
      <c r="G3" t="n">
        <v>127</v>
      </c>
      <c r="H3" t="n">
        <v>49</v>
      </c>
      <c r="I3" t="n">
        <v>14</v>
      </c>
      <c r="J3" t="n">
        <v>285</v>
      </c>
      <c r="K3" t="n">
        <v>14</v>
      </c>
      <c r="L3" t="n">
        <v>5</v>
      </c>
      <c r="M3" t="n">
        <v>27</v>
      </c>
      <c r="N3" t="n">
        <v>455</v>
      </c>
      <c r="O3" t="n">
        <v>158</v>
      </c>
    </row>
    <row r="4">
      <c r="A4" t="inlineStr">
        <is>
          <t>Battambang</t>
        </is>
      </c>
      <c r="B4" t="n">
        <v>10</v>
      </c>
      <c r="C4" t="n">
        <v>117</v>
      </c>
      <c r="D4" t="n">
        <v>2938</v>
      </c>
      <c r="E4" t="n">
        <v>1501</v>
      </c>
      <c r="F4" t="n">
        <v>464</v>
      </c>
      <c r="G4" t="n">
        <v>205</v>
      </c>
      <c r="H4" t="n">
        <v>117</v>
      </c>
      <c r="I4" t="n">
        <v>46</v>
      </c>
      <c r="J4" t="n">
        <v>293</v>
      </c>
      <c r="K4" t="n">
        <v>4</v>
      </c>
      <c r="L4" t="n">
        <v>0</v>
      </c>
      <c r="M4" t="n">
        <v>13</v>
      </c>
      <c r="N4" t="n">
        <v>255</v>
      </c>
      <c r="O4" t="n">
        <v>134</v>
      </c>
    </row>
    <row r="5">
      <c r="A5" t="inlineStr">
        <is>
          <t>Kampong Cham</t>
        </is>
      </c>
      <c r="B5" t="n">
        <v>2</v>
      </c>
      <c r="C5" t="n">
        <v>22</v>
      </c>
      <c r="D5" t="n">
        <v>629</v>
      </c>
      <c r="E5" t="n">
        <v>320</v>
      </c>
      <c r="F5" t="n">
        <v>63</v>
      </c>
      <c r="G5" t="n">
        <v>24</v>
      </c>
      <c r="H5" t="n">
        <v>2</v>
      </c>
      <c r="I5" t="n">
        <v>1</v>
      </c>
      <c r="J5" t="n">
        <v>33</v>
      </c>
      <c r="K5" t="n">
        <v>1</v>
      </c>
      <c r="L5" t="n">
        <v>0</v>
      </c>
      <c r="M5" t="n">
        <v>4</v>
      </c>
      <c r="N5" t="n">
        <v>79</v>
      </c>
      <c r="O5" t="n">
        <v>22</v>
      </c>
    </row>
    <row r="6">
      <c r="A6" t="inlineStr">
        <is>
          <t>Kampong Chhnang</t>
        </is>
      </c>
      <c r="B6" t="n">
        <v>4</v>
      </c>
      <c r="C6" t="n">
        <v>32</v>
      </c>
      <c r="D6" t="n">
        <v>867</v>
      </c>
      <c r="E6" t="n">
        <v>335</v>
      </c>
      <c r="F6" t="n">
        <v>115</v>
      </c>
      <c r="G6" t="n">
        <v>42</v>
      </c>
      <c r="H6" t="n">
        <v>9</v>
      </c>
      <c r="I6" t="n">
        <v>3</v>
      </c>
      <c r="J6" t="n">
        <v>59</v>
      </c>
      <c r="K6" t="n">
        <v>0</v>
      </c>
      <c r="L6" t="n">
        <v>0</v>
      </c>
      <c r="M6" t="n">
        <v>6</v>
      </c>
      <c r="N6" t="n">
        <v>81</v>
      </c>
      <c r="O6" t="n">
        <v>32</v>
      </c>
    </row>
    <row r="7">
      <c r="A7" t="inlineStr">
        <is>
          <t>Kampong Speu</t>
        </is>
      </c>
      <c r="B7" t="n">
        <v>6</v>
      </c>
      <c r="C7" t="n">
        <v>42</v>
      </c>
      <c r="D7" t="n">
        <v>572</v>
      </c>
      <c r="E7" t="n">
        <v>320</v>
      </c>
      <c r="F7" t="n">
        <v>105</v>
      </c>
      <c r="G7" t="n">
        <v>39</v>
      </c>
      <c r="H7" t="n">
        <v>18</v>
      </c>
      <c r="I7" t="n">
        <v>8</v>
      </c>
      <c r="J7" t="n">
        <v>25</v>
      </c>
      <c r="K7" t="n">
        <v>8</v>
      </c>
      <c r="L7" t="n">
        <v>5</v>
      </c>
      <c r="M7" t="n">
        <v>8</v>
      </c>
      <c r="N7" t="n">
        <v>104</v>
      </c>
      <c r="O7" t="n">
        <v>42</v>
      </c>
    </row>
    <row r="8">
      <c r="A8" t="inlineStr">
        <is>
          <t>Kampong Thom</t>
        </is>
      </c>
      <c r="B8" t="n">
        <v>3</v>
      </c>
      <c r="C8" t="n">
        <v>20</v>
      </c>
      <c r="D8" t="n">
        <v>286</v>
      </c>
      <c r="E8" t="n">
        <v>132</v>
      </c>
      <c r="F8" t="n">
        <v>55</v>
      </c>
      <c r="G8" t="n">
        <v>15</v>
      </c>
      <c r="H8" t="n">
        <v>13</v>
      </c>
      <c r="I8" t="n">
        <v>7</v>
      </c>
      <c r="J8" t="n">
        <v>48</v>
      </c>
      <c r="K8" t="n">
        <v>2</v>
      </c>
      <c r="L8" t="n">
        <v>2</v>
      </c>
      <c r="M8" t="n">
        <v>15</v>
      </c>
      <c r="N8" t="n">
        <v>44</v>
      </c>
      <c r="O8" t="n">
        <v>19</v>
      </c>
    </row>
    <row r="9">
      <c r="A9" t="inlineStr">
        <is>
          <t>Kampot</t>
        </is>
      </c>
      <c r="B9" t="n">
        <v>8</v>
      </c>
      <c r="C9" t="n">
        <v>60</v>
      </c>
      <c r="D9" t="n">
        <v>2303</v>
      </c>
      <c r="E9" t="n">
        <v>1277</v>
      </c>
      <c r="F9" t="n">
        <v>166</v>
      </c>
      <c r="G9" t="n">
        <v>50</v>
      </c>
      <c r="H9" t="n">
        <v>21</v>
      </c>
      <c r="I9" t="n">
        <v>14</v>
      </c>
      <c r="J9" t="n">
        <v>35</v>
      </c>
      <c r="K9" t="n">
        <v>7</v>
      </c>
      <c r="L9" t="n">
        <v>1</v>
      </c>
      <c r="M9" t="n">
        <v>12</v>
      </c>
      <c r="N9" t="n">
        <v>149</v>
      </c>
      <c r="O9" t="n">
        <v>27</v>
      </c>
    </row>
    <row r="10">
      <c r="A10" t="inlineStr">
        <is>
          <t>Kandal</t>
        </is>
      </c>
      <c r="B10" t="n">
        <v>6</v>
      </c>
      <c r="C10" t="n">
        <v>125</v>
      </c>
      <c r="D10" t="n">
        <v>2774</v>
      </c>
      <c r="E10" t="n">
        <v>1523</v>
      </c>
      <c r="F10" t="n">
        <v>222</v>
      </c>
      <c r="G10" t="n">
        <v>61</v>
      </c>
      <c r="H10" t="n">
        <v>40</v>
      </c>
      <c r="I10" t="n">
        <v>16</v>
      </c>
      <c r="J10" t="n">
        <v>208</v>
      </c>
      <c r="K10" t="n">
        <v>0</v>
      </c>
      <c r="L10" t="n">
        <v>0</v>
      </c>
      <c r="M10" t="n">
        <v>23</v>
      </c>
      <c r="N10" t="n">
        <v>316</v>
      </c>
      <c r="O10" t="n">
        <v>107</v>
      </c>
    </row>
    <row r="11">
      <c r="A11" t="inlineStr">
        <is>
          <t>Koh Kong</t>
        </is>
      </c>
      <c r="B11" t="n">
        <v>1</v>
      </c>
      <c r="C11" t="n">
        <v>10</v>
      </c>
      <c r="D11" t="n">
        <v>279</v>
      </c>
      <c r="E11" t="n">
        <v>148</v>
      </c>
      <c r="F11" t="n">
        <v>29</v>
      </c>
      <c r="G11" t="n">
        <v>10</v>
      </c>
      <c r="H11" t="n">
        <v>7</v>
      </c>
      <c r="I11" t="n">
        <v>3</v>
      </c>
      <c r="J11" t="n">
        <v>0</v>
      </c>
      <c r="K11" t="n">
        <v>0</v>
      </c>
      <c r="L11" t="n">
        <v>0</v>
      </c>
      <c r="M11" t="n">
        <v>3</v>
      </c>
      <c r="N11" t="n">
        <v>15</v>
      </c>
      <c r="O11" t="n">
        <v>10</v>
      </c>
    </row>
    <row r="12">
      <c r="A12" t="inlineStr">
        <is>
          <t>Kratie</t>
        </is>
      </c>
      <c r="B12" t="n">
        <v>1</v>
      </c>
      <c r="C12" t="n">
        <v>6</v>
      </c>
      <c r="D12" t="n">
        <v>111</v>
      </c>
      <c r="E12" t="n">
        <v>55</v>
      </c>
      <c r="F12" t="n">
        <v>41</v>
      </c>
      <c r="G12" t="n">
        <v>13</v>
      </c>
      <c r="H12" t="n">
        <v>10</v>
      </c>
      <c r="I12" t="n">
        <v>9</v>
      </c>
      <c r="J12" t="n">
        <v>0</v>
      </c>
      <c r="K12" t="n">
        <v>0</v>
      </c>
      <c r="L12" t="n">
        <v>0</v>
      </c>
      <c r="M12" t="n">
        <v>2</v>
      </c>
      <c r="N12" t="n">
        <v>14</v>
      </c>
      <c r="O12" t="n">
        <v>6</v>
      </c>
    </row>
    <row r="13">
      <c r="A13" t="inlineStr">
        <is>
          <t>Phnom Penh</t>
        </is>
      </c>
      <c r="B13" t="n">
        <v>86</v>
      </c>
      <c r="C13" t="n">
        <v>1293</v>
      </c>
      <c r="D13" t="n">
        <v>31934</v>
      </c>
      <c r="E13" t="n">
        <v>16370</v>
      </c>
      <c r="F13" t="n">
        <v>2905</v>
      </c>
      <c r="G13" t="n">
        <v>977</v>
      </c>
      <c r="H13" t="n">
        <v>1210</v>
      </c>
      <c r="I13" t="n">
        <v>573</v>
      </c>
      <c r="J13" t="n">
        <v>1315</v>
      </c>
      <c r="K13" t="n">
        <v>184</v>
      </c>
      <c r="L13" t="n">
        <v>86</v>
      </c>
      <c r="M13" t="n">
        <v>129</v>
      </c>
      <c r="N13" t="n">
        <v>3275</v>
      </c>
      <c r="O13" t="n">
        <v>1054</v>
      </c>
    </row>
    <row r="14">
      <c r="A14" t="inlineStr">
        <is>
          <t>Preah Sihanouk</t>
        </is>
      </c>
      <c r="B14" t="n">
        <v>5</v>
      </c>
      <c r="C14" t="n">
        <v>67</v>
      </c>
      <c r="D14" t="n">
        <v>1896</v>
      </c>
      <c r="E14" t="n">
        <v>898</v>
      </c>
      <c r="F14" t="n">
        <v>157</v>
      </c>
      <c r="G14" t="n">
        <v>30</v>
      </c>
      <c r="H14" t="n">
        <v>28</v>
      </c>
      <c r="I14" t="n">
        <v>14</v>
      </c>
      <c r="J14" t="n">
        <v>117</v>
      </c>
      <c r="K14" t="n">
        <v>7</v>
      </c>
      <c r="L14" t="n">
        <v>3</v>
      </c>
      <c r="M14" t="n">
        <v>8</v>
      </c>
      <c r="N14" t="n">
        <v>144</v>
      </c>
      <c r="O14" t="n">
        <v>62</v>
      </c>
    </row>
    <row r="15">
      <c r="A15" t="inlineStr">
        <is>
          <t>Prey Veng</t>
        </is>
      </c>
      <c r="B15" t="n">
        <v>1</v>
      </c>
      <c r="C15" t="n">
        <v>3</v>
      </c>
      <c r="D15" t="n">
        <v>132</v>
      </c>
      <c r="E15" t="n">
        <v>76</v>
      </c>
      <c r="F15" t="n">
        <v>21</v>
      </c>
      <c r="G15" t="n">
        <v>7</v>
      </c>
      <c r="H15" t="n">
        <v>3</v>
      </c>
      <c r="I15" t="n">
        <v>2</v>
      </c>
      <c r="J15" t="n">
        <v>0</v>
      </c>
      <c r="K15" t="n">
        <v>1</v>
      </c>
      <c r="L15" t="n">
        <v>0</v>
      </c>
      <c r="M15" t="n">
        <v>3</v>
      </c>
      <c r="N15" t="n">
        <v>8</v>
      </c>
      <c r="O15" t="n">
        <v>3</v>
      </c>
    </row>
    <row r="16">
      <c r="A16" t="inlineStr">
        <is>
          <t>Ratanak Kiri</t>
        </is>
      </c>
      <c r="B16" t="n">
        <v>4</v>
      </c>
      <c r="C16" t="n">
        <v>29</v>
      </c>
      <c r="D16" t="n">
        <v>480</v>
      </c>
      <c r="E16" t="n">
        <v>206</v>
      </c>
      <c r="F16" t="n">
        <v>113</v>
      </c>
      <c r="G16" t="n">
        <v>50</v>
      </c>
      <c r="H16" t="n">
        <v>63</v>
      </c>
      <c r="I16" t="n">
        <v>32</v>
      </c>
      <c r="J16" t="n">
        <v>76</v>
      </c>
      <c r="K16" t="n">
        <v>0</v>
      </c>
      <c r="L16" t="n">
        <v>0</v>
      </c>
      <c r="M16" t="n">
        <v>12</v>
      </c>
      <c r="N16" t="n">
        <v>95</v>
      </c>
      <c r="O16" t="n">
        <v>28</v>
      </c>
    </row>
    <row r="17">
      <c r="A17" t="inlineStr">
        <is>
          <t>Siemreap</t>
        </is>
      </c>
      <c r="B17" t="n">
        <v>8</v>
      </c>
      <c r="C17" t="n">
        <v>80</v>
      </c>
      <c r="D17" t="n">
        <v>1855</v>
      </c>
      <c r="E17" t="n">
        <v>896</v>
      </c>
      <c r="F17" t="n">
        <v>277</v>
      </c>
      <c r="G17" t="n">
        <v>124</v>
      </c>
      <c r="H17" t="n">
        <v>35</v>
      </c>
      <c r="I17" t="n">
        <v>13</v>
      </c>
      <c r="J17" t="n">
        <v>81</v>
      </c>
      <c r="K17" t="n">
        <v>16</v>
      </c>
      <c r="L17" t="n">
        <v>5</v>
      </c>
      <c r="M17" t="n">
        <v>15</v>
      </c>
      <c r="N17" t="n">
        <v>190</v>
      </c>
      <c r="O17" t="n">
        <v>74</v>
      </c>
    </row>
    <row r="18">
      <c r="A18" t="inlineStr">
        <is>
          <t>Stung Treng</t>
        </is>
      </c>
      <c r="B18" t="n">
        <v>1</v>
      </c>
      <c r="C18" t="n">
        <v>4</v>
      </c>
      <c r="D18" t="n">
        <v>14</v>
      </c>
      <c r="E18" t="n">
        <v>7</v>
      </c>
      <c r="F18" t="n">
        <v>7</v>
      </c>
      <c r="G18" t="n">
        <v>1</v>
      </c>
      <c r="H18" t="n">
        <v>0</v>
      </c>
      <c r="I18" t="n">
        <v>0</v>
      </c>
      <c r="J18" t="n">
        <v>5</v>
      </c>
      <c r="K18" t="n">
        <v>2</v>
      </c>
      <c r="L18" t="n">
        <v>2</v>
      </c>
      <c r="M18" t="n">
        <v>1</v>
      </c>
      <c r="N18" t="n">
        <v>4</v>
      </c>
      <c r="O18" t="n">
        <v>4</v>
      </c>
    </row>
    <row r="19">
      <c r="A19" t="inlineStr">
        <is>
          <t>Takeo</t>
        </is>
      </c>
      <c r="B19" t="n">
        <v>8</v>
      </c>
      <c r="C19" t="n">
        <v>61</v>
      </c>
      <c r="D19" t="n">
        <v>1253</v>
      </c>
      <c r="E19" t="n">
        <v>585</v>
      </c>
      <c r="F19" t="n">
        <v>198</v>
      </c>
      <c r="G19" t="n">
        <v>56</v>
      </c>
      <c r="H19" t="n">
        <v>48</v>
      </c>
      <c r="I19" t="n">
        <v>27</v>
      </c>
      <c r="J19" t="n">
        <v>131</v>
      </c>
      <c r="K19" t="n">
        <v>9</v>
      </c>
      <c r="L19" t="n">
        <v>5</v>
      </c>
      <c r="M19" t="n">
        <v>18</v>
      </c>
      <c r="N19" t="n">
        <v>136</v>
      </c>
      <c r="O19" t="n">
        <v>64</v>
      </c>
    </row>
    <row r="20">
      <c r="A20" t="inlineStr">
        <is>
          <t>Tbaung Khmum</t>
        </is>
      </c>
      <c r="B20" t="n">
        <v>3</v>
      </c>
      <c r="C20" t="n">
        <v>24</v>
      </c>
      <c r="D20" t="n">
        <v>1207</v>
      </c>
      <c r="E20" t="n">
        <v>1025</v>
      </c>
      <c r="F20" t="n">
        <v>58</v>
      </c>
      <c r="G20" t="n">
        <v>35</v>
      </c>
      <c r="H20" t="n">
        <v>8</v>
      </c>
      <c r="I20" t="n">
        <v>3</v>
      </c>
      <c r="J20" t="n">
        <v>31</v>
      </c>
      <c r="K20" t="n">
        <v>0</v>
      </c>
      <c r="L20" t="n">
        <v>0</v>
      </c>
      <c r="M20" t="n">
        <v>7</v>
      </c>
      <c r="N20" t="n">
        <v>45</v>
      </c>
      <c r="O20" t="n">
        <v>24</v>
      </c>
    </row>
    <row r="21">
      <c r="A21" t="inlineStr">
        <is>
          <t>Whole Kingdom</t>
        </is>
      </c>
      <c r="B21" t="n">
        <v>171</v>
      </c>
      <c r="C21" t="n">
        <v>2158</v>
      </c>
      <c r="D21" t="n">
        <v>54066</v>
      </c>
      <c r="E21" t="n">
        <v>27957</v>
      </c>
      <c r="F21" t="n">
        <v>5385</v>
      </c>
      <c r="G21" t="n">
        <v>1866</v>
      </c>
      <c r="H21" t="n">
        <v>1681</v>
      </c>
      <c r="I21" t="n">
        <v>785</v>
      </c>
      <c r="J21" t="n">
        <v>2742</v>
      </c>
      <c r="K21" t="n">
        <v>255</v>
      </c>
      <c r="L21" t="n">
        <v>114</v>
      </c>
      <c r="M21" t="n">
        <v>306</v>
      </c>
      <c r="N21" t="n">
        <v>5409</v>
      </c>
      <c r="O21" t="n">
        <v>1870</v>
      </c>
    </row>
    <row r="22">
      <c r="A22" t="inlineStr">
        <is>
          <t>- Urban Area</t>
        </is>
      </c>
      <c r="B22" t="n">
        <v>143</v>
      </c>
      <c r="C22" t="n">
        <v>1934</v>
      </c>
      <c r="D22" t="n">
        <v>48806</v>
      </c>
      <c r="E22" t="n">
        <v>24812</v>
      </c>
      <c r="F22" t="n">
        <v>4799</v>
      </c>
      <c r="G22" t="n">
        <v>1681</v>
      </c>
      <c r="H22" t="n">
        <v>1584</v>
      </c>
      <c r="I22" t="n">
        <v>748</v>
      </c>
      <c r="J22" t="n">
        <v>2433</v>
      </c>
      <c r="K22" t="n">
        <v>223</v>
      </c>
      <c r="L22" t="n">
        <v>98</v>
      </c>
      <c r="M22" t="n">
        <v>224</v>
      </c>
      <c r="N22" t="n">
        <v>4856</v>
      </c>
      <c r="O22" t="n">
        <v>1644</v>
      </c>
    </row>
    <row r="23">
      <c r="A23" t="inlineStr">
        <is>
          <t>- Rural Area</t>
        </is>
      </c>
      <c r="B23" t="n">
        <v>28</v>
      </c>
      <c r="C23" t="n">
        <v>224</v>
      </c>
      <c r="D23" t="n">
        <v>5260</v>
      </c>
      <c r="E23" t="n">
        <v>3145</v>
      </c>
      <c r="F23" t="n">
        <v>586</v>
      </c>
      <c r="G23" t="n">
        <v>185</v>
      </c>
      <c r="H23" t="n">
        <v>97</v>
      </c>
      <c r="I23" t="n">
        <v>37</v>
      </c>
      <c r="J23" t="n">
        <v>309</v>
      </c>
      <c r="K23" t="n">
        <v>32</v>
      </c>
      <c r="L23" t="n">
        <v>16</v>
      </c>
      <c r="M23" t="n">
        <v>82</v>
      </c>
      <c r="N23" t="n">
        <v>553</v>
      </c>
      <c r="O23" t="n">
        <v>226</v>
      </c>
    </row>
  </sheetData>
  <mergeCells count="11">
    <mergeCell ref="D1:E1"/>
    <mergeCell ref="K1:L1"/>
    <mergeCell ref="H1:I1"/>
    <mergeCell ref="C1:C2"/>
    <mergeCell ref="B1:B2"/>
    <mergeCell ref="F1:G1"/>
    <mergeCell ref="M1:M2"/>
    <mergeCell ref="J1:J2"/>
    <mergeCell ref="O1:O2"/>
    <mergeCell ref="N1:N2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.83203125" customWidth="1" min="1" max="1"/>
    <col width="10" customWidth="1" min="2" max="2"/>
    <col width="10.1640625" customWidth="1" min="8" max="8"/>
    <col width="10.5" customWidth="1" min="9" max="9"/>
    <col width="10.1640625" customWidth="1" min="10" max="10"/>
    <col width="11.33203125" customWidth="1" min="11" max="11"/>
    <col width="11.1640625" customWidth="1" min="12" max="12"/>
    <col width="10.5" customWidth="1" min="13" max="13"/>
    <col width="10.1640625" customWidth="1" min="14" max="14"/>
  </cols>
  <sheetData>
    <row r="1">
      <c r="A1" t="inlineStr">
        <is>
          <t>Province</t>
        </is>
      </c>
      <c r="B1" t="inlineStr">
        <is>
          <t>Number of
Schools</t>
        </is>
      </c>
      <c r="C1" t="inlineStr">
        <is>
          <t>Number of
Classes</t>
        </is>
      </c>
      <c r="D1" t="inlineStr">
        <is>
          <t>Enrollment</t>
        </is>
      </c>
      <c r="F1" t="inlineStr">
        <is>
          <t>Teaching Staff</t>
        </is>
      </c>
      <c r="H1" t="inlineStr">
        <is>
          <t>Non-Teaching Staff</t>
        </is>
      </c>
      <c r="J1" t="inlineStr">
        <is>
          <t>Govern. staff</t>
        </is>
      </c>
      <c r="K1" t="inlineStr">
        <is>
          <t>Foreigner Teaching Staff</t>
        </is>
      </c>
      <c r="M1" t="inlineStr">
        <is>
          <t>Buildings</t>
        </is>
      </c>
      <c r="N1" t="inlineStr">
        <is>
          <t>Rooms</t>
        </is>
      </c>
      <c r="O1" t="inlineStr">
        <is>
          <t>Classrooms</t>
        </is>
      </c>
    </row>
    <row r="2"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Female</t>
        </is>
      </c>
      <c r="H2" t="inlineStr">
        <is>
          <t>Total</t>
        </is>
      </c>
      <c r="I2" t="inlineStr">
        <is>
          <t>Female</t>
        </is>
      </c>
      <c r="K2" t="inlineStr">
        <is>
          <t>Total</t>
        </is>
      </c>
      <c r="L2" t="inlineStr">
        <is>
          <t>Female</t>
        </is>
      </c>
    </row>
    <row r="3">
      <c r="A3" t="inlineStr">
        <is>
          <t>Banteay Meanchey</t>
        </is>
      </c>
      <c r="B3" t="n">
        <v>55</v>
      </c>
      <c r="C3" t="n">
        <v>161</v>
      </c>
      <c r="D3" t="n">
        <v>4017</v>
      </c>
      <c r="E3" t="n">
        <v>2003</v>
      </c>
      <c r="F3" t="n">
        <v>155</v>
      </c>
      <c r="G3" t="n">
        <v>142</v>
      </c>
      <c r="H3" t="n">
        <v>46</v>
      </c>
      <c r="I3" t="n">
        <v>41</v>
      </c>
      <c r="J3" t="n">
        <v>12</v>
      </c>
      <c r="K3" t="n">
        <v>8</v>
      </c>
      <c r="L3" t="n">
        <v>6</v>
      </c>
      <c r="M3" t="n">
        <v>4</v>
      </c>
      <c r="N3" t="n">
        <v>149</v>
      </c>
      <c r="O3" t="n">
        <v>142</v>
      </c>
    </row>
    <row r="4">
      <c r="A4" t="inlineStr">
        <is>
          <t>Battambang</t>
        </is>
      </c>
      <c r="B4" t="n">
        <v>22</v>
      </c>
      <c r="C4" t="n">
        <v>109</v>
      </c>
      <c r="D4" t="n">
        <v>2070</v>
      </c>
      <c r="E4" t="n">
        <v>1008</v>
      </c>
      <c r="F4" t="n">
        <v>102</v>
      </c>
      <c r="G4" t="n">
        <v>90</v>
      </c>
      <c r="H4" t="n">
        <v>74</v>
      </c>
      <c r="I4" t="n">
        <v>64</v>
      </c>
      <c r="J4" t="n">
        <v>24</v>
      </c>
      <c r="K4" t="n">
        <v>22</v>
      </c>
      <c r="L4" t="n">
        <v>18</v>
      </c>
      <c r="M4" t="n">
        <v>28</v>
      </c>
      <c r="N4" t="n">
        <v>160</v>
      </c>
      <c r="O4" t="n">
        <v>107</v>
      </c>
    </row>
    <row r="5">
      <c r="A5" t="inlineStr">
        <is>
          <t>Kampong Cham</t>
        </is>
      </c>
      <c r="B5" t="n">
        <v>9</v>
      </c>
      <c r="C5" t="n">
        <v>65</v>
      </c>
      <c r="D5" t="n">
        <v>1462</v>
      </c>
      <c r="E5" t="n">
        <v>786</v>
      </c>
      <c r="F5" t="n">
        <v>76</v>
      </c>
      <c r="G5" t="n">
        <v>51</v>
      </c>
      <c r="H5" t="n">
        <v>23</v>
      </c>
      <c r="I5" t="n">
        <v>8</v>
      </c>
      <c r="J5" t="n">
        <v>25</v>
      </c>
      <c r="K5" t="n">
        <v>0</v>
      </c>
      <c r="L5" t="n">
        <v>0</v>
      </c>
      <c r="M5" t="n">
        <v>4</v>
      </c>
      <c r="N5" t="n">
        <v>69</v>
      </c>
      <c r="O5" t="n">
        <v>63</v>
      </c>
    </row>
    <row r="6">
      <c r="A6" t="inlineStr">
        <is>
          <t>Kampong Chhnang</t>
        </is>
      </c>
      <c r="B6" t="n">
        <v>10</v>
      </c>
      <c r="C6" t="n">
        <v>53</v>
      </c>
      <c r="D6" t="n">
        <v>1324</v>
      </c>
      <c r="E6" t="n">
        <v>628</v>
      </c>
      <c r="F6" t="n">
        <v>59</v>
      </c>
      <c r="G6" t="n">
        <v>59</v>
      </c>
      <c r="H6" t="n">
        <v>17</v>
      </c>
      <c r="I6" t="n">
        <v>14</v>
      </c>
      <c r="J6" t="n">
        <v>5</v>
      </c>
      <c r="K6" t="n">
        <v>5</v>
      </c>
      <c r="L6" t="n">
        <v>3</v>
      </c>
      <c r="M6" t="n">
        <v>1</v>
      </c>
      <c r="N6" t="n">
        <v>59</v>
      </c>
      <c r="O6" t="n">
        <v>53</v>
      </c>
    </row>
    <row r="7">
      <c r="A7" t="inlineStr">
        <is>
          <t>Kampong Speu</t>
        </is>
      </c>
      <c r="B7" t="n">
        <v>33</v>
      </c>
      <c r="C7" t="n">
        <v>124</v>
      </c>
      <c r="D7" t="n">
        <v>2857</v>
      </c>
      <c r="E7" t="n">
        <v>1503</v>
      </c>
      <c r="F7" t="n">
        <v>186</v>
      </c>
      <c r="G7" t="n">
        <v>136</v>
      </c>
      <c r="H7" t="n">
        <v>58</v>
      </c>
      <c r="I7" t="n">
        <v>23</v>
      </c>
      <c r="J7" t="n">
        <v>24</v>
      </c>
      <c r="K7" t="n">
        <v>18</v>
      </c>
      <c r="L7" t="n">
        <v>14</v>
      </c>
      <c r="M7" t="n">
        <v>32</v>
      </c>
      <c r="N7" t="n">
        <v>236</v>
      </c>
      <c r="O7" t="n">
        <v>118</v>
      </c>
    </row>
    <row r="8">
      <c r="A8" t="inlineStr">
        <is>
          <t>Kampong Thom</t>
        </is>
      </c>
      <c r="B8" t="n">
        <v>9</v>
      </c>
      <c r="C8" t="n">
        <v>26</v>
      </c>
      <c r="D8" t="n">
        <v>638</v>
      </c>
      <c r="E8" t="n">
        <v>312</v>
      </c>
      <c r="F8" t="n">
        <v>27</v>
      </c>
      <c r="G8" t="n">
        <v>25</v>
      </c>
      <c r="H8" t="n">
        <v>10</v>
      </c>
      <c r="I8" t="n">
        <v>6</v>
      </c>
      <c r="J8" t="n">
        <v>5</v>
      </c>
      <c r="K8" t="n">
        <v>1</v>
      </c>
      <c r="L8" t="n">
        <v>1</v>
      </c>
      <c r="M8" t="n">
        <v>9</v>
      </c>
      <c r="N8" t="n">
        <v>43</v>
      </c>
      <c r="O8" t="n">
        <v>25</v>
      </c>
    </row>
    <row r="9">
      <c r="A9" t="inlineStr">
        <is>
          <t>Kampot</t>
        </is>
      </c>
      <c r="B9" t="n">
        <v>15</v>
      </c>
      <c r="C9" t="n">
        <v>46</v>
      </c>
      <c r="D9" t="n">
        <v>1252</v>
      </c>
      <c r="E9" t="n">
        <v>586</v>
      </c>
      <c r="F9" t="n">
        <v>50</v>
      </c>
      <c r="G9" t="n">
        <v>50</v>
      </c>
      <c r="H9" t="n">
        <v>5</v>
      </c>
      <c r="I9" t="n">
        <v>5</v>
      </c>
      <c r="J9" t="n">
        <v>1</v>
      </c>
      <c r="K9" t="n">
        <v>12</v>
      </c>
      <c r="L9" t="n">
        <v>4</v>
      </c>
      <c r="M9" t="n">
        <v>6</v>
      </c>
      <c r="N9" t="n">
        <v>59</v>
      </c>
      <c r="O9" t="n">
        <v>46</v>
      </c>
    </row>
    <row r="10">
      <c r="A10" t="inlineStr">
        <is>
          <t>Kandal</t>
        </is>
      </c>
      <c r="B10" t="n">
        <v>39</v>
      </c>
      <c r="C10" t="n">
        <v>173</v>
      </c>
      <c r="D10" t="n">
        <v>2931</v>
      </c>
      <c r="E10" t="n">
        <v>1531</v>
      </c>
      <c r="F10" t="n">
        <v>210</v>
      </c>
      <c r="G10" t="n">
        <v>156</v>
      </c>
      <c r="H10" t="n">
        <v>101</v>
      </c>
      <c r="I10" t="n">
        <v>69</v>
      </c>
      <c r="J10" t="n">
        <v>50</v>
      </c>
      <c r="K10" t="n">
        <v>34</v>
      </c>
      <c r="L10" t="n">
        <v>23</v>
      </c>
      <c r="M10" t="n">
        <v>38</v>
      </c>
      <c r="N10" t="n">
        <v>551</v>
      </c>
      <c r="O10" t="n">
        <v>170</v>
      </c>
    </row>
    <row r="11">
      <c r="A11" t="inlineStr">
        <is>
          <t>Kep</t>
        </is>
      </c>
      <c r="B11" t="n">
        <v>3</v>
      </c>
      <c r="C11" t="n">
        <v>5</v>
      </c>
      <c r="D11" t="n">
        <v>165</v>
      </c>
      <c r="E11" t="n">
        <v>99</v>
      </c>
      <c r="F11" t="n">
        <v>10</v>
      </c>
      <c r="G11" t="n">
        <v>7</v>
      </c>
      <c r="H11" t="n">
        <v>4</v>
      </c>
      <c r="I11" t="n">
        <v>4</v>
      </c>
      <c r="J11" t="n">
        <v>1</v>
      </c>
      <c r="K11" t="n">
        <v>3</v>
      </c>
      <c r="L11" t="n">
        <v>2</v>
      </c>
      <c r="M11" t="n">
        <v>2</v>
      </c>
      <c r="N11" t="n">
        <v>7</v>
      </c>
      <c r="O11" t="n">
        <v>5</v>
      </c>
    </row>
    <row r="12">
      <c r="A12" t="inlineStr">
        <is>
          <t>Koh Kong</t>
        </is>
      </c>
      <c r="B12" t="n">
        <v>12</v>
      </c>
      <c r="C12" t="n">
        <v>42</v>
      </c>
      <c r="D12" t="n">
        <v>1176</v>
      </c>
      <c r="E12" t="n">
        <v>613</v>
      </c>
      <c r="F12" t="n">
        <v>40</v>
      </c>
      <c r="G12" t="n">
        <v>38</v>
      </c>
      <c r="H12" t="n">
        <v>1</v>
      </c>
      <c r="I12" t="n">
        <v>1</v>
      </c>
      <c r="J12" t="n">
        <v>8</v>
      </c>
      <c r="K12" t="n">
        <v>3</v>
      </c>
      <c r="L12" t="n">
        <v>2</v>
      </c>
      <c r="M12" t="n">
        <v>13</v>
      </c>
      <c r="N12" t="n">
        <v>57</v>
      </c>
      <c r="O12" t="n">
        <v>33</v>
      </c>
    </row>
    <row r="13">
      <c r="A13" t="inlineStr">
        <is>
          <t>Kratie</t>
        </is>
      </c>
      <c r="B13" t="n">
        <v>4</v>
      </c>
      <c r="C13" t="n">
        <v>9</v>
      </c>
      <c r="D13" t="n">
        <v>198</v>
      </c>
      <c r="E13" t="n">
        <v>87</v>
      </c>
      <c r="F13" t="n">
        <v>14</v>
      </c>
      <c r="G13" t="n">
        <v>14</v>
      </c>
      <c r="H13" t="n">
        <v>19</v>
      </c>
      <c r="I13" t="n">
        <v>8</v>
      </c>
      <c r="J13" t="n">
        <v>0</v>
      </c>
      <c r="K13" t="n">
        <v>7</v>
      </c>
      <c r="L13" t="n">
        <v>6</v>
      </c>
      <c r="M13" t="n">
        <v>3</v>
      </c>
      <c r="N13" t="n">
        <v>26</v>
      </c>
      <c r="O13" t="n">
        <v>9</v>
      </c>
    </row>
    <row r="14">
      <c r="A14" t="inlineStr">
        <is>
          <t>Mondul Kiri</t>
        </is>
      </c>
      <c r="B14" t="n">
        <v>4</v>
      </c>
      <c r="C14" t="n">
        <v>8</v>
      </c>
      <c r="D14" t="n">
        <v>177</v>
      </c>
      <c r="E14" t="n">
        <v>90</v>
      </c>
      <c r="F14" t="n">
        <v>15</v>
      </c>
      <c r="G14" t="n">
        <v>12</v>
      </c>
      <c r="H14" t="n">
        <v>4</v>
      </c>
      <c r="I14" t="n">
        <v>4</v>
      </c>
      <c r="J14" t="n">
        <v>0</v>
      </c>
      <c r="K14" t="n">
        <v>0</v>
      </c>
      <c r="L14" t="n">
        <v>0</v>
      </c>
      <c r="M14" t="n">
        <v>2</v>
      </c>
      <c r="N14" t="n">
        <v>8</v>
      </c>
      <c r="O14" t="n">
        <v>8</v>
      </c>
    </row>
    <row r="15">
      <c r="A15" t="inlineStr">
        <is>
          <t>Otdar Meanchey</t>
        </is>
      </c>
      <c r="B15" t="n">
        <v>3</v>
      </c>
      <c r="C15" t="n">
        <v>10</v>
      </c>
      <c r="D15" t="n">
        <v>318</v>
      </c>
      <c r="E15" t="n">
        <v>152</v>
      </c>
      <c r="F15" t="n">
        <v>7</v>
      </c>
      <c r="G15" t="n">
        <v>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20</v>
      </c>
      <c r="O15" t="n">
        <v>7</v>
      </c>
    </row>
    <row r="16">
      <c r="A16" t="inlineStr">
        <is>
          <t>Pailin</t>
        </is>
      </c>
      <c r="B16" t="n">
        <v>10</v>
      </c>
      <c r="C16" t="n">
        <v>34</v>
      </c>
      <c r="D16" t="n">
        <v>674</v>
      </c>
      <c r="E16" t="n">
        <v>307</v>
      </c>
      <c r="F16" t="n">
        <v>35</v>
      </c>
      <c r="G16" t="n">
        <v>35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n">
        <v>4</v>
      </c>
      <c r="N16" t="n">
        <v>36</v>
      </c>
      <c r="O16" t="n">
        <v>30</v>
      </c>
    </row>
    <row r="17">
      <c r="A17" t="inlineStr">
        <is>
          <t>Phnom Penh</t>
        </is>
      </c>
      <c r="B17" t="n">
        <v>242</v>
      </c>
      <c r="C17" t="n">
        <v>1169</v>
      </c>
      <c r="D17" t="n">
        <v>24271</v>
      </c>
      <c r="E17" t="n">
        <v>11988</v>
      </c>
      <c r="F17" t="n">
        <v>1451</v>
      </c>
      <c r="G17" t="n">
        <v>1240</v>
      </c>
      <c r="H17" t="n">
        <v>1346</v>
      </c>
      <c r="I17" t="n">
        <v>991</v>
      </c>
      <c r="J17" t="n">
        <v>194</v>
      </c>
      <c r="K17" t="n">
        <v>240</v>
      </c>
      <c r="L17" t="n">
        <v>137</v>
      </c>
      <c r="M17" t="n">
        <v>130</v>
      </c>
      <c r="N17" t="n">
        <v>2271</v>
      </c>
      <c r="O17" t="n">
        <v>1027</v>
      </c>
    </row>
    <row r="18">
      <c r="A18" t="inlineStr">
        <is>
          <t>Preah Sihanouk</t>
        </is>
      </c>
      <c r="B18" t="n">
        <v>21</v>
      </c>
      <c r="C18" t="n">
        <v>92</v>
      </c>
      <c r="D18" t="n">
        <v>1982</v>
      </c>
      <c r="E18" t="n">
        <v>893</v>
      </c>
      <c r="F18" t="n">
        <v>114</v>
      </c>
      <c r="G18" t="n">
        <v>105</v>
      </c>
      <c r="H18" t="n">
        <v>50</v>
      </c>
      <c r="I18" t="n">
        <v>37</v>
      </c>
      <c r="J18" t="n">
        <v>10</v>
      </c>
      <c r="K18" t="n">
        <v>14</v>
      </c>
      <c r="L18" t="n">
        <v>13</v>
      </c>
      <c r="M18" t="n">
        <v>1</v>
      </c>
      <c r="N18" t="n">
        <v>86</v>
      </c>
      <c r="O18" t="n">
        <v>81</v>
      </c>
    </row>
    <row r="19">
      <c r="A19" t="inlineStr">
        <is>
          <t>Preah Vihear</t>
        </is>
      </c>
      <c r="B19" t="n">
        <v>2</v>
      </c>
      <c r="C19" t="n">
        <v>7</v>
      </c>
      <c r="D19" t="n">
        <v>60</v>
      </c>
      <c r="E19" t="n">
        <v>35</v>
      </c>
      <c r="F19" t="n">
        <v>9</v>
      </c>
      <c r="G19" t="n">
        <v>7</v>
      </c>
      <c r="H19" t="n">
        <v>4</v>
      </c>
      <c r="I19" t="n">
        <v>2</v>
      </c>
      <c r="J19" t="n">
        <v>4</v>
      </c>
      <c r="K19" t="n">
        <v>0</v>
      </c>
      <c r="L19" t="n">
        <v>0</v>
      </c>
      <c r="M19" t="n">
        <v>3</v>
      </c>
      <c r="N19" t="n">
        <v>11</v>
      </c>
      <c r="O19" t="n">
        <v>7</v>
      </c>
    </row>
    <row r="20">
      <c r="A20" t="inlineStr">
        <is>
          <t>Prey Veng</t>
        </is>
      </c>
      <c r="B20" t="n">
        <v>4</v>
      </c>
      <c r="C20" t="n">
        <v>11</v>
      </c>
      <c r="D20" t="n">
        <v>177</v>
      </c>
      <c r="E20" t="n">
        <v>71</v>
      </c>
      <c r="F20" t="n">
        <v>15</v>
      </c>
      <c r="G20" t="n">
        <v>15</v>
      </c>
      <c r="H20" t="n">
        <v>4</v>
      </c>
      <c r="I20" t="n">
        <v>4</v>
      </c>
      <c r="J20" t="n">
        <v>0</v>
      </c>
      <c r="K20" t="n">
        <v>0</v>
      </c>
      <c r="L20" t="n">
        <v>0</v>
      </c>
      <c r="M20" t="n">
        <v>2</v>
      </c>
      <c r="N20" t="n">
        <v>17</v>
      </c>
      <c r="O20" t="n">
        <v>11</v>
      </c>
    </row>
    <row r="21">
      <c r="A21" t="inlineStr">
        <is>
          <t>Pursat</t>
        </is>
      </c>
      <c r="B21" t="n">
        <v>6</v>
      </c>
      <c r="C21" t="n">
        <v>33</v>
      </c>
      <c r="D21" t="n">
        <v>693</v>
      </c>
      <c r="E21" t="n">
        <v>321</v>
      </c>
      <c r="F21" t="n">
        <v>53</v>
      </c>
      <c r="G21" t="n">
        <v>43</v>
      </c>
      <c r="H21" t="n">
        <v>21</v>
      </c>
      <c r="I21" t="n">
        <v>15</v>
      </c>
      <c r="J21" t="n">
        <v>15</v>
      </c>
      <c r="K21" t="n">
        <v>0</v>
      </c>
      <c r="L21" t="n">
        <v>0</v>
      </c>
      <c r="M21" t="n">
        <v>5</v>
      </c>
      <c r="N21" t="n">
        <v>52</v>
      </c>
      <c r="O21" t="n">
        <v>30</v>
      </c>
    </row>
    <row r="22">
      <c r="A22" t="inlineStr">
        <is>
          <t>Ratanak Kiri</t>
        </is>
      </c>
      <c r="B22" t="n">
        <v>4</v>
      </c>
      <c r="C22" t="n">
        <v>33</v>
      </c>
      <c r="D22" t="n">
        <v>993</v>
      </c>
      <c r="E22" t="n">
        <v>467</v>
      </c>
      <c r="F22" t="n">
        <v>72</v>
      </c>
      <c r="G22" t="n">
        <v>46</v>
      </c>
      <c r="H22" t="n">
        <v>48</v>
      </c>
      <c r="I22" t="n">
        <v>32</v>
      </c>
      <c r="J22" t="n">
        <v>44</v>
      </c>
      <c r="K22" t="n">
        <v>0</v>
      </c>
      <c r="L22" t="n">
        <v>0</v>
      </c>
      <c r="M22" t="n">
        <v>6</v>
      </c>
      <c r="N22" t="n">
        <v>67</v>
      </c>
      <c r="O22" t="n">
        <v>18</v>
      </c>
    </row>
    <row r="23">
      <c r="A23" t="inlineStr">
        <is>
          <t>Siemreap</t>
        </is>
      </c>
      <c r="B23" t="n">
        <v>40</v>
      </c>
      <c r="C23" t="n">
        <v>239</v>
      </c>
      <c r="D23" t="n">
        <v>5723</v>
      </c>
      <c r="E23" t="n">
        <v>2961</v>
      </c>
      <c r="F23" t="n">
        <v>289</v>
      </c>
      <c r="G23" t="n">
        <v>231</v>
      </c>
      <c r="H23" t="n">
        <v>108</v>
      </c>
      <c r="I23" t="n">
        <v>77</v>
      </c>
      <c r="J23" t="n">
        <v>36</v>
      </c>
      <c r="K23" t="n">
        <v>58</v>
      </c>
      <c r="L23" t="n">
        <v>54</v>
      </c>
      <c r="M23" t="n">
        <v>21</v>
      </c>
      <c r="N23" t="n">
        <v>235</v>
      </c>
      <c r="O23" t="n">
        <v>189</v>
      </c>
    </row>
    <row r="24">
      <c r="A24" t="inlineStr">
        <is>
          <t>Stung Treng</t>
        </is>
      </c>
      <c r="B24" t="n">
        <v>6</v>
      </c>
      <c r="C24" t="n">
        <v>19</v>
      </c>
      <c r="D24" t="n">
        <v>466</v>
      </c>
      <c r="E24" t="n">
        <v>245</v>
      </c>
      <c r="F24" t="n">
        <v>22</v>
      </c>
      <c r="G24" t="n">
        <v>22</v>
      </c>
      <c r="H24" t="n">
        <v>6</v>
      </c>
      <c r="I24" t="n">
        <v>6</v>
      </c>
      <c r="J24" t="n">
        <v>2</v>
      </c>
      <c r="K24" t="n">
        <v>2</v>
      </c>
      <c r="L24" t="n">
        <v>2</v>
      </c>
      <c r="M24" t="n">
        <v>2</v>
      </c>
      <c r="N24" t="n">
        <v>13</v>
      </c>
      <c r="O24" t="n">
        <v>13</v>
      </c>
    </row>
    <row r="25">
      <c r="A25" t="inlineStr">
        <is>
          <t>Svay Rieng</t>
        </is>
      </c>
      <c r="B25" t="n">
        <v>6</v>
      </c>
      <c r="C25" t="n">
        <v>19</v>
      </c>
      <c r="D25" t="n">
        <v>380</v>
      </c>
      <c r="E25" t="n">
        <v>189</v>
      </c>
      <c r="F25" t="n">
        <v>30</v>
      </c>
      <c r="G25" t="n">
        <v>26</v>
      </c>
      <c r="H25" t="n">
        <v>11</v>
      </c>
      <c r="I25" t="n">
        <v>8</v>
      </c>
      <c r="J25" t="n">
        <v>2</v>
      </c>
      <c r="K25" t="n">
        <v>7</v>
      </c>
      <c r="L25" t="n">
        <v>7</v>
      </c>
      <c r="M25" t="n">
        <v>0</v>
      </c>
      <c r="N25" t="n">
        <v>19</v>
      </c>
      <c r="O25" t="n">
        <v>19</v>
      </c>
    </row>
    <row r="26">
      <c r="A26" t="inlineStr">
        <is>
          <t>Takeo</t>
        </is>
      </c>
      <c r="B26" t="n">
        <v>20</v>
      </c>
      <c r="C26" t="n">
        <v>52</v>
      </c>
      <c r="D26" t="n">
        <v>1180</v>
      </c>
      <c r="E26" t="n">
        <v>565</v>
      </c>
      <c r="F26" t="n">
        <v>63</v>
      </c>
      <c r="G26" t="n">
        <v>55</v>
      </c>
      <c r="H26" t="n">
        <v>46</v>
      </c>
      <c r="I26" t="n">
        <v>27</v>
      </c>
      <c r="J26" t="n">
        <v>12</v>
      </c>
      <c r="K26" t="n">
        <v>0</v>
      </c>
      <c r="L26" t="n">
        <v>0</v>
      </c>
      <c r="M26" t="n">
        <v>17</v>
      </c>
      <c r="N26" t="n">
        <v>92</v>
      </c>
      <c r="O26" t="n">
        <v>47</v>
      </c>
    </row>
    <row r="27">
      <c r="A27" t="inlineStr">
        <is>
          <t>Tbaung Khmum</t>
        </is>
      </c>
      <c r="B27" t="n">
        <v>15</v>
      </c>
      <c r="C27" t="n">
        <v>57</v>
      </c>
      <c r="D27" t="n">
        <v>820</v>
      </c>
      <c r="E27" t="n">
        <v>391</v>
      </c>
      <c r="F27" t="n">
        <v>78</v>
      </c>
      <c r="G27" t="n">
        <v>56</v>
      </c>
      <c r="H27" t="n">
        <v>25</v>
      </c>
      <c r="I27" t="n">
        <v>11</v>
      </c>
      <c r="J27" t="n">
        <v>0</v>
      </c>
      <c r="K27" t="n">
        <v>13</v>
      </c>
      <c r="L27" t="n">
        <v>11</v>
      </c>
      <c r="M27" t="n">
        <v>17</v>
      </c>
      <c r="N27" t="n">
        <v>142</v>
      </c>
      <c r="O27" t="n">
        <v>83</v>
      </c>
    </row>
    <row r="28">
      <c r="A28" t="inlineStr">
        <is>
          <t>Whole Kingdom</t>
        </is>
      </c>
      <c r="B28" t="n">
        <v>594</v>
      </c>
      <c r="C28" t="n">
        <v>2596</v>
      </c>
      <c r="D28" t="n">
        <v>56004</v>
      </c>
      <c r="E28" t="n">
        <v>27831</v>
      </c>
      <c r="F28" t="n">
        <v>3182</v>
      </c>
      <c r="G28" t="n">
        <v>2668</v>
      </c>
      <c r="H28" t="n">
        <v>2033</v>
      </c>
      <c r="I28" t="n">
        <v>1459</v>
      </c>
      <c r="J28" t="n">
        <v>474</v>
      </c>
      <c r="K28" t="n">
        <v>447</v>
      </c>
      <c r="L28" t="n">
        <v>303</v>
      </c>
      <c r="M28" t="n">
        <v>353</v>
      </c>
      <c r="N28" t="n">
        <v>4485</v>
      </c>
      <c r="O28" t="n">
        <v>2341</v>
      </c>
    </row>
    <row r="29">
      <c r="A29" t="inlineStr">
        <is>
          <t>- Urban Area</t>
        </is>
      </c>
      <c r="B29" t="n">
        <v>458</v>
      </c>
      <c r="C29" t="n">
        <v>2107</v>
      </c>
      <c r="D29" t="n">
        <v>45250</v>
      </c>
      <c r="E29" t="n">
        <v>22271</v>
      </c>
      <c r="F29" t="n">
        <v>2582</v>
      </c>
      <c r="G29" t="n">
        <v>2227</v>
      </c>
      <c r="H29" t="n">
        <v>1814</v>
      </c>
      <c r="I29" t="n">
        <v>1344</v>
      </c>
      <c r="J29" t="n">
        <v>363</v>
      </c>
      <c r="K29" t="n">
        <v>402</v>
      </c>
      <c r="L29" t="n">
        <v>273</v>
      </c>
      <c r="M29" t="n">
        <v>257</v>
      </c>
      <c r="N29" t="n">
        <v>3761</v>
      </c>
      <c r="O29" t="n">
        <v>1859</v>
      </c>
    </row>
    <row r="30">
      <c r="A30" t="inlineStr">
        <is>
          <t>- Rural Area</t>
        </is>
      </c>
      <c r="B30" t="n">
        <v>136</v>
      </c>
      <c r="C30" t="n">
        <v>489</v>
      </c>
      <c r="D30" t="n">
        <v>10754</v>
      </c>
      <c r="E30" t="n">
        <v>5560</v>
      </c>
      <c r="F30" t="n">
        <v>600</v>
      </c>
      <c r="G30" t="n">
        <v>441</v>
      </c>
      <c r="H30" t="n">
        <v>219</v>
      </c>
      <c r="I30" t="n">
        <v>115</v>
      </c>
      <c r="J30" t="n">
        <v>111</v>
      </c>
      <c r="K30" t="n">
        <v>45</v>
      </c>
      <c r="L30" t="n">
        <v>30</v>
      </c>
      <c r="M30" t="n">
        <v>96</v>
      </c>
      <c r="N30" t="n">
        <v>724</v>
      </c>
      <c r="O30" t="n">
        <v>482</v>
      </c>
    </row>
  </sheetData>
  <mergeCells count="11">
    <mergeCell ref="D1:E1"/>
    <mergeCell ref="K1:L1"/>
    <mergeCell ref="H1:I1"/>
    <mergeCell ref="C1:C2"/>
    <mergeCell ref="B1:B2"/>
    <mergeCell ref="F1:G1"/>
    <mergeCell ref="M1:M2"/>
    <mergeCell ref="J1:J2"/>
    <mergeCell ref="O1:O2"/>
    <mergeCell ref="N1:N2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.83203125" customWidth="1" min="1" max="1"/>
    <col width="10.5" customWidth="1" min="2" max="2"/>
    <col width="10.1640625" customWidth="1" min="3" max="3"/>
    <col width="10.5" customWidth="1" min="4" max="4"/>
    <col width="10.1640625" customWidth="1" min="5" max="5"/>
    <col width="10.5" customWidth="1" min="7" max="7"/>
    <col width="10.1640625" customWidth="1" min="8" max="8"/>
    <col width="10.5" customWidth="1" min="10" max="10"/>
    <col width="10.1640625" customWidth="1" min="11" max="11"/>
    <col width="10.5" customWidth="1" min="12" max="12"/>
    <col width="10.1640625" customWidth="1" min="13" max="13"/>
    <col width="10.5" customWidth="1" min="15" max="15"/>
  </cols>
  <sheetData>
    <row r="1">
      <c r="A1" t="inlineStr">
        <is>
          <t>Province</t>
        </is>
      </c>
      <c r="B1" t="inlineStr">
        <is>
          <t>Number of
Schools</t>
        </is>
      </c>
      <c r="C1" t="inlineStr">
        <is>
          <t>Number of
Classes</t>
        </is>
      </c>
      <c r="D1" t="inlineStr">
        <is>
          <t>Enrollment</t>
        </is>
      </c>
      <c r="F1" t="inlineStr">
        <is>
          <t>Teaching Staff</t>
        </is>
      </c>
      <c r="H1" t="inlineStr">
        <is>
          <t>Non-Teaching Staff</t>
        </is>
      </c>
      <c r="J1" t="inlineStr">
        <is>
          <t>Govern. staff</t>
        </is>
      </c>
      <c r="K1" t="inlineStr">
        <is>
          <t>Foreigner Teaching Staff</t>
        </is>
      </c>
      <c r="M1" t="inlineStr">
        <is>
          <t>Buildings</t>
        </is>
      </c>
      <c r="N1" t="inlineStr">
        <is>
          <t>Rooms</t>
        </is>
      </c>
      <c r="O1" t="inlineStr">
        <is>
          <t>Classrooms</t>
        </is>
      </c>
    </row>
    <row r="2"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Female</t>
        </is>
      </c>
      <c r="H2" t="inlineStr">
        <is>
          <t>Total</t>
        </is>
      </c>
      <c r="I2" t="inlineStr">
        <is>
          <t>Female</t>
        </is>
      </c>
      <c r="K2" t="inlineStr">
        <is>
          <t>Total</t>
        </is>
      </c>
      <c r="L2" t="inlineStr">
        <is>
          <t>Female</t>
        </is>
      </c>
    </row>
    <row r="3">
      <c r="A3" t="inlineStr">
        <is>
          <t>Banteay Meanchey</t>
        </is>
      </c>
      <c r="B3" t="n">
        <v>54</v>
      </c>
      <c r="C3" t="n">
        <v>597</v>
      </c>
      <c r="D3" t="n">
        <v>14259</v>
      </c>
      <c r="E3" t="n">
        <v>6901</v>
      </c>
      <c r="F3" t="n">
        <v>559</v>
      </c>
      <c r="G3" t="n">
        <v>342</v>
      </c>
      <c r="H3" t="n">
        <v>123</v>
      </c>
      <c r="I3" t="n">
        <v>59</v>
      </c>
      <c r="J3" t="n">
        <v>147</v>
      </c>
      <c r="K3" t="n">
        <v>8</v>
      </c>
      <c r="L3" t="n">
        <v>4</v>
      </c>
      <c r="M3" t="n">
        <v>76</v>
      </c>
      <c r="N3" t="n">
        <v>888</v>
      </c>
      <c r="O3" t="n">
        <v>468</v>
      </c>
    </row>
    <row r="4">
      <c r="A4" t="inlineStr">
        <is>
          <t>Battambang</t>
        </is>
      </c>
      <c r="B4" t="n">
        <v>19</v>
      </c>
      <c r="C4" t="n">
        <v>178</v>
      </c>
      <c r="D4" t="n">
        <v>3966</v>
      </c>
      <c r="E4" t="n">
        <v>1859</v>
      </c>
      <c r="F4" t="n">
        <v>196</v>
      </c>
      <c r="G4" t="n">
        <v>151</v>
      </c>
      <c r="H4" t="n">
        <v>64</v>
      </c>
      <c r="I4" t="n">
        <v>37</v>
      </c>
      <c r="J4" t="n">
        <v>110</v>
      </c>
      <c r="K4" t="n">
        <v>11</v>
      </c>
      <c r="L4" t="n">
        <v>8</v>
      </c>
      <c r="M4" t="n">
        <v>30</v>
      </c>
      <c r="N4" t="n">
        <v>244</v>
      </c>
      <c r="O4" t="n">
        <v>164</v>
      </c>
    </row>
    <row r="5">
      <c r="A5" t="inlineStr">
        <is>
          <t>Kampong Cham</t>
        </is>
      </c>
      <c r="B5" t="n">
        <v>16</v>
      </c>
      <c r="C5" t="n">
        <v>116</v>
      </c>
      <c r="D5" t="n">
        <v>2598</v>
      </c>
      <c r="E5" t="n">
        <v>1215</v>
      </c>
      <c r="F5" t="n">
        <v>125</v>
      </c>
      <c r="G5" t="n">
        <v>77</v>
      </c>
      <c r="H5" t="n">
        <v>20</v>
      </c>
      <c r="I5" t="n">
        <v>9</v>
      </c>
      <c r="J5" t="n">
        <v>22</v>
      </c>
      <c r="K5" t="n">
        <v>6</v>
      </c>
      <c r="L5" t="n">
        <v>6</v>
      </c>
      <c r="M5" t="n">
        <v>32</v>
      </c>
      <c r="N5" t="n">
        <v>240</v>
      </c>
      <c r="O5" t="n">
        <v>116</v>
      </c>
    </row>
    <row r="6">
      <c r="A6" t="inlineStr">
        <is>
          <t>Kampong Chhnang</t>
        </is>
      </c>
      <c r="B6" t="n">
        <v>10</v>
      </c>
      <c r="C6" t="n">
        <v>95</v>
      </c>
      <c r="D6" t="n">
        <v>2041</v>
      </c>
      <c r="E6" t="n">
        <v>969</v>
      </c>
      <c r="F6" t="n">
        <v>144</v>
      </c>
      <c r="G6" t="n">
        <v>106</v>
      </c>
      <c r="H6" t="n">
        <v>49</v>
      </c>
      <c r="I6" t="n">
        <v>25</v>
      </c>
      <c r="J6" t="n">
        <v>74</v>
      </c>
      <c r="K6" t="n">
        <v>4</v>
      </c>
      <c r="L6" t="n">
        <v>4</v>
      </c>
      <c r="M6" t="n">
        <v>28</v>
      </c>
      <c r="N6" t="n">
        <v>194</v>
      </c>
      <c r="O6" t="n">
        <v>93</v>
      </c>
    </row>
    <row r="7">
      <c r="A7" t="inlineStr">
        <is>
          <t>Kampong Speu</t>
        </is>
      </c>
      <c r="B7" t="n">
        <v>21</v>
      </c>
      <c r="C7" t="n">
        <v>183</v>
      </c>
      <c r="D7" t="n">
        <v>4514</v>
      </c>
      <c r="E7" t="n">
        <v>2275</v>
      </c>
      <c r="F7" t="n">
        <v>243</v>
      </c>
      <c r="G7" t="n">
        <v>146</v>
      </c>
      <c r="H7" t="n">
        <v>61</v>
      </c>
      <c r="I7" t="n">
        <v>19</v>
      </c>
      <c r="J7" t="n">
        <v>55</v>
      </c>
      <c r="K7" t="n">
        <v>11</v>
      </c>
      <c r="L7" t="n">
        <v>9</v>
      </c>
      <c r="M7" t="n">
        <v>38</v>
      </c>
      <c r="N7" t="n">
        <v>302</v>
      </c>
      <c r="O7" t="n">
        <v>153</v>
      </c>
    </row>
    <row r="8">
      <c r="A8" t="inlineStr">
        <is>
          <t>Kampong Thom</t>
        </is>
      </c>
      <c r="B8" t="n">
        <v>20</v>
      </c>
      <c r="C8" t="n">
        <v>84</v>
      </c>
      <c r="D8" t="n">
        <v>1675</v>
      </c>
      <c r="E8" t="n">
        <v>832</v>
      </c>
      <c r="F8" t="n">
        <v>100</v>
      </c>
      <c r="G8" t="n">
        <v>47</v>
      </c>
      <c r="H8" t="n">
        <v>12</v>
      </c>
      <c r="I8" t="n">
        <v>7</v>
      </c>
      <c r="J8" t="n">
        <v>60</v>
      </c>
      <c r="K8" t="n">
        <v>0</v>
      </c>
      <c r="L8" t="n">
        <v>0</v>
      </c>
      <c r="M8" t="n">
        <v>27</v>
      </c>
      <c r="N8" t="n">
        <v>126</v>
      </c>
      <c r="O8" t="n">
        <v>82</v>
      </c>
    </row>
    <row r="9">
      <c r="A9" t="inlineStr">
        <is>
          <t>Kampot</t>
        </is>
      </c>
      <c r="B9" t="n">
        <v>18</v>
      </c>
      <c r="C9" t="n">
        <v>177</v>
      </c>
      <c r="D9" t="n">
        <v>6818</v>
      </c>
      <c r="E9" t="n">
        <v>3562</v>
      </c>
      <c r="F9" t="n">
        <v>223</v>
      </c>
      <c r="G9" t="n">
        <v>144</v>
      </c>
      <c r="H9" t="n">
        <v>31</v>
      </c>
      <c r="I9" t="n">
        <v>13</v>
      </c>
      <c r="J9" t="n">
        <v>52</v>
      </c>
      <c r="K9" t="n">
        <v>35</v>
      </c>
      <c r="L9" t="n">
        <v>25</v>
      </c>
      <c r="M9" t="n">
        <v>26</v>
      </c>
      <c r="N9" t="n">
        <v>218</v>
      </c>
      <c r="O9" t="n">
        <v>131</v>
      </c>
    </row>
    <row r="10">
      <c r="A10" t="inlineStr">
        <is>
          <t>Kandal</t>
        </is>
      </c>
      <c r="B10" t="n">
        <v>19</v>
      </c>
      <c r="C10" t="n">
        <v>233</v>
      </c>
      <c r="D10" t="n">
        <v>5593</v>
      </c>
      <c r="E10" t="n">
        <v>2957</v>
      </c>
      <c r="F10" t="n">
        <v>226</v>
      </c>
      <c r="G10" t="n">
        <v>159</v>
      </c>
      <c r="H10" t="n">
        <v>74</v>
      </c>
      <c r="I10" t="n">
        <v>37</v>
      </c>
      <c r="J10" t="n">
        <v>88</v>
      </c>
      <c r="K10" t="n">
        <v>22</v>
      </c>
      <c r="L10" t="n">
        <v>16</v>
      </c>
      <c r="M10" t="n">
        <v>28</v>
      </c>
      <c r="N10" t="n">
        <v>434</v>
      </c>
      <c r="O10" t="n">
        <v>232</v>
      </c>
    </row>
    <row r="11">
      <c r="A11" t="inlineStr">
        <is>
          <t>Kep</t>
        </is>
      </c>
      <c r="B11" t="n">
        <v>1</v>
      </c>
      <c r="C11" t="n">
        <v>14</v>
      </c>
      <c r="D11" t="n">
        <v>781</v>
      </c>
      <c r="E11" t="n">
        <v>446</v>
      </c>
      <c r="F11" t="n">
        <v>16</v>
      </c>
      <c r="G11" t="n">
        <v>10</v>
      </c>
      <c r="H11" t="n">
        <v>0</v>
      </c>
      <c r="I11" t="n">
        <v>0</v>
      </c>
      <c r="J11" t="n">
        <v>2</v>
      </c>
      <c r="K11" t="n">
        <v>5</v>
      </c>
      <c r="L11" t="n">
        <v>2</v>
      </c>
      <c r="M11" t="n">
        <v>7</v>
      </c>
      <c r="N11" t="n">
        <v>19</v>
      </c>
      <c r="O11" t="n">
        <v>14</v>
      </c>
    </row>
    <row r="12">
      <c r="A12" t="inlineStr">
        <is>
          <t>Koh Kong</t>
        </is>
      </c>
      <c r="B12" t="n">
        <v>13</v>
      </c>
      <c r="C12" t="n">
        <v>102</v>
      </c>
      <c r="D12" t="n">
        <v>2563</v>
      </c>
      <c r="E12" t="n">
        <v>1281</v>
      </c>
      <c r="F12" t="n">
        <v>107</v>
      </c>
      <c r="G12" t="n">
        <v>67</v>
      </c>
      <c r="H12" t="n">
        <v>15</v>
      </c>
      <c r="I12" t="n">
        <v>8</v>
      </c>
      <c r="J12" t="n">
        <v>49</v>
      </c>
      <c r="K12" t="n">
        <v>2</v>
      </c>
      <c r="L12" t="n">
        <v>2</v>
      </c>
      <c r="M12" t="n">
        <v>38</v>
      </c>
      <c r="N12" t="n">
        <v>139</v>
      </c>
      <c r="O12" t="n">
        <v>95</v>
      </c>
    </row>
    <row r="13">
      <c r="A13" t="inlineStr">
        <is>
          <t>Kratie</t>
        </is>
      </c>
      <c r="B13" t="n">
        <v>3</v>
      </c>
      <c r="C13" t="n">
        <v>19</v>
      </c>
      <c r="D13" t="n">
        <v>397</v>
      </c>
      <c r="E13" t="n">
        <v>253</v>
      </c>
      <c r="F13" t="n">
        <v>21</v>
      </c>
      <c r="G13" t="n">
        <v>16</v>
      </c>
      <c r="H13" t="n">
        <v>6</v>
      </c>
      <c r="I13" t="n">
        <v>3</v>
      </c>
      <c r="J13" t="n">
        <v>2</v>
      </c>
      <c r="K13" t="n">
        <v>7</v>
      </c>
      <c r="L13" t="n">
        <v>4</v>
      </c>
      <c r="M13" t="n">
        <v>7</v>
      </c>
      <c r="N13" t="n">
        <v>34</v>
      </c>
      <c r="O13" t="n">
        <v>19</v>
      </c>
    </row>
    <row r="14">
      <c r="A14" t="inlineStr">
        <is>
          <t>Mondul Kiri</t>
        </is>
      </c>
      <c r="B14" t="n">
        <v>3</v>
      </c>
      <c r="C14" t="n">
        <v>11</v>
      </c>
      <c r="D14" t="n">
        <v>219</v>
      </c>
      <c r="E14" t="n">
        <v>95</v>
      </c>
      <c r="F14" t="n">
        <v>20</v>
      </c>
      <c r="G14" t="n">
        <v>16</v>
      </c>
      <c r="H14" t="n">
        <v>12</v>
      </c>
      <c r="I14" t="n">
        <v>10</v>
      </c>
      <c r="J14" t="n">
        <v>0</v>
      </c>
      <c r="K14" t="n">
        <v>0</v>
      </c>
      <c r="L14" t="n">
        <v>0</v>
      </c>
      <c r="M14" t="n">
        <v>4</v>
      </c>
      <c r="N14" t="n">
        <v>26</v>
      </c>
      <c r="O14" t="n">
        <v>11</v>
      </c>
    </row>
    <row r="15">
      <c r="A15" t="inlineStr">
        <is>
          <t>Otdar Meanchey</t>
        </is>
      </c>
      <c r="B15" t="n">
        <v>3</v>
      </c>
      <c r="C15" t="n">
        <v>41</v>
      </c>
      <c r="D15" t="n">
        <v>1043</v>
      </c>
      <c r="E15" t="n">
        <v>473</v>
      </c>
      <c r="F15" t="n">
        <v>22</v>
      </c>
      <c r="G15" t="n">
        <v>13</v>
      </c>
      <c r="H15" t="n">
        <v>5</v>
      </c>
      <c r="I15" t="n">
        <v>2</v>
      </c>
      <c r="J15" t="n">
        <v>3</v>
      </c>
      <c r="K15" t="n">
        <v>0</v>
      </c>
      <c r="L15" t="n">
        <v>0</v>
      </c>
      <c r="M15" t="n">
        <v>5</v>
      </c>
      <c r="N15" t="n">
        <v>31</v>
      </c>
      <c r="O15" t="n">
        <v>23</v>
      </c>
    </row>
    <row r="16">
      <c r="A16" t="inlineStr">
        <is>
          <t>Pailin</t>
        </is>
      </c>
      <c r="B16" t="n">
        <v>10</v>
      </c>
      <c r="C16" t="n">
        <v>82</v>
      </c>
      <c r="D16" t="n">
        <v>1726</v>
      </c>
      <c r="E16" t="n">
        <v>849</v>
      </c>
      <c r="F16" t="n">
        <v>68</v>
      </c>
      <c r="G16" t="n">
        <v>54</v>
      </c>
      <c r="H16" t="n">
        <v>17</v>
      </c>
      <c r="I16" t="n">
        <v>7</v>
      </c>
      <c r="J16" t="n">
        <v>13</v>
      </c>
      <c r="K16" t="n">
        <v>3</v>
      </c>
      <c r="L16" t="n">
        <v>1</v>
      </c>
      <c r="M16" t="n">
        <v>22</v>
      </c>
      <c r="N16" t="n">
        <v>146</v>
      </c>
      <c r="O16" t="n">
        <v>64</v>
      </c>
    </row>
    <row r="17">
      <c r="A17" t="inlineStr">
        <is>
          <t>Phnom Penh</t>
        </is>
      </c>
      <c r="B17" t="n">
        <v>272</v>
      </c>
      <c r="C17" t="n">
        <v>3325</v>
      </c>
      <c r="D17" t="n">
        <v>74042</v>
      </c>
      <c r="E17" t="n">
        <v>36496</v>
      </c>
      <c r="F17" t="n">
        <v>3570</v>
      </c>
      <c r="G17" t="n">
        <v>2463</v>
      </c>
      <c r="H17" t="n">
        <v>2415</v>
      </c>
      <c r="I17" t="n">
        <v>1428</v>
      </c>
      <c r="J17" t="n">
        <v>1157</v>
      </c>
      <c r="K17" t="n">
        <v>259</v>
      </c>
      <c r="L17" t="n">
        <v>155</v>
      </c>
      <c r="M17" t="n">
        <v>371</v>
      </c>
      <c r="N17" t="n">
        <v>6108</v>
      </c>
      <c r="O17" t="n">
        <v>2935</v>
      </c>
    </row>
    <row r="18">
      <c r="A18" t="inlineStr">
        <is>
          <t>Preah Sihanouk</t>
        </is>
      </c>
      <c r="B18" t="n">
        <v>17</v>
      </c>
      <c r="C18" t="n">
        <v>173</v>
      </c>
      <c r="D18" t="n">
        <v>3964</v>
      </c>
      <c r="E18" t="n">
        <v>1866</v>
      </c>
      <c r="F18" t="n">
        <v>207</v>
      </c>
      <c r="G18" t="n">
        <v>126</v>
      </c>
      <c r="H18" t="n">
        <v>54</v>
      </c>
      <c r="I18" t="n">
        <v>36</v>
      </c>
      <c r="J18" t="n">
        <v>76</v>
      </c>
      <c r="K18" t="n">
        <v>44</v>
      </c>
      <c r="L18" t="n">
        <v>34</v>
      </c>
      <c r="M18" t="n">
        <v>36</v>
      </c>
      <c r="N18" t="n">
        <v>357</v>
      </c>
      <c r="O18" t="n">
        <v>153</v>
      </c>
    </row>
    <row r="19">
      <c r="A19" t="inlineStr">
        <is>
          <t>Preah Vihear</t>
        </is>
      </c>
      <c r="B19" t="n">
        <v>2</v>
      </c>
      <c r="C19" t="n">
        <v>12</v>
      </c>
      <c r="D19" t="n">
        <v>157</v>
      </c>
      <c r="E19" t="n">
        <v>70</v>
      </c>
      <c r="F19" t="n">
        <v>12</v>
      </c>
      <c r="G19" t="n">
        <v>8</v>
      </c>
      <c r="H19" t="n">
        <v>1</v>
      </c>
      <c r="I19" t="n">
        <v>1</v>
      </c>
      <c r="J19" t="n">
        <v>7</v>
      </c>
      <c r="K19" t="n">
        <v>2</v>
      </c>
      <c r="L19" t="n">
        <v>0</v>
      </c>
      <c r="M19" t="n">
        <v>5</v>
      </c>
      <c r="N19" t="n">
        <v>29</v>
      </c>
      <c r="O19" t="n">
        <v>29</v>
      </c>
    </row>
    <row r="20">
      <c r="A20" t="inlineStr">
        <is>
          <t>Prey Veng</t>
        </is>
      </c>
      <c r="B20" t="n">
        <v>2</v>
      </c>
      <c r="C20" t="n">
        <v>12</v>
      </c>
      <c r="D20" t="n">
        <v>243</v>
      </c>
      <c r="E20" t="n">
        <v>92</v>
      </c>
      <c r="F20" t="n">
        <v>9</v>
      </c>
      <c r="G20" t="n">
        <v>7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n">
        <v>46</v>
      </c>
      <c r="O20" t="n">
        <v>12</v>
      </c>
    </row>
    <row r="21">
      <c r="A21" t="inlineStr">
        <is>
          <t>Pursat</t>
        </is>
      </c>
      <c r="B21" t="n">
        <v>5</v>
      </c>
      <c r="C21" t="n">
        <v>13</v>
      </c>
      <c r="D21" t="n">
        <v>713</v>
      </c>
      <c r="E21" t="n">
        <v>364</v>
      </c>
      <c r="F21" t="n">
        <v>24</v>
      </c>
      <c r="G21" t="n">
        <v>22</v>
      </c>
      <c r="H21" t="n">
        <v>13</v>
      </c>
      <c r="I21" t="n">
        <v>11</v>
      </c>
      <c r="J21" t="n">
        <v>8</v>
      </c>
      <c r="K21" t="n">
        <v>0</v>
      </c>
      <c r="L21" t="n">
        <v>0</v>
      </c>
      <c r="M21" t="n">
        <v>11</v>
      </c>
      <c r="N21" t="n">
        <v>56</v>
      </c>
      <c r="O21" t="n">
        <v>14</v>
      </c>
    </row>
    <row r="22">
      <c r="A22" t="inlineStr">
        <is>
          <t>Ratanak Kiri</t>
        </is>
      </c>
      <c r="B22" t="n">
        <v>5</v>
      </c>
      <c r="C22" t="n">
        <v>70</v>
      </c>
      <c r="D22" t="n">
        <v>1498</v>
      </c>
      <c r="E22" t="n">
        <v>734</v>
      </c>
      <c r="F22" t="n">
        <v>105</v>
      </c>
      <c r="G22" t="n">
        <v>66</v>
      </c>
      <c r="H22" t="n">
        <v>68</v>
      </c>
      <c r="I22" t="n">
        <v>36</v>
      </c>
      <c r="J22" t="n">
        <v>65</v>
      </c>
      <c r="K22" t="n">
        <v>0</v>
      </c>
      <c r="L22" t="n">
        <v>0</v>
      </c>
      <c r="M22" t="n">
        <v>13</v>
      </c>
      <c r="N22" t="n">
        <v>122</v>
      </c>
      <c r="O22" t="n">
        <v>57</v>
      </c>
    </row>
    <row r="23">
      <c r="A23" t="inlineStr">
        <is>
          <t>Siemreap</t>
        </is>
      </c>
      <c r="B23" t="n">
        <v>31</v>
      </c>
      <c r="C23" t="n">
        <v>255</v>
      </c>
      <c r="D23" t="n">
        <v>4863</v>
      </c>
      <c r="E23" t="n">
        <v>2435</v>
      </c>
      <c r="F23" t="n">
        <v>323</v>
      </c>
      <c r="G23" t="n">
        <v>235</v>
      </c>
      <c r="H23" t="n">
        <v>127</v>
      </c>
      <c r="I23" t="n">
        <v>90</v>
      </c>
      <c r="J23" t="n">
        <v>127</v>
      </c>
      <c r="K23" t="n">
        <v>47</v>
      </c>
      <c r="L23" t="n">
        <v>38</v>
      </c>
      <c r="M23" t="n">
        <v>61</v>
      </c>
      <c r="N23" t="n">
        <v>468</v>
      </c>
      <c r="O23" t="n">
        <v>214</v>
      </c>
    </row>
    <row r="24">
      <c r="A24" t="inlineStr">
        <is>
          <t>Stung Treng</t>
        </is>
      </c>
      <c r="B24" t="n">
        <v>3</v>
      </c>
      <c r="C24" t="n">
        <v>25</v>
      </c>
      <c r="D24" t="n">
        <v>320</v>
      </c>
      <c r="E24" t="n">
        <v>145</v>
      </c>
      <c r="F24" t="n">
        <v>33</v>
      </c>
      <c r="G24" t="n">
        <v>16</v>
      </c>
      <c r="H24" t="n">
        <v>4</v>
      </c>
      <c r="I24" t="n">
        <v>1</v>
      </c>
      <c r="J24" t="n">
        <v>9</v>
      </c>
      <c r="K24" t="n">
        <v>7</v>
      </c>
      <c r="L24" t="n">
        <v>6</v>
      </c>
      <c r="M24" t="n">
        <v>3</v>
      </c>
      <c r="N24" t="n">
        <v>27</v>
      </c>
      <c r="O24" t="n">
        <v>20</v>
      </c>
    </row>
    <row r="25">
      <c r="A25" t="inlineStr">
        <is>
          <t>Svay Rieng</t>
        </is>
      </c>
      <c r="B25" t="n">
        <v>7</v>
      </c>
      <c r="C25" t="n">
        <v>22</v>
      </c>
      <c r="D25" t="n">
        <v>473</v>
      </c>
      <c r="E25" t="n">
        <v>255</v>
      </c>
      <c r="F25" t="n">
        <v>36</v>
      </c>
      <c r="G25" t="n">
        <v>28</v>
      </c>
      <c r="H25" t="n">
        <v>37</v>
      </c>
      <c r="I25" t="n">
        <v>25</v>
      </c>
      <c r="J25" t="n">
        <v>6</v>
      </c>
      <c r="K25" t="n">
        <v>8</v>
      </c>
      <c r="L25" t="n">
        <v>8</v>
      </c>
      <c r="M25" t="n">
        <v>8</v>
      </c>
      <c r="N25" t="n">
        <v>65</v>
      </c>
      <c r="O25" t="n">
        <v>22</v>
      </c>
    </row>
    <row r="26">
      <c r="A26" t="inlineStr">
        <is>
          <t>Takeo</t>
        </is>
      </c>
      <c r="B26" t="n">
        <v>10</v>
      </c>
      <c r="C26" t="n">
        <v>60</v>
      </c>
      <c r="D26" t="n">
        <v>1105</v>
      </c>
      <c r="E26" t="n">
        <v>527</v>
      </c>
      <c r="F26" t="n">
        <v>65</v>
      </c>
      <c r="G26" t="n">
        <v>34</v>
      </c>
      <c r="H26" t="n">
        <v>24</v>
      </c>
      <c r="I26" t="n">
        <v>7</v>
      </c>
      <c r="J26" t="n">
        <v>11</v>
      </c>
      <c r="K26" t="n">
        <v>0</v>
      </c>
      <c r="L26" t="n">
        <v>0</v>
      </c>
      <c r="M26" t="n">
        <v>19</v>
      </c>
      <c r="N26" t="n">
        <v>91</v>
      </c>
      <c r="O26" t="n">
        <v>55</v>
      </c>
    </row>
    <row r="27">
      <c r="A27" t="inlineStr">
        <is>
          <t>Tbaung Khmum</t>
        </is>
      </c>
      <c r="B27" t="n">
        <v>10</v>
      </c>
      <c r="C27" t="n">
        <v>70</v>
      </c>
      <c r="D27" t="n">
        <v>2066</v>
      </c>
      <c r="E27" t="n">
        <v>1043</v>
      </c>
      <c r="F27" t="n">
        <v>118</v>
      </c>
      <c r="G27" t="n">
        <v>78</v>
      </c>
      <c r="H27" t="n">
        <v>14</v>
      </c>
      <c r="I27" t="n">
        <v>8</v>
      </c>
      <c r="J27" t="n">
        <v>2</v>
      </c>
      <c r="K27" t="n">
        <v>12</v>
      </c>
      <c r="L27" t="n">
        <v>11</v>
      </c>
      <c r="M27" t="n">
        <v>19</v>
      </c>
      <c r="N27" t="n">
        <v>142</v>
      </c>
      <c r="O27" t="n">
        <v>71</v>
      </c>
    </row>
    <row r="28">
      <c r="A28" t="inlineStr">
        <is>
          <t>Whole Kingdom</t>
        </is>
      </c>
      <c r="B28" t="n">
        <v>574</v>
      </c>
      <c r="C28" t="n">
        <v>5969</v>
      </c>
      <c r="D28" t="n">
        <v>137637</v>
      </c>
      <c r="E28" t="n">
        <v>67994</v>
      </c>
      <c r="F28" t="n">
        <v>6572</v>
      </c>
      <c r="G28" t="n">
        <v>4431</v>
      </c>
      <c r="H28" t="n">
        <v>3250</v>
      </c>
      <c r="I28" t="n">
        <v>1879</v>
      </c>
      <c r="J28" t="n">
        <v>2145</v>
      </c>
      <c r="K28" t="n">
        <v>493</v>
      </c>
      <c r="L28" t="n">
        <v>333</v>
      </c>
      <c r="M28" t="n">
        <v>924</v>
      </c>
      <c r="N28" t="n">
        <v>10552</v>
      </c>
      <c r="O28" t="n">
        <v>5247</v>
      </c>
    </row>
    <row r="29">
      <c r="A29" t="inlineStr">
        <is>
          <t>- Urban Area</t>
        </is>
      </c>
      <c r="B29" t="n">
        <v>462</v>
      </c>
      <c r="C29" t="n">
        <v>5134</v>
      </c>
      <c r="D29" t="n">
        <v>115350</v>
      </c>
      <c r="E29" t="n">
        <v>56699</v>
      </c>
      <c r="F29" t="n">
        <v>5579</v>
      </c>
      <c r="G29" t="n">
        <v>3840</v>
      </c>
      <c r="H29" t="n">
        <v>3089</v>
      </c>
      <c r="I29" t="n">
        <v>1821</v>
      </c>
      <c r="J29" t="n">
        <v>1888</v>
      </c>
      <c r="K29" t="n">
        <v>427</v>
      </c>
      <c r="L29" t="n">
        <v>284</v>
      </c>
      <c r="M29" t="n">
        <v>708</v>
      </c>
      <c r="N29" t="n">
        <v>9313</v>
      </c>
      <c r="O29" t="n">
        <v>4485</v>
      </c>
    </row>
    <row r="30">
      <c r="A30" t="inlineStr">
        <is>
          <t>- Rural Area</t>
        </is>
      </c>
      <c r="B30" t="n">
        <v>112</v>
      </c>
      <c r="C30" t="n">
        <v>835</v>
      </c>
      <c r="D30" t="n">
        <v>22287</v>
      </c>
      <c r="E30" t="n">
        <v>11295</v>
      </c>
      <c r="F30" t="n">
        <v>993</v>
      </c>
      <c r="G30" t="n">
        <v>591</v>
      </c>
      <c r="H30" t="n">
        <v>161</v>
      </c>
      <c r="I30" t="n">
        <v>58</v>
      </c>
      <c r="J30" t="n">
        <v>257</v>
      </c>
      <c r="K30" t="n">
        <v>66</v>
      </c>
      <c r="L30" t="n">
        <v>49</v>
      </c>
      <c r="M30" t="n">
        <v>216</v>
      </c>
      <c r="N30" t="n">
        <v>1239</v>
      </c>
      <c r="O30" t="n">
        <v>762</v>
      </c>
    </row>
  </sheetData>
  <mergeCells count="11">
    <mergeCell ref="D1:E1"/>
    <mergeCell ref="K1:L1"/>
    <mergeCell ref="H1:I1"/>
    <mergeCell ref="C1:C2"/>
    <mergeCell ref="B1:B2"/>
    <mergeCell ref="F1:G1"/>
    <mergeCell ref="M1:M2"/>
    <mergeCell ref="J1:J2"/>
    <mergeCell ref="O1:O2"/>
    <mergeCell ref="N1:N2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9.83203125" customWidth="1" min="1" max="1"/>
    <col width="10.5" customWidth="1" min="2" max="2"/>
    <col width="10.1640625" customWidth="1" min="3" max="3"/>
    <col width="10.5" customWidth="1" min="4" max="4"/>
    <col width="10.1640625" customWidth="1" min="5" max="5"/>
    <col width="10.5" customWidth="1" min="7" max="7"/>
    <col width="10.1640625" customWidth="1" min="8" max="8"/>
    <col width="10.5" customWidth="1" min="10" max="10"/>
    <col width="10.1640625" customWidth="1" min="11" max="11"/>
    <col width="10.5" customWidth="1" min="12" max="12"/>
    <col width="10.1640625" customWidth="1" min="13" max="13"/>
    <col width="10.5" customWidth="1" min="15" max="15"/>
  </cols>
  <sheetData>
    <row r="1">
      <c r="A1" t="inlineStr">
        <is>
          <t>Province</t>
        </is>
      </c>
      <c r="B1" t="inlineStr">
        <is>
          <t>Number of
Schools</t>
        </is>
      </c>
      <c r="C1" t="inlineStr">
        <is>
          <t>Number of
Classes</t>
        </is>
      </c>
      <c r="D1" t="inlineStr">
        <is>
          <t>Enrollment</t>
        </is>
      </c>
      <c r="F1" t="inlineStr">
        <is>
          <t>Teaching Staff</t>
        </is>
      </c>
      <c r="H1" t="inlineStr">
        <is>
          <t>Non-Teaching Staff</t>
        </is>
      </c>
      <c r="J1" t="inlineStr">
        <is>
          <t>Govern. staff</t>
        </is>
      </c>
      <c r="K1" t="inlineStr">
        <is>
          <t>Foreigner Teaching Staff</t>
        </is>
      </c>
      <c r="M1" t="inlineStr">
        <is>
          <t>Buildings</t>
        </is>
      </c>
      <c r="N1" t="inlineStr">
        <is>
          <t>Rooms</t>
        </is>
      </c>
      <c r="O1" t="inlineStr">
        <is>
          <t>Classrooms</t>
        </is>
      </c>
    </row>
    <row r="2"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Female</t>
        </is>
      </c>
      <c r="H2" t="inlineStr">
        <is>
          <t>Total</t>
        </is>
      </c>
      <c r="I2" t="inlineStr">
        <is>
          <t>Female</t>
        </is>
      </c>
      <c r="K2" t="inlineStr">
        <is>
          <t>Total</t>
        </is>
      </c>
      <c r="L2" t="inlineStr">
        <is>
          <t>Female</t>
        </is>
      </c>
    </row>
    <row r="3">
      <c r="A3" t="inlineStr">
        <is>
          <t>Banteay Meanchey</t>
        </is>
      </c>
      <c r="B3" t="n">
        <v>24</v>
      </c>
      <c r="C3" t="n">
        <v>189</v>
      </c>
      <c r="D3" t="n">
        <v>5040</v>
      </c>
      <c r="E3" t="n">
        <v>2554</v>
      </c>
      <c r="F3" t="n">
        <v>490</v>
      </c>
      <c r="G3" t="n">
        <v>175</v>
      </c>
      <c r="H3" t="n">
        <v>63</v>
      </c>
      <c r="I3" t="n">
        <v>17</v>
      </c>
      <c r="J3" t="n">
        <v>336</v>
      </c>
      <c r="K3" t="n">
        <v>17</v>
      </c>
      <c r="L3" t="n">
        <v>7</v>
      </c>
      <c r="M3" t="n">
        <v>39</v>
      </c>
      <c r="N3" t="n">
        <v>548</v>
      </c>
      <c r="O3" t="n">
        <v>184</v>
      </c>
    </row>
    <row r="4">
      <c r="A4" t="inlineStr">
        <is>
          <t>Battambang</t>
        </is>
      </c>
      <c r="B4" t="n">
        <v>11</v>
      </c>
      <c r="C4" t="n">
        <v>120</v>
      </c>
      <c r="D4" t="n">
        <v>2956</v>
      </c>
      <c r="E4" t="n">
        <v>1506</v>
      </c>
      <c r="F4" t="n">
        <v>487</v>
      </c>
      <c r="G4" t="n">
        <v>217</v>
      </c>
      <c r="H4" t="n">
        <v>117</v>
      </c>
      <c r="I4" t="n">
        <v>46</v>
      </c>
      <c r="J4" t="n">
        <v>293</v>
      </c>
      <c r="K4" t="n">
        <v>4</v>
      </c>
      <c r="L4" t="n">
        <v>0</v>
      </c>
      <c r="M4" t="n">
        <v>14</v>
      </c>
      <c r="N4" t="n">
        <v>258</v>
      </c>
      <c r="O4" t="n">
        <v>137</v>
      </c>
    </row>
    <row r="5">
      <c r="A5" t="inlineStr">
        <is>
          <t>Kampong Cham</t>
        </is>
      </c>
      <c r="B5" t="n">
        <v>4</v>
      </c>
      <c r="C5" t="n">
        <v>27</v>
      </c>
      <c r="D5" t="n">
        <v>710</v>
      </c>
      <c r="E5" t="n">
        <v>356</v>
      </c>
      <c r="F5" t="n">
        <v>74</v>
      </c>
      <c r="G5" t="n">
        <v>30</v>
      </c>
      <c r="H5" t="n">
        <v>13</v>
      </c>
      <c r="I5" t="n">
        <v>6</v>
      </c>
      <c r="J5" t="n">
        <v>33</v>
      </c>
      <c r="K5" t="n">
        <v>1</v>
      </c>
      <c r="L5" t="n">
        <v>0</v>
      </c>
      <c r="M5" t="n">
        <v>9</v>
      </c>
      <c r="N5" t="n">
        <v>107</v>
      </c>
      <c r="O5" t="n">
        <v>27</v>
      </c>
    </row>
    <row r="6">
      <c r="A6" t="inlineStr">
        <is>
          <t>Kampong Chhnang</t>
        </is>
      </c>
      <c r="B6" t="n">
        <v>5</v>
      </c>
      <c r="C6" t="n">
        <v>33</v>
      </c>
      <c r="D6" t="n">
        <v>891</v>
      </c>
      <c r="E6" t="n">
        <v>343</v>
      </c>
      <c r="F6" t="n">
        <v>121</v>
      </c>
      <c r="G6" t="n">
        <v>44</v>
      </c>
      <c r="H6" t="n">
        <v>10</v>
      </c>
      <c r="I6" t="n">
        <v>3</v>
      </c>
      <c r="J6" t="n">
        <v>64</v>
      </c>
      <c r="K6" t="n">
        <v>0</v>
      </c>
      <c r="L6" t="n">
        <v>0</v>
      </c>
      <c r="M6" t="n">
        <v>7</v>
      </c>
      <c r="N6" t="n">
        <v>87</v>
      </c>
      <c r="O6" t="n">
        <v>33</v>
      </c>
    </row>
    <row r="7">
      <c r="A7" t="inlineStr">
        <is>
          <t>Kampong Speu</t>
        </is>
      </c>
      <c r="B7" t="n">
        <v>10</v>
      </c>
      <c r="C7" t="n">
        <v>54</v>
      </c>
      <c r="D7" t="n">
        <v>889</v>
      </c>
      <c r="E7" t="n">
        <v>494</v>
      </c>
      <c r="F7" t="n">
        <v>167</v>
      </c>
      <c r="G7" t="n">
        <v>66</v>
      </c>
      <c r="H7" t="n">
        <v>36</v>
      </c>
      <c r="I7" t="n">
        <v>13</v>
      </c>
      <c r="J7" t="n">
        <v>29</v>
      </c>
      <c r="K7" t="n">
        <v>10</v>
      </c>
      <c r="L7" t="n">
        <v>6</v>
      </c>
      <c r="M7" t="n">
        <v>16</v>
      </c>
      <c r="N7" t="n">
        <v>172</v>
      </c>
      <c r="O7" t="n">
        <v>54</v>
      </c>
    </row>
    <row r="8">
      <c r="A8" t="inlineStr">
        <is>
          <t>Kampong Thom</t>
        </is>
      </c>
      <c r="B8" t="n">
        <v>5</v>
      </c>
      <c r="C8" t="n">
        <v>23</v>
      </c>
      <c r="D8" t="n">
        <v>345</v>
      </c>
      <c r="E8" t="n">
        <v>154</v>
      </c>
      <c r="F8" t="n">
        <v>63</v>
      </c>
      <c r="G8" t="n">
        <v>16</v>
      </c>
      <c r="H8" t="n">
        <v>14</v>
      </c>
      <c r="I8" t="n">
        <v>7</v>
      </c>
      <c r="J8" t="n">
        <v>56</v>
      </c>
      <c r="K8" t="n">
        <v>2</v>
      </c>
      <c r="L8" t="n">
        <v>2</v>
      </c>
      <c r="M8" t="n">
        <v>19</v>
      </c>
      <c r="N8" t="n">
        <v>89</v>
      </c>
      <c r="O8" t="n">
        <v>22</v>
      </c>
    </row>
    <row r="9">
      <c r="A9" t="inlineStr">
        <is>
          <t>Kampot</t>
        </is>
      </c>
      <c r="B9" t="n">
        <v>14</v>
      </c>
      <c r="C9" t="n">
        <v>81</v>
      </c>
      <c r="D9" t="n">
        <v>2834</v>
      </c>
      <c r="E9" t="n">
        <v>1462</v>
      </c>
      <c r="F9" t="n">
        <v>226</v>
      </c>
      <c r="G9" t="n">
        <v>67</v>
      </c>
      <c r="H9" t="n">
        <v>30</v>
      </c>
      <c r="I9" t="n">
        <v>16</v>
      </c>
      <c r="J9" t="n">
        <v>53</v>
      </c>
      <c r="K9" t="n">
        <v>19</v>
      </c>
      <c r="L9" t="n">
        <v>11</v>
      </c>
      <c r="M9" t="n">
        <v>30</v>
      </c>
      <c r="N9" t="n">
        <v>226</v>
      </c>
      <c r="O9" t="n">
        <v>45</v>
      </c>
    </row>
    <row r="10">
      <c r="A10" t="inlineStr">
        <is>
          <t>Kandal</t>
        </is>
      </c>
      <c r="B10" t="n">
        <v>10</v>
      </c>
      <c r="C10" t="n">
        <v>134</v>
      </c>
      <c r="D10" t="n">
        <v>2878</v>
      </c>
      <c r="E10" t="n">
        <v>1591</v>
      </c>
      <c r="F10" t="n">
        <v>249</v>
      </c>
      <c r="G10" t="n">
        <v>76</v>
      </c>
      <c r="H10" t="n">
        <v>52</v>
      </c>
      <c r="I10" t="n">
        <v>23</v>
      </c>
      <c r="J10" t="n">
        <v>231</v>
      </c>
      <c r="K10" t="n">
        <v>7</v>
      </c>
      <c r="L10" t="n">
        <v>6</v>
      </c>
      <c r="M10" t="n">
        <v>29</v>
      </c>
      <c r="N10" t="n">
        <v>401</v>
      </c>
      <c r="O10" t="n">
        <v>116</v>
      </c>
    </row>
    <row r="11">
      <c r="A11" t="inlineStr">
        <is>
          <t>Koh Kong</t>
        </is>
      </c>
      <c r="B11" t="n">
        <v>4</v>
      </c>
      <c r="C11" t="n">
        <v>15</v>
      </c>
      <c r="D11" t="n">
        <v>394</v>
      </c>
      <c r="E11" t="n">
        <v>207</v>
      </c>
      <c r="F11" t="n">
        <v>43</v>
      </c>
      <c r="G11" t="n">
        <v>13</v>
      </c>
      <c r="H11" t="n">
        <v>7</v>
      </c>
      <c r="I11" t="n">
        <v>3</v>
      </c>
      <c r="J11" t="n">
        <v>0</v>
      </c>
      <c r="K11" t="n">
        <v>2</v>
      </c>
      <c r="L11" t="n">
        <v>2</v>
      </c>
      <c r="M11" t="n">
        <v>7</v>
      </c>
      <c r="N11" t="n">
        <v>53</v>
      </c>
      <c r="O11" t="n">
        <v>15</v>
      </c>
    </row>
    <row r="12">
      <c r="A12" t="inlineStr">
        <is>
          <t>Kratie</t>
        </is>
      </c>
      <c r="B12" t="n">
        <v>1</v>
      </c>
      <c r="C12" t="n">
        <v>6</v>
      </c>
      <c r="D12" t="n">
        <v>111</v>
      </c>
      <c r="E12" t="n">
        <v>55</v>
      </c>
      <c r="F12" t="n">
        <v>41</v>
      </c>
      <c r="G12" t="n">
        <v>13</v>
      </c>
      <c r="H12" t="n">
        <v>10</v>
      </c>
      <c r="I12" t="n">
        <v>9</v>
      </c>
      <c r="J12" t="n">
        <v>0</v>
      </c>
      <c r="K12" t="n">
        <v>0</v>
      </c>
      <c r="L12" t="n">
        <v>0</v>
      </c>
      <c r="M12" t="n">
        <v>2</v>
      </c>
      <c r="N12" t="n">
        <v>14</v>
      </c>
      <c r="O12" t="n">
        <v>6</v>
      </c>
    </row>
    <row r="13">
      <c r="A13" t="inlineStr">
        <is>
          <t>Mondul Kiri</t>
        </is>
      </c>
      <c r="B13" t="n">
        <v>1</v>
      </c>
      <c r="C13" t="n">
        <v>1</v>
      </c>
      <c r="D13" t="n">
        <v>10</v>
      </c>
      <c r="E13" t="n">
        <v>5</v>
      </c>
      <c r="F13" t="n">
        <v>5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</row>
    <row r="14">
      <c r="A14" t="inlineStr">
        <is>
          <t>Phnom Penh</t>
        </is>
      </c>
      <c r="B14" t="n">
        <v>124</v>
      </c>
      <c r="C14" t="n">
        <v>1453</v>
      </c>
      <c r="D14" t="n">
        <v>35496</v>
      </c>
      <c r="E14" t="n">
        <v>18087</v>
      </c>
      <c r="F14" t="n">
        <v>3404</v>
      </c>
      <c r="G14" t="n">
        <v>1189</v>
      </c>
      <c r="H14" t="n">
        <v>1435</v>
      </c>
      <c r="I14" t="n">
        <v>697</v>
      </c>
      <c r="J14" t="n">
        <v>1543</v>
      </c>
      <c r="K14" t="n">
        <v>223</v>
      </c>
      <c r="L14" t="n">
        <v>96</v>
      </c>
      <c r="M14" t="n">
        <v>175</v>
      </c>
      <c r="N14" t="n">
        <v>3913</v>
      </c>
      <c r="O14" t="n">
        <v>1204</v>
      </c>
    </row>
    <row r="15">
      <c r="A15" t="inlineStr">
        <is>
          <t>Preah Sihanouk</t>
        </is>
      </c>
      <c r="B15" t="n">
        <v>10</v>
      </c>
      <c r="C15" t="n">
        <v>78</v>
      </c>
      <c r="D15" t="n">
        <v>2016</v>
      </c>
      <c r="E15" t="n">
        <v>950</v>
      </c>
      <c r="F15" t="n">
        <v>197</v>
      </c>
      <c r="G15" t="n">
        <v>44</v>
      </c>
      <c r="H15" t="n">
        <v>33</v>
      </c>
      <c r="I15" t="n">
        <v>17</v>
      </c>
      <c r="J15" t="n">
        <v>140</v>
      </c>
      <c r="K15" t="n">
        <v>29</v>
      </c>
      <c r="L15" t="n">
        <v>21</v>
      </c>
      <c r="M15" t="n">
        <v>14</v>
      </c>
      <c r="N15" t="n">
        <v>244</v>
      </c>
      <c r="O15" t="n">
        <v>73</v>
      </c>
    </row>
    <row r="16">
      <c r="A16" t="inlineStr">
        <is>
          <t>Prey Veng</t>
        </is>
      </c>
      <c r="B16" t="n">
        <v>1</v>
      </c>
      <c r="C16" t="n">
        <v>3</v>
      </c>
      <c r="D16" t="n">
        <v>132</v>
      </c>
      <c r="E16" t="n">
        <v>76</v>
      </c>
      <c r="F16" t="n">
        <v>21</v>
      </c>
      <c r="G16" t="n">
        <v>7</v>
      </c>
      <c r="H16" t="n">
        <v>3</v>
      </c>
      <c r="I16" t="n">
        <v>2</v>
      </c>
      <c r="J16" t="n">
        <v>0</v>
      </c>
      <c r="K16" t="n">
        <v>1</v>
      </c>
      <c r="L16" t="n">
        <v>0</v>
      </c>
      <c r="M16" t="n">
        <v>3</v>
      </c>
      <c r="N16" t="n">
        <v>8</v>
      </c>
      <c r="O16" t="n">
        <v>3</v>
      </c>
    </row>
    <row r="17">
      <c r="A17" t="inlineStr">
        <is>
          <t>Ratanak Kiri</t>
        </is>
      </c>
      <c r="B17" t="n">
        <v>4</v>
      </c>
      <c r="C17" t="n">
        <v>29</v>
      </c>
      <c r="D17" t="n">
        <v>480</v>
      </c>
      <c r="E17" t="n">
        <v>206</v>
      </c>
      <c r="F17" t="n">
        <v>113</v>
      </c>
      <c r="G17" t="n">
        <v>50</v>
      </c>
      <c r="H17" t="n">
        <v>63</v>
      </c>
      <c r="I17" t="n">
        <v>32</v>
      </c>
      <c r="J17" t="n">
        <v>76</v>
      </c>
      <c r="K17" t="n">
        <v>0</v>
      </c>
      <c r="L17" t="n">
        <v>0</v>
      </c>
      <c r="M17" t="n">
        <v>12</v>
      </c>
      <c r="N17" t="n">
        <v>95</v>
      </c>
      <c r="O17" t="n">
        <v>28</v>
      </c>
    </row>
    <row r="18">
      <c r="A18" t="inlineStr">
        <is>
          <t>Siemreap</t>
        </is>
      </c>
      <c r="B18" t="n">
        <v>12</v>
      </c>
      <c r="C18" t="n">
        <v>87</v>
      </c>
      <c r="D18" t="n">
        <v>1918</v>
      </c>
      <c r="E18" t="n">
        <v>922</v>
      </c>
      <c r="F18" t="n">
        <v>309</v>
      </c>
      <c r="G18" t="n">
        <v>145</v>
      </c>
      <c r="H18" t="n">
        <v>45</v>
      </c>
      <c r="I18" t="n">
        <v>19</v>
      </c>
      <c r="J18" t="n">
        <v>88</v>
      </c>
      <c r="K18" t="n">
        <v>24</v>
      </c>
      <c r="L18" t="n">
        <v>9</v>
      </c>
      <c r="M18" t="n">
        <v>20</v>
      </c>
      <c r="N18" t="n">
        <v>256</v>
      </c>
      <c r="O18" t="n">
        <v>80</v>
      </c>
    </row>
    <row r="19">
      <c r="A19" t="inlineStr">
        <is>
          <t>Stung Treng</t>
        </is>
      </c>
      <c r="B19" t="n">
        <v>2</v>
      </c>
      <c r="C19" t="n">
        <v>7</v>
      </c>
      <c r="D19" t="n">
        <v>77</v>
      </c>
      <c r="E19" t="n">
        <v>42</v>
      </c>
      <c r="F19" t="n">
        <v>15</v>
      </c>
      <c r="G19" t="n">
        <v>5</v>
      </c>
      <c r="H19" t="n">
        <v>1</v>
      </c>
      <c r="I19" t="n">
        <v>0</v>
      </c>
      <c r="J19" t="n">
        <v>12</v>
      </c>
      <c r="K19" t="n">
        <v>2</v>
      </c>
      <c r="L19" t="n">
        <v>2</v>
      </c>
      <c r="M19" t="n">
        <v>2</v>
      </c>
      <c r="N19" t="n">
        <v>7</v>
      </c>
      <c r="O19" t="n">
        <v>7</v>
      </c>
    </row>
    <row r="20">
      <c r="A20" t="inlineStr">
        <is>
          <t>Takeo</t>
        </is>
      </c>
      <c r="B20" t="n">
        <v>10</v>
      </c>
      <c r="C20" t="n">
        <v>62</v>
      </c>
      <c r="D20" t="n">
        <v>1272</v>
      </c>
      <c r="E20" t="n">
        <v>595</v>
      </c>
      <c r="F20" t="n">
        <v>218</v>
      </c>
      <c r="G20" t="n">
        <v>63</v>
      </c>
      <c r="H20" t="n">
        <v>52</v>
      </c>
      <c r="I20" t="n">
        <v>28</v>
      </c>
      <c r="J20" t="n">
        <v>135</v>
      </c>
      <c r="K20" t="n">
        <v>9</v>
      </c>
      <c r="L20" t="n">
        <v>5</v>
      </c>
      <c r="M20" t="n">
        <v>24</v>
      </c>
      <c r="N20" t="n">
        <v>175</v>
      </c>
      <c r="O20" t="n">
        <v>67</v>
      </c>
    </row>
    <row r="21">
      <c r="A21" t="inlineStr">
        <is>
          <t>Tbaung Khmum</t>
        </is>
      </c>
      <c r="B21" t="n">
        <v>6</v>
      </c>
      <c r="C21" t="n">
        <v>33</v>
      </c>
      <c r="D21" t="n">
        <v>1479</v>
      </c>
      <c r="E21" t="n">
        <v>1150</v>
      </c>
      <c r="F21" t="n">
        <v>72</v>
      </c>
      <c r="G21" t="n">
        <v>40</v>
      </c>
      <c r="H21" t="n">
        <v>9</v>
      </c>
      <c r="I21" t="n">
        <v>4</v>
      </c>
      <c r="J21" t="n">
        <v>31</v>
      </c>
      <c r="K21" t="n">
        <v>4</v>
      </c>
      <c r="L21" t="n">
        <v>2</v>
      </c>
      <c r="M21" t="n">
        <v>10</v>
      </c>
      <c r="N21" t="n">
        <v>169</v>
      </c>
      <c r="O21" t="n">
        <v>33</v>
      </c>
    </row>
    <row r="22">
      <c r="A22" t="inlineStr">
        <is>
          <t>Whole Kingdom</t>
        </is>
      </c>
      <c r="B22" t="n">
        <v>258</v>
      </c>
      <c r="C22" t="n">
        <v>2435</v>
      </c>
      <c r="D22" t="n">
        <v>59928</v>
      </c>
      <c r="E22" t="n">
        <v>30755</v>
      </c>
      <c r="F22" t="n">
        <v>6315</v>
      </c>
      <c r="G22" t="n">
        <v>2262</v>
      </c>
      <c r="H22" t="n">
        <v>1993</v>
      </c>
      <c r="I22" t="n">
        <v>942</v>
      </c>
      <c r="J22" t="n">
        <v>3120</v>
      </c>
      <c r="K22" t="n">
        <v>354</v>
      </c>
      <c r="L22" t="n">
        <v>169</v>
      </c>
      <c r="M22" t="n">
        <v>433</v>
      </c>
      <c r="N22" t="n">
        <v>6823</v>
      </c>
      <c r="O22" t="n">
        <v>2135</v>
      </c>
    </row>
    <row r="23">
      <c r="A23" t="inlineStr">
        <is>
          <t>- Urban Area</t>
        </is>
      </c>
      <c r="B23" t="n">
        <v>208</v>
      </c>
      <c r="C23" t="n">
        <v>2155</v>
      </c>
      <c r="D23" t="n">
        <v>53319</v>
      </c>
      <c r="E23" t="n">
        <v>27013</v>
      </c>
      <c r="F23" t="n">
        <v>5532</v>
      </c>
      <c r="G23" t="n">
        <v>2005</v>
      </c>
      <c r="H23" t="n">
        <v>1863</v>
      </c>
      <c r="I23" t="n">
        <v>897</v>
      </c>
      <c r="J23" t="n">
        <v>2738</v>
      </c>
      <c r="K23" t="n">
        <v>309</v>
      </c>
      <c r="L23" t="n">
        <v>145</v>
      </c>
      <c r="M23" t="n">
        <v>306</v>
      </c>
      <c r="N23" t="n">
        <v>5835</v>
      </c>
      <c r="O23" t="n">
        <v>1851</v>
      </c>
    </row>
    <row r="24">
      <c r="A24" t="inlineStr">
        <is>
          <t>- Rural Area</t>
        </is>
      </c>
      <c r="B24" t="n">
        <v>50</v>
      </c>
      <c r="C24" t="n">
        <v>280</v>
      </c>
      <c r="D24" t="n">
        <v>6609</v>
      </c>
      <c r="E24" t="n">
        <v>3742</v>
      </c>
      <c r="F24" t="n">
        <v>783</v>
      </c>
      <c r="G24" t="n">
        <v>257</v>
      </c>
      <c r="H24" t="n">
        <v>130</v>
      </c>
      <c r="I24" t="n">
        <v>45</v>
      </c>
      <c r="J24" t="n">
        <v>382</v>
      </c>
      <c r="K24" t="n">
        <v>45</v>
      </c>
      <c r="L24" t="n">
        <v>24</v>
      </c>
      <c r="M24" t="n">
        <v>127</v>
      </c>
      <c r="N24" t="n">
        <v>988</v>
      </c>
      <c r="O24" t="n">
        <v>284</v>
      </c>
    </row>
  </sheetData>
  <mergeCells count="11">
    <mergeCell ref="D1:E1"/>
    <mergeCell ref="K1:L1"/>
    <mergeCell ref="H1:I1"/>
    <mergeCell ref="C1:C2"/>
    <mergeCell ref="B1:B2"/>
    <mergeCell ref="F1:G1"/>
    <mergeCell ref="M1:M2"/>
    <mergeCell ref="J1:J2"/>
    <mergeCell ref="O1:O2"/>
    <mergeCell ref="N1:N2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.83203125" customWidth="1" min="1" max="1"/>
    <col width="10.5" customWidth="1" min="2" max="2"/>
    <col width="10.1640625" customWidth="1" min="3" max="3"/>
    <col width="10.5" customWidth="1" min="4" max="4"/>
    <col width="10.1640625" customWidth="1" min="5" max="5"/>
    <col width="10.5" customWidth="1" min="7" max="7"/>
    <col width="10.1640625" customWidth="1" min="8" max="8"/>
    <col width="10.5" customWidth="1" min="10" max="10"/>
    <col width="10.1640625" customWidth="1" min="11" max="11"/>
    <col width="10.5" customWidth="1" min="12" max="12"/>
    <col width="10.1640625" customWidth="1" min="13" max="13"/>
    <col width="10.5" customWidth="1" min="15" max="15"/>
  </cols>
  <sheetData>
    <row r="1">
      <c r="A1" t="inlineStr">
        <is>
          <t>Province</t>
        </is>
      </c>
      <c r="B1" t="inlineStr">
        <is>
          <t>Pre- School</t>
        </is>
      </c>
      <c r="D1" t="inlineStr">
        <is>
          <t>Primary Education</t>
        </is>
      </c>
      <c r="J1" t="inlineStr">
        <is>
          <t>Secondary Education</t>
        </is>
      </c>
    </row>
    <row r="2">
      <c r="B2" t="inlineStr">
        <is>
          <t>Total</t>
        </is>
      </c>
      <c r="C2" t="inlineStr">
        <is>
          <t>Mixed Step</t>
        </is>
      </c>
      <c r="D2" t="inlineStr">
        <is>
          <t>Grade 1</t>
        </is>
      </c>
      <c r="E2" t="inlineStr">
        <is>
          <t>Grade 2</t>
        </is>
      </c>
      <c r="F2" t="inlineStr">
        <is>
          <t>Grade 3</t>
        </is>
      </c>
      <c r="G2" t="inlineStr">
        <is>
          <t>Grade 4</t>
        </is>
      </c>
      <c r="H2" t="inlineStr">
        <is>
          <t>Grade 5</t>
        </is>
      </c>
      <c r="I2" t="inlineStr">
        <is>
          <t>Grade 6</t>
        </is>
      </c>
      <c r="J2" t="inlineStr">
        <is>
          <t>Grade 7</t>
        </is>
      </c>
      <c r="K2" t="inlineStr">
        <is>
          <t>Grade 8</t>
        </is>
      </c>
      <c r="L2" t="inlineStr">
        <is>
          <t>Grade 9</t>
        </is>
      </c>
      <c r="M2" t="inlineStr">
        <is>
          <t>Grade 10</t>
        </is>
      </c>
      <c r="N2" t="inlineStr">
        <is>
          <t>Grade 11</t>
        </is>
      </c>
      <c r="O2" t="inlineStr">
        <is>
          <t>Grade 12</t>
        </is>
      </c>
    </row>
    <row r="3">
      <c r="A3" t="inlineStr">
        <is>
          <t>Banteay Meanchey</t>
        </is>
      </c>
      <c r="B3" t="n">
        <v>55</v>
      </c>
      <c r="C3" t="n">
        <v>37</v>
      </c>
      <c r="D3" t="n">
        <v>1</v>
      </c>
      <c r="E3" t="n">
        <v>2</v>
      </c>
      <c r="F3" t="n">
        <v>1</v>
      </c>
      <c r="G3" t="n">
        <v>2</v>
      </c>
      <c r="H3" t="n">
        <v>2</v>
      </c>
      <c r="I3" t="n">
        <v>46</v>
      </c>
      <c r="J3" t="n">
        <v>3</v>
      </c>
      <c r="K3" t="n">
        <v>1</v>
      </c>
      <c r="L3" t="n">
        <v>6</v>
      </c>
      <c r="M3" t="n">
        <v>3</v>
      </c>
      <c r="N3" t="n">
        <v>3</v>
      </c>
      <c r="O3" t="n">
        <v>8</v>
      </c>
    </row>
    <row r="4">
      <c r="A4" t="inlineStr">
        <is>
          <t>Battambang</t>
        </is>
      </c>
      <c r="B4" t="n">
        <v>22</v>
      </c>
      <c r="C4" t="n">
        <v>11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15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10</v>
      </c>
    </row>
    <row r="5">
      <c r="A5" t="inlineStr">
        <is>
          <t>Kampong Cham</t>
        </is>
      </c>
      <c r="B5" t="n">
        <v>9</v>
      </c>
      <c r="C5" t="n">
        <v>5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13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2</v>
      </c>
    </row>
    <row r="6">
      <c r="A6" t="inlineStr">
        <is>
          <t>Kampong Chhnang</t>
        </is>
      </c>
      <c r="B6" t="n">
        <v>10</v>
      </c>
      <c r="C6" t="n">
        <v>3</v>
      </c>
      <c r="D6" t="n">
        <v>0</v>
      </c>
      <c r="E6" t="n">
        <v>0</v>
      </c>
      <c r="F6" t="n">
        <v>1</v>
      </c>
      <c r="G6" t="n">
        <v>2</v>
      </c>
      <c r="H6" t="n">
        <v>0</v>
      </c>
      <c r="I6" t="n">
        <v>7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3</v>
      </c>
    </row>
    <row r="7">
      <c r="A7" t="inlineStr">
        <is>
          <t>Kampong Speu</t>
        </is>
      </c>
      <c r="B7" t="n">
        <v>33</v>
      </c>
      <c r="C7" t="n">
        <v>12</v>
      </c>
      <c r="D7" t="n">
        <v>1</v>
      </c>
      <c r="E7" t="n">
        <v>2</v>
      </c>
      <c r="F7" t="n">
        <v>0</v>
      </c>
      <c r="G7" t="n">
        <v>3</v>
      </c>
      <c r="H7" t="n">
        <v>1</v>
      </c>
      <c r="I7" t="n">
        <v>14</v>
      </c>
      <c r="J7" t="n">
        <v>1</v>
      </c>
      <c r="K7" t="n">
        <v>0</v>
      </c>
      <c r="L7" t="n">
        <v>3</v>
      </c>
      <c r="M7" t="n">
        <v>1</v>
      </c>
      <c r="N7" t="n">
        <v>1</v>
      </c>
      <c r="O7" t="n">
        <v>4</v>
      </c>
    </row>
    <row r="8">
      <c r="A8" t="inlineStr">
        <is>
          <t>Kampong Thom</t>
        </is>
      </c>
      <c r="B8" t="n">
        <v>9</v>
      </c>
      <c r="C8" t="n">
        <v>2</v>
      </c>
      <c r="D8" t="n">
        <v>5</v>
      </c>
      <c r="E8" t="n">
        <v>4</v>
      </c>
      <c r="F8" t="n">
        <v>1</v>
      </c>
      <c r="G8" t="n">
        <v>2</v>
      </c>
      <c r="H8" t="n">
        <v>2</v>
      </c>
      <c r="I8" t="n">
        <v>6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3</v>
      </c>
    </row>
    <row r="9">
      <c r="A9" t="inlineStr">
        <is>
          <t>Kampot</t>
        </is>
      </c>
      <c r="B9" t="n">
        <v>15</v>
      </c>
      <c r="C9" t="n">
        <v>3</v>
      </c>
      <c r="D9" t="n">
        <v>0</v>
      </c>
      <c r="E9" t="n">
        <v>0</v>
      </c>
      <c r="F9" t="n">
        <v>2</v>
      </c>
      <c r="G9" t="n">
        <v>1</v>
      </c>
      <c r="H9" t="n">
        <v>0</v>
      </c>
      <c r="I9" t="n">
        <v>15</v>
      </c>
      <c r="J9" t="n">
        <v>0</v>
      </c>
      <c r="K9" t="n">
        <v>1</v>
      </c>
      <c r="L9" t="n">
        <v>4</v>
      </c>
      <c r="M9" t="n">
        <v>0</v>
      </c>
      <c r="N9" t="n">
        <v>2</v>
      </c>
      <c r="O9" t="n">
        <v>7</v>
      </c>
    </row>
    <row r="10">
      <c r="A10" t="inlineStr">
        <is>
          <t>Kandal</t>
        </is>
      </c>
      <c r="B10" t="n">
        <v>39</v>
      </c>
      <c r="C10" t="n">
        <v>21</v>
      </c>
      <c r="D10" t="n">
        <v>0</v>
      </c>
      <c r="E10" t="n">
        <v>0</v>
      </c>
      <c r="F10" t="n">
        <v>0</v>
      </c>
      <c r="G10" t="n">
        <v>2</v>
      </c>
      <c r="H10" t="n">
        <v>2</v>
      </c>
      <c r="I10" t="n">
        <v>15</v>
      </c>
      <c r="J10" t="n">
        <v>1</v>
      </c>
      <c r="K10" t="n">
        <v>1</v>
      </c>
      <c r="L10" t="n">
        <v>2</v>
      </c>
      <c r="M10" t="n">
        <v>0</v>
      </c>
      <c r="N10" t="n">
        <v>0</v>
      </c>
      <c r="O10" t="n">
        <v>6</v>
      </c>
    </row>
    <row r="11">
      <c r="A11" t="inlineStr">
        <is>
          <t>Kep</t>
        </is>
      </c>
      <c r="B11" t="n">
        <v>3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Koh Kong</t>
        </is>
      </c>
      <c r="B12" t="n">
        <v>12</v>
      </c>
      <c r="C12" t="n">
        <v>7</v>
      </c>
      <c r="D12" t="n">
        <v>0</v>
      </c>
      <c r="E12" t="n">
        <v>0</v>
      </c>
      <c r="F12" t="n">
        <v>1</v>
      </c>
      <c r="G12" t="n">
        <v>2</v>
      </c>
      <c r="H12" t="n">
        <v>1</v>
      </c>
      <c r="I12" t="n">
        <v>9</v>
      </c>
      <c r="J12" t="n">
        <v>2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</row>
    <row r="13">
      <c r="A13" t="inlineStr">
        <is>
          <t>Kratie</t>
        </is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</row>
    <row r="14">
      <c r="A14" t="inlineStr">
        <is>
          <t>Mondul Kiri</t>
        </is>
      </c>
      <c r="B14" t="n">
        <v>4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Otdar Meanchey</t>
        </is>
      </c>
      <c r="B15" t="n">
        <v>3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Pailin</t>
        </is>
      </c>
      <c r="B16" t="n">
        <v>10</v>
      </c>
      <c r="C16" t="n">
        <v>3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Phnom Penh</t>
        </is>
      </c>
      <c r="B17" t="n">
        <v>242</v>
      </c>
      <c r="C17" t="n">
        <v>88</v>
      </c>
      <c r="D17" t="n">
        <v>2</v>
      </c>
      <c r="E17" t="n">
        <v>13</v>
      </c>
      <c r="F17" t="n">
        <v>13</v>
      </c>
      <c r="G17" t="n">
        <v>17</v>
      </c>
      <c r="H17" t="n">
        <v>30</v>
      </c>
      <c r="I17" t="n">
        <v>197</v>
      </c>
      <c r="J17" t="n">
        <v>11</v>
      </c>
      <c r="K17" t="n">
        <v>8</v>
      </c>
      <c r="L17" t="n">
        <v>17</v>
      </c>
      <c r="M17" t="n">
        <v>9</v>
      </c>
      <c r="N17" t="n">
        <v>9</v>
      </c>
      <c r="O17" t="n">
        <v>70</v>
      </c>
    </row>
    <row r="18">
      <c r="A18" t="inlineStr">
        <is>
          <t>Preah Sihanouk</t>
        </is>
      </c>
      <c r="B18" t="n">
        <v>21</v>
      </c>
      <c r="C18" t="n">
        <v>7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14</v>
      </c>
      <c r="J18" t="n">
        <v>1</v>
      </c>
      <c r="K18" t="n">
        <v>2</v>
      </c>
      <c r="L18" t="n">
        <v>2</v>
      </c>
      <c r="M18" t="n">
        <v>0</v>
      </c>
      <c r="N18" t="n">
        <v>0</v>
      </c>
      <c r="O18" t="n">
        <v>5</v>
      </c>
    </row>
    <row r="19">
      <c r="A19" t="inlineStr">
        <is>
          <t>Preah Vihear</t>
        </is>
      </c>
      <c r="B19" t="n">
        <v>2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Prey Veng</t>
        </is>
      </c>
      <c r="B20" t="n">
        <v>4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</row>
    <row r="21">
      <c r="A21" t="inlineStr">
        <is>
          <t>Pursat</t>
        </is>
      </c>
      <c r="B21" t="n">
        <v>6</v>
      </c>
      <c r="C21" t="n">
        <v>4</v>
      </c>
      <c r="D21" t="n">
        <v>2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Ratanak Kiri</t>
        </is>
      </c>
      <c r="B22" t="n">
        <v>4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2</v>
      </c>
    </row>
    <row r="23">
      <c r="A23" t="inlineStr">
        <is>
          <t>Siemreap</t>
        </is>
      </c>
      <c r="B23" t="n">
        <v>40</v>
      </c>
      <c r="C23" t="n">
        <v>22</v>
      </c>
      <c r="D23" t="n">
        <v>0</v>
      </c>
      <c r="E23" t="n">
        <v>1</v>
      </c>
      <c r="F23" t="n">
        <v>4</v>
      </c>
      <c r="G23" t="n">
        <v>5</v>
      </c>
      <c r="H23" t="n">
        <v>3</v>
      </c>
      <c r="I23" t="n">
        <v>18</v>
      </c>
      <c r="J23" t="n">
        <v>2</v>
      </c>
      <c r="K23" t="n">
        <v>1</v>
      </c>
      <c r="L23" t="n">
        <v>1</v>
      </c>
      <c r="M23" t="n">
        <v>2</v>
      </c>
      <c r="N23" t="n">
        <v>1</v>
      </c>
      <c r="O23" t="n">
        <v>5</v>
      </c>
    </row>
    <row r="24">
      <c r="A24" t="inlineStr">
        <is>
          <t>Stung Treng</t>
        </is>
      </c>
      <c r="B24" t="n">
        <v>6</v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</row>
    <row r="25">
      <c r="A25" t="inlineStr">
        <is>
          <t>Svay Rieng</t>
        </is>
      </c>
      <c r="B25" t="n">
        <v>6</v>
      </c>
      <c r="C25" t="n">
        <v>3</v>
      </c>
      <c r="D25" t="n">
        <v>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Takeo</t>
        </is>
      </c>
      <c r="B26" t="n">
        <v>20</v>
      </c>
      <c r="C26" t="n">
        <v>9</v>
      </c>
      <c r="D26" t="n">
        <v>0</v>
      </c>
      <c r="E26" t="n">
        <v>2</v>
      </c>
      <c r="F26" t="n">
        <v>0</v>
      </c>
      <c r="G26" t="n">
        <v>1</v>
      </c>
      <c r="H26" t="n">
        <v>2</v>
      </c>
      <c r="I26" t="n">
        <v>5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8</v>
      </c>
    </row>
    <row r="27">
      <c r="A27" t="inlineStr">
        <is>
          <t>Tbaung Khmum</t>
        </is>
      </c>
      <c r="B27" t="n">
        <v>15</v>
      </c>
      <c r="C27" t="n">
        <v>7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8</v>
      </c>
      <c r="J27" t="n">
        <v>0</v>
      </c>
      <c r="K27" t="n">
        <v>2</v>
      </c>
      <c r="L27" t="n">
        <v>1</v>
      </c>
      <c r="M27" t="n">
        <v>1</v>
      </c>
      <c r="N27" t="n">
        <v>0</v>
      </c>
      <c r="O27" t="n">
        <v>2</v>
      </c>
    </row>
    <row r="28">
      <c r="A28" t="inlineStr">
        <is>
          <t>Whole Province</t>
        </is>
      </c>
      <c r="B28" t="n">
        <v>594</v>
      </c>
      <c r="C28" t="n">
        <v>255</v>
      </c>
      <c r="D28" t="n">
        <v>17</v>
      </c>
      <c r="E28" t="n">
        <v>28</v>
      </c>
      <c r="F28" t="n">
        <v>29</v>
      </c>
      <c r="G28" t="n">
        <v>43</v>
      </c>
      <c r="H28" t="n">
        <v>50</v>
      </c>
      <c r="I28" t="n">
        <v>407</v>
      </c>
      <c r="J28" t="n">
        <v>26</v>
      </c>
      <c r="K28" t="n">
        <v>18</v>
      </c>
      <c r="L28" t="n">
        <v>40</v>
      </c>
      <c r="M28" t="n">
        <v>19</v>
      </c>
      <c r="N28" t="n">
        <v>17</v>
      </c>
      <c r="O28" t="n">
        <v>138</v>
      </c>
    </row>
    <row r="29">
      <c r="A29" t="inlineStr">
        <is>
          <t>-  Urban Area</t>
        </is>
      </c>
      <c r="B29" t="n">
        <v>458</v>
      </c>
      <c r="C29" t="n">
        <v>185</v>
      </c>
      <c r="D29" t="n">
        <v>11</v>
      </c>
      <c r="E29" t="n">
        <v>19</v>
      </c>
      <c r="F29" t="n">
        <v>23</v>
      </c>
      <c r="G29" t="n">
        <v>30</v>
      </c>
      <c r="H29" t="n">
        <v>44</v>
      </c>
      <c r="I29" t="n">
        <v>335</v>
      </c>
      <c r="J29" t="n">
        <v>21</v>
      </c>
      <c r="K29" t="n">
        <v>14</v>
      </c>
      <c r="L29" t="n">
        <v>31</v>
      </c>
      <c r="M29" t="n">
        <v>16</v>
      </c>
      <c r="N29" t="n">
        <v>15</v>
      </c>
      <c r="O29" t="n">
        <v>114</v>
      </c>
    </row>
    <row r="30">
      <c r="A30" t="inlineStr">
        <is>
          <t>-  Rural Area</t>
        </is>
      </c>
      <c r="B30" t="n">
        <v>136</v>
      </c>
      <c r="C30" t="n">
        <v>70</v>
      </c>
      <c r="D30" t="n">
        <v>6</v>
      </c>
      <c r="E30" t="n">
        <v>9</v>
      </c>
      <c r="F30" t="n">
        <v>6</v>
      </c>
      <c r="G30" t="n">
        <v>13</v>
      </c>
      <c r="H30" t="n">
        <v>6</v>
      </c>
      <c r="I30" t="n">
        <v>72</v>
      </c>
      <c r="J30" t="n">
        <v>5</v>
      </c>
      <c r="K30" t="n">
        <v>4</v>
      </c>
      <c r="L30" t="n">
        <v>9</v>
      </c>
      <c r="M30" t="n">
        <v>3</v>
      </c>
      <c r="N30" t="n">
        <v>2</v>
      </c>
      <c r="O30" t="n">
        <v>24</v>
      </c>
    </row>
  </sheetData>
  <mergeCells count="4">
    <mergeCell ref="B1:C1"/>
    <mergeCell ref="J1:O1"/>
    <mergeCell ref="D1:I1"/>
    <mergeCell ref="A1:A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B9BD5"/>
    <outlinePr summaryBelow="1" summaryRight="1"/>
    <pageSetUpPr/>
  </sheetPr>
  <dimension ref="A1:BA31"/>
  <sheetViews>
    <sheetView workbookViewId="0">
      <selection activeCell="A1" sqref="A1"/>
    </sheetView>
  </sheetViews>
  <sheetFormatPr baseColWidth="8" defaultRowHeight="15"/>
  <cols>
    <col width="21.1640625" customWidth="1" min="1" max="1"/>
    <col width="11.83203125" customWidth="1" min="2" max="2"/>
    <col width="11.5" customWidth="1" min="3" max="3"/>
    <col width="11.83203125" customWidth="1" min="4" max="4"/>
    <col width="11.5" customWidth="1" min="5" max="5"/>
    <col width="11.83203125" customWidth="1" min="6" max="6"/>
    <col width="11.5" customWidth="1" min="7" max="7"/>
    <col width="11.83203125" customWidth="1" min="8" max="8"/>
    <col width="11.5" customWidth="1" min="9" max="9"/>
    <col width="12.1640625" customWidth="1" min="10" max="10"/>
    <col width="12" customWidth="1" min="12" max="12"/>
    <col width="12.1640625" customWidth="1" min="13" max="13"/>
  </cols>
  <sheetData>
    <row r="1">
      <c r="A1" t="inlineStr">
        <is>
          <t>Province</t>
        </is>
      </c>
      <c r="B1" t="inlineStr">
        <is>
          <t>Grade 1</t>
        </is>
      </c>
      <c r="F1" t="inlineStr">
        <is>
          <t>Grade 2</t>
        </is>
      </c>
      <c r="J1" t="inlineStr">
        <is>
          <t>Grade 3</t>
        </is>
      </c>
      <c r="N1" t="inlineStr">
        <is>
          <t>Grade 4</t>
        </is>
      </c>
      <c r="R1" t="inlineStr">
        <is>
          <t>Grade 5</t>
        </is>
      </c>
      <c r="V1" t="inlineStr">
        <is>
          <t>Grade 6</t>
        </is>
      </c>
      <c r="Z1" t="inlineStr">
        <is>
          <t>Grade 7</t>
        </is>
      </c>
      <c r="AD1" t="inlineStr">
        <is>
          <t>Grade 8</t>
        </is>
      </c>
      <c r="AH1" t="inlineStr">
        <is>
          <t>Grade 9</t>
        </is>
      </c>
      <c r="AL1" t="inlineStr">
        <is>
          <t>Grade 10</t>
        </is>
      </c>
      <c r="AP1" t="inlineStr">
        <is>
          <t>Grade 11</t>
        </is>
      </c>
      <c r="AT1" t="inlineStr">
        <is>
          <t>Grade 12</t>
        </is>
      </c>
      <c r="AX1" t="inlineStr">
        <is>
          <t>Total</t>
        </is>
      </c>
    </row>
    <row r="2">
      <c r="B2" t="inlineStr">
        <is>
          <t>Enrollment</t>
        </is>
      </c>
      <c r="D2" t="inlineStr">
        <is>
          <t>Repeaters</t>
        </is>
      </c>
      <c r="F2" t="inlineStr">
        <is>
          <t>Enrollment</t>
        </is>
      </c>
      <c r="H2" t="inlineStr">
        <is>
          <t>Repeaters</t>
        </is>
      </c>
      <c r="J2" t="inlineStr">
        <is>
          <t>Enrollment</t>
        </is>
      </c>
      <c r="L2" t="inlineStr">
        <is>
          <t>Repeaters</t>
        </is>
      </c>
      <c r="N2" t="inlineStr">
        <is>
          <t>Enrollment</t>
        </is>
      </c>
      <c r="P2" t="inlineStr">
        <is>
          <t>Repeaters</t>
        </is>
      </c>
      <c r="R2" t="inlineStr">
        <is>
          <t>Enrollment</t>
        </is>
      </c>
      <c r="T2" t="inlineStr">
        <is>
          <t>Repeaters</t>
        </is>
      </c>
      <c r="V2" t="inlineStr">
        <is>
          <t>Enrollment</t>
        </is>
      </c>
      <c r="X2" t="inlineStr">
        <is>
          <t>Repeaters</t>
        </is>
      </c>
      <c r="Z2" t="inlineStr">
        <is>
          <t>Enrollment</t>
        </is>
      </c>
      <c r="AB2" t="inlineStr">
        <is>
          <t>Repeaters</t>
        </is>
      </c>
      <c r="AD2" t="inlineStr">
        <is>
          <t>Enrollment</t>
        </is>
      </c>
      <c r="AF2" t="inlineStr">
        <is>
          <t>Repeaters</t>
        </is>
      </c>
      <c r="AH2" t="inlineStr">
        <is>
          <t>Enrollment</t>
        </is>
      </c>
      <c r="AJ2" t="inlineStr">
        <is>
          <t>Repeaters</t>
        </is>
      </c>
      <c r="AL2" t="inlineStr">
        <is>
          <t>Enrollment</t>
        </is>
      </c>
      <c r="AN2" t="inlineStr">
        <is>
          <t>Repeaters</t>
        </is>
      </c>
      <c r="AP2" t="inlineStr">
        <is>
          <t>Enrollment</t>
        </is>
      </c>
      <c r="AR2" t="inlineStr">
        <is>
          <t>Repeaters</t>
        </is>
      </c>
      <c r="AT2" t="inlineStr">
        <is>
          <t>Enrollment</t>
        </is>
      </c>
      <c r="AV2" t="inlineStr">
        <is>
          <t>Repeaters</t>
        </is>
      </c>
      <c r="AX2" t="inlineStr">
        <is>
          <t>Enrollment</t>
        </is>
      </c>
      <c r="AZ2" t="inlineStr">
        <is>
          <t>Repeaters</t>
        </is>
      </c>
    </row>
    <row r="3">
      <c r="B3" t="inlineStr">
        <is>
          <t>Total</t>
        </is>
      </c>
      <c r="C3" t="inlineStr">
        <is>
          <t>Girl</t>
        </is>
      </c>
      <c r="D3" t="inlineStr">
        <is>
          <t>Total</t>
        </is>
      </c>
      <c r="E3" t="inlineStr">
        <is>
          <t>Girl</t>
        </is>
      </c>
      <c r="F3" t="inlineStr">
        <is>
          <t>Total</t>
        </is>
      </c>
      <c r="G3" t="inlineStr">
        <is>
          <t>Girl</t>
        </is>
      </c>
      <c r="H3" t="inlineStr">
        <is>
          <t>Total</t>
        </is>
      </c>
      <c r="I3" t="inlineStr">
        <is>
          <t>Girl</t>
        </is>
      </c>
      <c r="J3" t="inlineStr">
        <is>
          <t>Total</t>
        </is>
      </c>
      <c r="K3" t="inlineStr">
        <is>
          <t>Girl</t>
        </is>
      </c>
      <c r="L3" t="inlineStr">
        <is>
          <t>Total</t>
        </is>
      </c>
      <c r="M3" t="inlineStr">
        <is>
          <t>Girl</t>
        </is>
      </c>
      <c r="N3" t="inlineStr">
        <is>
          <t>Total</t>
        </is>
      </c>
      <c r="O3" t="inlineStr">
        <is>
          <t>Girl</t>
        </is>
      </c>
      <c r="P3" t="inlineStr">
        <is>
          <t>Total</t>
        </is>
      </c>
      <c r="Q3" t="inlineStr">
        <is>
          <t>Girl</t>
        </is>
      </c>
      <c r="R3" t="inlineStr">
        <is>
          <t>Total</t>
        </is>
      </c>
      <c r="S3" t="inlineStr">
        <is>
          <t>Girl</t>
        </is>
      </c>
      <c r="T3" t="inlineStr">
        <is>
          <t>Total</t>
        </is>
      </c>
      <c r="U3" t="inlineStr">
        <is>
          <t>Girl</t>
        </is>
      </c>
      <c r="V3" t="inlineStr">
        <is>
          <t>Total</t>
        </is>
      </c>
      <c r="W3" t="inlineStr">
        <is>
          <t>Girl</t>
        </is>
      </c>
      <c r="X3" t="inlineStr">
        <is>
          <t>Total</t>
        </is>
      </c>
      <c r="Y3" t="inlineStr">
        <is>
          <t>Girl</t>
        </is>
      </c>
      <c r="Z3" t="inlineStr">
        <is>
          <t>Total</t>
        </is>
      </c>
      <c r="AA3" t="inlineStr">
        <is>
          <t>Girl</t>
        </is>
      </c>
      <c r="AB3" t="inlineStr">
        <is>
          <t>Total</t>
        </is>
      </c>
      <c r="AC3" t="inlineStr">
        <is>
          <t>Girl</t>
        </is>
      </c>
      <c r="AD3" t="inlineStr">
        <is>
          <t>Total</t>
        </is>
      </c>
      <c r="AE3" t="inlineStr">
        <is>
          <t>Girl</t>
        </is>
      </c>
      <c r="AF3" t="inlineStr">
        <is>
          <t>Total</t>
        </is>
      </c>
      <c r="AG3" t="inlineStr">
        <is>
          <t>Girl</t>
        </is>
      </c>
      <c r="AH3" t="inlineStr">
        <is>
          <t>Total</t>
        </is>
      </c>
      <c r="AI3" t="inlineStr">
        <is>
          <t>Girl</t>
        </is>
      </c>
      <c r="AJ3" t="inlineStr">
        <is>
          <t>Total</t>
        </is>
      </c>
      <c r="AK3" t="inlineStr">
        <is>
          <t>Girl</t>
        </is>
      </c>
      <c r="AL3" t="inlineStr">
        <is>
          <t>Total</t>
        </is>
      </c>
      <c r="AM3" t="inlineStr">
        <is>
          <t>Girl</t>
        </is>
      </c>
      <c r="AN3" t="inlineStr">
        <is>
          <t>Total</t>
        </is>
      </c>
      <c r="AO3" t="inlineStr">
        <is>
          <t>Girl</t>
        </is>
      </c>
      <c r="AP3" t="inlineStr">
        <is>
          <t>Total</t>
        </is>
      </c>
      <c r="AQ3" t="inlineStr">
        <is>
          <t>Girl</t>
        </is>
      </c>
      <c r="AR3" t="inlineStr">
        <is>
          <t>Total</t>
        </is>
      </c>
      <c r="AS3" t="inlineStr">
        <is>
          <t>Girl</t>
        </is>
      </c>
      <c r="AT3" t="inlineStr">
        <is>
          <t>Total</t>
        </is>
      </c>
      <c r="AU3" t="inlineStr">
        <is>
          <t>Girl</t>
        </is>
      </c>
      <c r="AV3" t="inlineStr">
        <is>
          <t>Total</t>
        </is>
      </c>
      <c r="AW3" t="inlineStr">
        <is>
          <t>Girl</t>
        </is>
      </c>
      <c r="AX3" t="inlineStr">
        <is>
          <t>Total</t>
        </is>
      </c>
      <c r="AY3" t="inlineStr">
        <is>
          <t>Girl</t>
        </is>
      </c>
      <c r="AZ3" t="inlineStr">
        <is>
          <t>Total</t>
        </is>
      </c>
      <c r="BA3" t="inlineStr">
        <is>
          <t>Girl</t>
        </is>
      </c>
    </row>
    <row r="4">
      <c r="A4" t="inlineStr">
        <is>
          <t>Banteay Meanchey</t>
        </is>
      </c>
      <c r="B4" t="n">
        <v>3044</v>
      </c>
      <c r="C4" t="n">
        <v>1434</v>
      </c>
      <c r="D4" t="n">
        <v>147</v>
      </c>
      <c r="E4" t="n">
        <v>45</v>
      </c>
      <c r="F4" t="n">
        <v>2954</v>
      </c>
      <c r="G4" t="n">
        <v>1367</v>
      </c>
      <c r="H4" t="n">
        <v>53</v>
      </c>
      <c r="I4" t="n">
        <v>14</v>
      </c>
      <c r="J4" t="n">
        <v>2543</v>
      </c>
      <c r="K4" t="n">
        <v>1288</v>
      </c>
      <c r="L4" t="n">
        <v>48</v>
      </c>
      <c r="M4" t="n">
        <v>23</v>
      </c>
      <c r="N4" t="n">
        <v>2149</v>
      </c>
      <c r="O4" t="n">
        <v>1045</v>
      </c>
      <c r="P4" t="n">
        <v>28</v>
      </c>
      <c r="Q4" t="n">
        <v>16</v>
      </c>
      <c r="R4" t="n">
        <v>1910</v>
      </c>
      <c r="S4" t="n">
        <v>941</v>
      </c>
      <c r="T4" t="n">
        <v>16</v>
      </c>
      <c r="U4" t="n">
        <v>6</v>
      </c>
      <c r="V4" t="n">
        <v>1659</v>
      </c>
      <c r="W4" t="n">
        <v>826</v>
      </c>
      <c r="X4" t="n">
        <v>6</v>
      </c>
      <c r="Y4" t="n">
        <v>2</v>
      </c>
      <c r="Z4" t="n">
        <v>1358</v>
      </c>
      <c r="AA4" t="n">
        <v>756</v>
      </c>
      <c r="AB4" t="n">
        <v>1</v>
      </c>
      <c r="AC4" t="n">
        <v>0</v>
      </c>
      <c r="AD4" t="n">
        <v>1169</v>
      </c>
      <c r="AE4" t="n">
        <v>572</v>
      </c>
      <c r="AF4" t="n">
        <v>3</v>
      </c>
      <c r="AG4" t="n">
        <v>0</v>
      </c>
      <c r="AH4" t="n">
        <v>871</v>
      </c>
      <c r="AI4" t="n">
        <v>401</v>
      </c>
      <c r="AJ4" t="n">
        <v>12</v>
      </c>
      <c r="AK4" t="n">
        <v>3</v>
      </c>
      <c r="AL4" t="n">
        <v>667</v>
      </c>
      <c r="AM4" t="n">
        <v>332</v>
      </c>
      <c r="AN4" t="n">
        <v>3</v>
      </c>
      <c r="AO4" t="n">
        <v>1</v>
      </c>
      <c r="AP4" t="n">
        <v>558</v>
      </c>
      <c r="AQ4" t="n">
        <v>288</v>
      </c>
      <c r="AR4" t="n">
        <v>0</v>
      </c>
      <c r="AS4" t="n">
        <v>0</v>
      </c>
      <c r="AT4" t="n">
        <v>417</v>
      </c>
      <c r="AU4" t="n">
        <v>205</v>
      </c>
      <c r="AV4" t="n">
        <v>6</v>
      </c>
      <c r="AW4" t="n">
        <v>3</v>
      </c>
      <c r="AX4" t="n">
        <v>23316</v>
      </c>
      <c r="AY4" t="n">
        <v>11458</v>
      </c>
      <c r="AZ4" t="n">
        <v>323</v>
      </c>
      <c r="BA4" t="n">
        <v>113</v>
      </c>
    </row>
    <row r="5">
      <c r="A5" t="inlineStr">
        <is>
          <t>Battambang</t>
        </is>
      </c>
      <c r="B5" t="n">
        <v>925</v>
      </c>
      <c r="C5" t="n">
        <v>434</v>
      </c>
      <c r="D5" t="n">
        <v>43</v>
      </c>
      <c r="E5" t="n">
        <v>16</v>
      </c>
      <c r="F5" t="n">
        <v>752</v>
      </c>
      <c r="G5" t="n">
        <v>360</v>
      </c>
      <c r="H5" t="n">
        <v>15</v>
      </c>
      <c r="I5" t="n">
        <v>4</v>
      </c>
      <c r="J5" t="n">
        <v>676</v>
      </c>
      <c r="K5" t="n">
        <v>309</v>
      </c>
      <c r="L5" t="n">
        <v>4</v>
      </c>
      <c r="M5" t="n">
        <v>2</v>
      </c>
      <c r="N5" t="n">
        <v>553</v>
      </c>
      <c r="O5" t="n">
        <v>246</v>
      </c>
      <c r="P5" t="n">
        <v>4</v>
      </c>
      <c r="Q5" t="n">
        <v>0</v>
      </c>
      <c r="R5" t="n">
        <v>534</v>
      </c>
      <c r="S5" t="n">
        <v>260</v>
      </c>
      <c r="T5" t="n">
        <v>2</v>
      </c>
      <c r="U5" t="n">
        <v>0</v>
      </c>
      <c r="V5" t="n">
        <v>526</v>
      </c>
      <c r="W5" t="n">
        <v>250</v>
      </c>
      <c r="X5" t="n">
        <v>6</v>
      </c>
      <c r="Y5" t="n">
        <v>1</v>
      </c>
      <c r="Z5" t="n">
        <v>500</v>
      </c>
      <c r="AA5" t="n">
        <v>248</v>
      </c>
      <c r="AB5" t="n">
        <v>10</v>
      </c>
      <c r="AC5" t="n">
        <v>4</v>
      </c>
      <c r="AD5" t="n">
        <v>499</v>
      </c>
      <c r="AE5" t="n">
        <v>258</v>
      </c>
      <c r="AF5" t="n">
        <v>8</v>
      </c>
      <c r="AG5" t="n">
        <v>2</v>
      </c>
      <c r="AH5" t="n">
        <v>489</v>
      </c>
      <c r="AI5" t="n">
        <v>235</v>
      </c>
      <c r="AJ5" t="n">
        <v>16</v>
      </c>
      <c r="AK5" t="n">
        <v>9</v>
      </c>
      <c r="AL5" t="n">
        <v>504</v>
      </c>
      <c r="AM5" t="n">
        <v>261</v>
      </c>
      <c r="AN5" t="n">
        <v>5</v>
      </c>
      <c r="AO5" t="n">
        <v>1</v>
      </c>
      <c r="AP5" t="n">
        <v>469</v>
      </c>
      <c r="AQ5" t="n">
        <v>253</v>
      </c>
      <c r="AR5" t="n">
        <v>3</v>
      </c>
      <c r="AS5" t="n">
        <v>1</v>
      </c>
      <c r="AT5" t="n">
        <v>495</v>
      </c>
      <c r="AU5" t="n">
        <v>251</v>
      </c>
      <c r="AV5" t="n">
        <v>25</v>
      </c>
      <c r="AW5" t="n">
        <v>6</v>
      </c>
      <c r="AX5" t="n">
        <v>8992</v>
      </c>
      <c r="AY5" t="n">
        <v>4373</v>
      </c>
      <c r="AZ5" t="n">
        <v>141</v>
      </c>
      <c r="BA5" t="n">
        <v>46</v>
      </c>
    </row>
    <row r="6">
      <c r="A6" t="inlineStr">
        <is>
          <t>Kampong Cham</t>
        </is>
      </c>
      <c r="B6" t="n">
        <v>504</v>
      </c>
      <c r="C6" t="n">
        <v>251</v>
      </c>
      <c r="D6" t="n">
        <v>23</v>
      </c>
      <c r="E6" t="n">
        <v>12</v>
      </c>
      <c r="F6" t="n">
        <v>509</v>
      </c>
      <c r="G6" t="n">
        <v>234</v>
      </c>
      <c r="H6" t="n">
        <v>17</v>
      </c>
      <c r="I6" t="n">
        <v>5</v>
      </c>
      <c r="J6" t="n">
        <v>412</v>
      </c>
      <c r="K6" t="n">
        <v>165</v>
      </c>
      <c r="L6" t="n">
        <v>9</v>
      </c>
      <c r="M6" t="n">
        <v>0</v>
      </c>
      <c r="N6" t="n">
        <v>358</v>
      </c>
      <c r="O6" t="n">
        <v>170</v>
      </c>
      <c r="P6" t="n">
        <v>2</v>
      </c>
      <c r="Q6" t="n">
        <v>1</v>
      </c>
      <c r="R6" t="n">
        <v>408</v>
      </c>
      <c r="S6" t="n">
        <v>191</v>
      </c>
      <c r="T6" t="n">
        <v>0</v>
      </c>
      <c r="U6" t="n">
        <v>0</v>
      </c>
      <c r="V6" t="n">
        <v>407</v>
      </c>
      <c r="W6" t="n">
        <v>204</v>
      </c>
      <c r="X6" t="n">
        <v>5</v>
      </c>
      <c r="Y6" t="n">
        <v>2</v>
      </c>
      <c r="Z6" t="n">
        <v>203</v>
      </c>
      <c r="AA6" t="n">
        <v>102</v>
      </c>
      <c r="AB6" t="n">
        <v>7</v>
      </c>
      <c r="AC6" t="n">
        <v>3</v>
      </c>
      <c r="AD6" t="n">
        <v>155</v>
      </c>
      <c r="AE6" t="n">
        <v>74</v>
      </c>
      <c r="AF6" t="n">
        <v>2</v>
      </c>
      <c r="AG6" t="n">
        <v>0</v>
      </c>
      <c r="AH6" t="n">
        <v>133</v>
      </c>
      <c r="AI6" t="n">
        <v>75</v>
      </c>
      <c r="AJ6" t="n">
        <v>0</v>
      </c>
      <c r="AK6" t="n">
        <v>0</v>
      </c>
      <c r="AL6" t="n">
        <v>102</v>
      </c>
      <c r="AM6" t="n">
        <v>46</v>
      </c>
      <c r="AN6" t="n">
        <v>0</v>
      </c>
      <c r="AO6" t="n">
        <v>0</v>
      </c>
      <c r="AP6" t="n">
        <v>59</v>
      </c>
      <c r="AQ6" t="n">
        <v>32</v>
      </c>
      <c r="AR6" t="n">
        <v>0</v>
      </c>
      <c r="AS6" t="n">
        <v>0</v>
      </c>
      <c r="AT6" t="n">
        <v>58</v>
      </c>
      <c r="AU6" t="n">
        <v>27</v>
      </c>
      <c r="AV6" t="n">
        <v>0</v>
      </c>
      <c r="AW6" t="n">
        <v>0</v>
      </c>
      <c r="AX6" t="n">
        <v>4770</v>
      </c>
      <c r="AY6" t="n">
        <v>2357</v>
      </c>
      <c r="AZ6" t="n">
        <v>65</v>
      </c>
      <c r="BA6" t="n">
        <v>23</v>
      </c>
    </row>
    <row r="7">
      <c r="A7" t="inlineStr">
        <is>
          <t>Kampong Chhnang</t>
        </is>
      </c>
      <c r="B7" t="n">
        <v>514</v>
      </c>
      <c r="C7" t="n">
        <v>240</v>
      </c>
      <c r="D7" t="n">
        <v>11</v>
      </c>
      <c r="E7" t="n">
        <v>5</v>
      </c>
      <c r="F7" t="n">
        <v>423</v>
      </c>
      <c r="G7" t="n">
        <v>231</v>
      </c>
      <c r="H7" t="n">
        <v>8</v>
      </c>
      <c r="I7" t="n">
        <v>3</v>
      </c>
      <c r="J7" t="n">
        <v>381</v>
      </c>
      <c r="K7" t="n">
        <v>173</v>
      </c>
      <c r="L7" t="n">
        <v>2</v>
      </c>
      <c r="M7" t="n">
        <v>0</v>
      </c>
      <c r="N7" t="n">
        <v>239</v>
      </c>
      <c r="O7" t="n">
        <v>117</v>
      </c>
      <c r="P7" t="n">
        <v>0</v>
      </c>
      <c r="Q7" t="n">
        <v>0</v>
      </c>
      <c r="R7" t="n">
        <v>248</v>
      </c>
      <c r="S7" t="n">
        <v>111</v>
      </c>
      <c r="T7" t="n">
        <v>1</v>
      </c>
      <c r="U7" t="n">
        <v>0</v>
      </c>
      <c r="V7" t="n">
        <v>236</v>
      </c>
      <c r="W7" t="n">
        <v>97</v>
      </c>
      <c r="X7" t="n">
        <v>0</v>
      </c>
      <c r="Y7" t="n">
        <v>0</v>
      </c>
      <c r="Z7" t="n">
        <v>225</v>
      </c>
      <c r="AA7" t="n">
        <v>92</v>
      </c>
      <c r="AB7" t="n">
        <v>1</v>
      </c>
      <c r="AC7" t="n">
        <v>0</v>
      </c>
      <c r="AD7" t="n">
        <v>171</v>
      </c>
      <c r="AE7" t="n">
        <v>68</v>
      </c>
      <c r="AF7" t="n">
        <v>0</v>
      </c>
      <c r="AG7" t="n">
        <v>0</v>
      </c>
      <c r="AH7" t="n">
        <v>151</v>
      </c>
      <c r="AI7" t="n">
        <v>57</v>
      </c>
      <c r="AJ7" t="n">
        <v>2</v>
      </c>
      <c r="AK7" t="n">
        <v>2</v>
      </c>
      <c r="AL7" t="n">
        <v>131</v>
      </c>
      <c r="AM7" t="n">
        <v>44</v>
      </c>
      <c r="AN7" t="n">
        <v>2</v>
      </c>
      <c r="AO7" t="n">
        <v>0</v>
      </c>
      <c r="AP7" t="n">
        <v>96</v>
      </c>
      <c r="AQ7" t="n">
        <v>31</v>
      </c>
      <c r="AR7" t="n">
        <v>0</v>
      </c>
      <c r="AS7" t="n">
        <v>0</v>
      </c>
      <c r="AT7" t="n">
        <v>117</v>
      </c>
      <c r="AU7" t="n">
        <v>51</v>
      </c>
      <c r="AV7" t="n">
        <v>3</v>
      </c>
      <c r="AW7" t="n">
        <v>1</v>
      </c>
      <c r="AX7" t="n">
        <v>4256</v>
      </c>
      <c r="AY7" t="n">
        <v>1940</v>
      </c>
      <c r="AZ7" t="n">
        <v>30</v>
      </c>
      <c r="BA7" t="n">
        <v>11</v>
      </c>
    </row>
    <row r="8">
      <c r="A8" t="inlineStr">
        <is>
          <t>Kampong Speu</t>
        </is>
      </c>
      <c r="B8" t="n">
        <v>1376</v>
      </c>
      <c r="C8" t="n">
        <v>703</v>
      </c>
      <c r="D8" t="n">
        <v>51</v>
      </c>
      <c r="E8" t="n">
        <v>17</v>
      </c>
      <c r="F8" t="n">
        <v>935</v>
      </c>
      <c r="G8" t="n">
        <v>469</v>
      </c>
      <c r="H8" t="n">
        <v>35</v>
      </c>
      <c r="I8" t="n">
        <v>11</v>
      </c>
      <c r="J8" t="n">
        <v>683</v>
      </c>
      <c r="K8" t="n">
        <v>326</v>
      </c>
      <c r="L8" t="n">
        <v>20</v>
      </c>
      <c r="M8" t="n">
        <v>4</v>
      </c>
      <c r="N8" t="n">
        <v>530</v>
      </c>
      <c r="O8" t="n">
        <v>259</v>
      </c>
      <c r="P8" t="n">
        <v>13</v>
      </c>
      <c r="Q8" t="n">
        <v>2</v>
      </c>
      <c r="R8" t="n">
        <v>588</v>
      </c>
      <c r="S8" t="n">
        <v>308</v>
      </c>
      <c r="T8" t="n">
        <v>15</v>
      </c>
      <c r="U8" t="n">
        <v>5</v>
      </c>
      <c r="V8" t="n">
        <v>402</v>
      </c>
      <c r="W8" t="n">
        <v>210</v>
      </c>
      <c r="X8" t="n">
        <v>6</v>
      </c>
      <c r="Y8" t="n">
        <v>3</v>
      </c>
      <c r="Z8" t="n">
        <v>289</v>
      </c>
      <c r="AA8" t="n">
        <v>176</v>
      </c>
      <c r="AB8" t="n">
        <v>8</v>
      </c>
      <c r="AC8" t="n">
        <v>3</v>
      </c>
      <c r="AD8" t="n">
        <v>234</v>
      </c>
      <c r="AE8" t="n">
        <v>115</v>
      </c>
      <c r="AF8" t="n">
        <v>2</v>
      </c>
      <c r="AG8" t="n">
        <v>1</v>
      </c>
      <c r="AH8" t="n">
        <v>166</v>
      </c>
      <c r="AI8" t="n">
        <v>83</v>
      </c>
      <c r="AJ8" t="n">
        <v>0</v>
      </c>
      <c r="AK8" t="n">
        <v>0</v>
      </c>
      <c r="AL8" t="n">
        <v>74</v>
      </c>
      <c r="AM8" t="n">
        <v>45</v>
      </c>
      <c r="AN8" t="n">
        <v>1</v>
      </c>
      <c r="AO8" t="n">
        <v>0</v>
      </c>
      <c r="AP8" t="n">
        <v>84</v>
      </c>
      <c r="AQ8" t="n">
        <v>49</v>
      </c>
      <c r="AR8" t="n">
        <v>0</v>
      </c>
      <c r="AS8" t="n">
        <v>0</v>
      </c>
      <c r="AT8" t="n">
        <v>42</v>
      </c>
      <c r="AU8" t="n">
        <v>26</v>
      </c>
      <c r="AV8" t="n">
        <v>0</v>
      </c>
      <c r="AW8" t="n">
        <v>0</v>
      </c>
      <c r="AX8" t="n">
        <v>8260</v>
      </c>
      <c r="AY8" t="n">
        <v>4272</v>
      </c>
      <c r="AZ8" t="n">
        <v>151</v>
      </c>
      <c r="BA8" t="n">
        <v>46</v>
      </c>
    </row>
    <row r="9">
      <c r="A9" t="inlineStr">
        <is>
          <t>Kampong Thom</t>
        </is>
      </c>
      <c r="B9" t="n">
        <v>432</v>
      </c>
      <c r="C9" t="n">
        <v>208</v>
      </c>
      <c r="D9" t="n">
        <v>32</v>
      </c>
      <c r="E9" t="n">
        <v>17</v>
      </c>
      <c r="F9" t="n">
        <v>306</v>
      </c>
      <c r="G9" t="n">
        <v>139</v>
      </c>
      <c r="H9" t="n">
        <v>52</v>
      </c>
      <c r="I9" t="n">
        <v>26</v>
      </c>
      <c r="J9" t="n">
        <v>261</v>
      </c>
      <c r="K9" t="n">
        <v>129</v>
      </c>
      <c r="L9" t="n">
        <v>44</v>
      </c>
      <c r="M9" t="n">
        <v>22</v>
      </c>
      <c r="N9" t="n">
        <v>199</v>
      </c>
      <c r="O9" t="n">
        <v>83</v>
      </c>
      <c r="P9" t="n">
        <v>23</v>
      </c>
      <c r="Q9" t="n">
        <v>15</v>
      </c>
      <c r="R9" t="n">
        <v>246</v>
      </c>
      <c r="S9" t="n">
        <v>138</v>
      </c>
      <c r="T9" t="n">
        <v>37</v>
      </c>
      <c r="U9" t="n">
        <v>19</v>
      </c>
      <c r="V9" t="n">
        <v>231</v>
      </c>
      <c r="W9" t="n">
        <v>135</v>
      </c>
      <c r="X9" t="n">
        <v>21</v>
      </c>
      <c r="Y9" t="n">
        <v>15</v>
      </c>
      <c r="Z9" t="n">
        <v>106</v>
      </c>
      <c r="AA9" t="n">
        <v>41</v>
      </c>
      <c r="AB9" t="n">
        <v>4</v>
      </c>
      <c r="AC9" t="n">
        <v>0</v>
      </c>
      <c r="AD9" t="n">
        <v>67</v>
      </c>
      <c r="AE9" t="n">
        <v>32</v>
      </c>
      <c r="AF9" t="n">
        <v>0</v>
      </c>
      <c r="AG9" t="n">
        <v>0</v>
      </c>
      <c r="AH9" t="n">
        <v>66</v>
      </c>
      <c r="AI9" t="n">
        <v>30</v>
      </c>
      <c r="AJ9" t="n">
        <v>3</v>
      </c>
      <c r="AK9" t="n">
        <v>0</v>
      </c>
      <c r="AL9" t="n">
        <v>37</v>
      </c>
      <c r="AM9" t="n">
        <v>14</v>
      </c>
      <c r="AN9" t="n">
        <v>0</v>
      </c>
      <c r="AO9" t="n">
        <v>0</v>
      </c>
      <c r="AP9" t="n">
        <v>40</v>
      </c>
      <c r="AQ9" t="n">
        <v>21</v>
      </c>
      <c r="AR9" t="n">
        <v>0</v>
      </c>
      <c r="AS9" t="n">
        <v>0</v>
      </c>
      <c r="AT9" t="n">
        <v>29</v>
      </c>
      <c r="AU9" t="n">
        <v>16</v>
      </c>
      <c r="AV9" t="n">
        <v>0</v>
      </c>
      <c r="AW9" t="n">
        <v>0</v>
      </c>
      <c r="AX9" t="n">
        <v>2658</v>
      </c>
      <c r="AY9" t="n">
        <v>1298</v>
      </c>
      <c r="AZ9" t="n">
        <v>216</v>
      </c>
      <c r="BA9" t="n">
        <v>114</v>
      </c>
    </row>
    <row r="10">
      <c r="A10" t="inlineStr">
        <is>
          <t>Kampot</t>
        </is>
      </c>
      <c r="B10" t="n">
        <v>1908</v>
      </c>
      <c r="C10" t="n">
        <v>968</v>
      </c>
      <c r="D10" t="n">
        <v>37</v>
      </c>
      <c r="E10" t="n">
        <v>19</v>
      </c>
      <c r="F10" t="n">
        <v>1723</v>
      </c>
      <c r="G10" t="n">
        <v>873</v>
      </c>
      <c r="H10" t="n">
        <v>24</v>
      </c>
      <c r="I10" t="n">
        <v>12</v>
      </c>
      <c r="J10" t="n">
        <v>1111</v>
      </c>
      <c r="K10" t="n">
        <v>608</v>
      </c>
      <c r="L10" t="n">
        <v>19</v>
      </c>
      <c r="M10" t="n">
        <v>8</v>
      </c>
      <c r="N10" t="n">
        <v>747</v>
      </c>
      <c r="O10" t="n">
        <v>418</v>
      </c>
      <c r="P10" t="n">
        <v>17</v>
      </c>
      <c r="Q10" t="n">
        <v>11</v>
      </c>
      <c r="R10" t="n">
        <v>730</v>
      </c>
      <c r="S10" t="n">
        <v>358</v>
      </c>
      <c r="T10" t="n">
        <v>12</v>
      </c>
      <c r="U10" t="n">
        <v>3</v>
      </c>
      <c r="V10" t="n">
        <v>599</v>
      </c>
      <c r="W10" t="n">
        <v>337</v>
      </c>
      <c r="X10" t="n">
        <v>2</v>
      </c>
      <c r="Y10" t="n">
        <v>1</v>
      </c>
      <c r="Z10" t="n">
        <v>632</v>
      </c>
      <c r="AA10" t="n">
        <v>330</v>
      </c>
      <c r="AB10" t="n">
        <v>20</v>
      </c>
      <c r="AC10" t="n">
        <v>12</v>
      </c>
      <c r="AD10" t="n">
        <v>523</v>
      </c>
      <c r="AE10" t="n">
        <v>270</v>
      </c>
      <c r="AF10" t="n">
        <v>5</v>
      </c>
      <c r="AG10" t="n">
        <v>1</v>
      </c>
      <c r="AH10" t="n">
        <v>454</v>
      </c>
      <c r="AI10" t="n">
        <v>250</v>
      </c>
      <c r="AJ10" t="n">
        <v>3</v>
      </c>
      <c r="AK10" t="n">
        <v>0</v>
      </c>
      <c r="AL10" t="n">
        <v>401</v>
      </c>
      <c r="AM10" t="n">
        <v>205</v>
      </c>
      <c r="AN10" t="n">
        <v>0</v>
      </c>
      <c r="AO10" t="n">
        <v>0</v>
      </c>
      <c r="AP10" t="n">
        <v>410</v>
      </c>
      <c r="AQ10" t="n">
        <v>210</v>
      </c>
      <c r="AR10" t="n">
        <v>0</v>
      </c>
      <c r="AS10" t="n">
        <v>0</v>
      </c>
      <c r="AT10" t="n">
        <v>414</v>
      </c>
      <c r="AU10" t="n">
        <v>197</v>
      </c>
      <c r="AV10" t="n">
        <v>18</v>
      </c>
      <c r="AW10" t="n">
        <v>7</v>
      </c>
      <c r="AX10" t="n">
        <v>10904</v>
      </c>
      <c r="AY10" t="n">
        <v>5610</v>
      </c>
      <c r="AZ10" t="n">
        <v>157</v>
      </c>
      <c r="BA10" t="n">
        <v>74</v>
      </c>
    </row>
    <row r="11">
      <c r="A11" t="inlineStr">
        <is>
          <t>Kandal</t>
        </is>
      </c>
      <c r="B11" t="n">
        <v>1345</v>
      </c>
      <c r="C11" t="n">
        <v>742</v>
      </c>
      <c r="D11" t="n">
        <v>59</v>
      </c>
      <c r="E11" t="n">
        <v>27</v>
      </c>
      <c r="F11" t="n">
        <v>1204</v>
      </c>
      <c r="G11" t="n">
        <v>641</v>
      </c>
      <c r="H11" t="n">
        <v>60</v>
      </c>
      <c r="I11" t="n">
        <v>22</v>
      </c>
      <c r="J11" t="n">
        <v>984</v>
      </c>
      <c r="K11" t="n">
        <v>517</v>
      </c>
      <c r="L11" t="n">
        <v>37</v>
      </c>
      <c r="M11" t="n">
        <v>16</v>
      </c>
      <c r="N11" t="n">
        <v>700</v>
      </c>
      <c r="O11" t="n">
        <v>359</v>
      </c>
      <c r="P11" t="n">
        <v>19</v>
      </c>
      <c r="Q11" t="n">
        <v>9</v>
      </c>
      <c r="R11" t="n">
        <v>703</v>
      </c>
      <c r="S11" t="n">
        <v>348</v>
      </c>
      <c r="T11" t="n">
        <v>11</v>
      </c>
      <c r="U11" t="n">
        <v>3</v>
      </c>
      <c r="V11" t="n">
        <v>657</v>
      </c>
      <c r="W11" t="n">
        <v>350</v>
      </c>
      <c r="X11" t="n">
        <v>6</v>
      </c>
      <c r="Y11" t="n">
        <v>1</v>
      </c>
      <c r="Z11" t="n">
        <v>718</v>
      </c>
      <c r="AA11" t="n">
        <v>440</v>
      </c>
      <c r="AB11" t="n">
        <v>14</v>
      </c>
      <c r="AC11" t="n">
        <v>10</v>
      </c>
      <c r="AD11" t="n">
        <v>542</v>
      </c>
      <c r="AE11" t="n">
        <v>305</v>
      </c>
      <c r="AF11" t="n">
        <v>17</v>
      </c>
      <c r="AG11" t="n">
        <v>14</v>
      </c>
      <c r="AH11" t="n">
        <v>471</v>
      </c>
      <c r="AI11" t="n">
        <v>229</v>
      </c>
      <c r="AJ11" t="n">
        <v>3</v>
      </c>
      <c r="AK11" t="n">
        <v>3</v>
      </c>
      <c r="AL11" t="n">
        <v>460</v>
      </c>
      <c r="AM11" t="n">
        <v>255</v>
      </c>
      <c r="AN11" t="n">
        <v>8</v>
      </c>
      <c r="AO11" t="n">
        <v>6</v>
      </c>
      <c r="AP11" t="n">
        <v>357</v>
      </c>
      <c r="AQ11" t="n">
        <v>185</v>
      </c>
      <c r="AR11" t="n">
        <v>3</v>
      </c>
      <c r="AS11" t="n">
        <v>1</v>
      </c>
      <c r="AT11" t="n">
        <v>330</v>
      </c>
      <c r="AU11" t="n">
        <v>177</v>
      </c>
      <c r="AV11" t="n">
        <v>5</v>
      </c>
      <c r="AW11" t="n">
        <v>1</v>
      </c>
      <c r="AX11" t="n">
        <v>11402</v>
      </c>
      <c r="AY11" t="n">
        <v>6079</v>
      </c>
      <c r="AZ11" t="n">
        <v>242</v>
      </c>
      <c r="BA11" t="n">
        <v>113</v>
      </c>
    </row>
    <row r="12">
      <c r="A12" t="inlineStr">
        <is>
          <t>Kep</t>
        </is>
      </c>
      <c r="B12" t="n">
        <v>278</v>
      </c>
      <c r="C12" t="n">
        <v>150</v>
      </c>
      <c r="D12" t="n">
        <v>0</v>
      </c>
      <c r="E12" t="n">
        <v>0</v>
      </c>
      <c r="F12" t="n">
        <v>220</v>
      </c>
      <c r="G12" t="n">
        <v>124</v>
      </c>
      <c r="H12" t="n">
        <v>0</v>
      </c>
      <c r="I12" t="n">
        <v>0</v>
      </c>
      <c r="J12" t="n">
        <v>89</v>
      </c>
      <c r="K12" t="n">
        <v>58</v>
      </c>
      <c r="L12" t="n">
        <v>0</v>
      </c>
      <c r="M12" t="n">
        <v>0</v>
      </c>
      <c r="N12" t="n">
        <v>81</v>
      </c>
      <c r="O12" t="n">
        <v>48</v>
      </c>
      <c r="P12" t="n">
        <v>0</v>
      </c>
      <c r="Q12" t="n">
        <v>0</v>
      </c>
      <c r="R12" t="n">
        <v>71</v>
      </c>
      <c r="S12" t="n">
        <v>43</v>
      </c>
      <c r="T12" t="n">
        <v>0</v>
      </c>
      <c r="U12" t="n">
        <v>0</v>
      </c>
      <c r="V12" t="n">
        <v>42</v>
      </c>
      <c r="W12" t="n">
        <v>23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946</v>
      </c>
      <c r="AY12" t="n">
        <v>545</v>
      </c>
      <c r="AZ12" t="n">
        <v>0</v>
      </c>
      <c r="BA12" t="n">
        <v>0</v>
      </c>
    </row>
    <row r="13">
      <c r="A13" t="inlineStr">
        <is>
          <t>Koh Kong</t>
        </is>
      </c>
      <c r="B13" t="n">
        <v>698</v>
      </c>
      <c r="C13" t="n">
        <v>344</v>
      </c>
      <c r="D13" t="n">
        <v>31</v>
      </c>
      <c r="E13" t="n">
        <v>12</v>
      </c>
      <c r="F13" t="n">
        <v>630</v>
      </c>
      <c r="G13" t="n">
        <v>315</v>
      </c>
      <c r="H13" t="n">
        <v>18</v>
      </c>
      <c r="I13" t="n">
        <v>11</v>
      </c>
      <c r="J13" t="n">
        <v>380</v>
      </c>
      <c r="K13" t="n">
        <v>205</v>
      </c>
      <c r="L13" t="n">
        <v>12</v>
      </c>
      <c r="M13" t="n">
        <v>6</v>
      </c>
      <c r="N13" t="n">
        <v>357</v>
      </c>
      <c r="O13" t="n">
        <v>177</v>
      </c>
      <c r="P13" t="n">
        <v>15</v>
      </c>
      <c r="Q13" t="n">
        <v>6</v>
      </c>
      <c r="R13" t="n">
        <v>267</v>
      </c>
      <c r="S13" t="n">
        <v>134</v>
      </c>
      <c r="T13" t="n">
        <v>3</v>
      </c>
      <c r="U13" t="n">
        <v>0</v>
      </c>
      <c r="V13" t="n">
        <v>231</v>
      </c>
      <c r="W13" t="n">
        <v>106</v>
      </c>
      <c r="X13" t="n">
        <v>0</v>
      </c>
      <c r="Y13" t="n">
        <v>0</v>
      </c>
      <c r="Z13" t="n">
        <v>161</v>
      </c>
      <c r="AA13" t="n">
        <v>103</v>
      </c>
      <c r="AB13" t="n">
        <v>0</v>
      </c>
      <c r="AC13" t="n">
        <v>0</v>
      </c>
      <c r="AD13" t="n">
        <v>121</v>
      </c>
      <c r="AE13" t="n">
        <v>50</v>
      </c>
      <c r="AF13" t="n">
        <v>0</v>
      </c>
      <c r="AG13" t="n">
        <v>0</v>
      </c>
      <c r="AH13" t="n">
        <v>92</v>
      </c>
      <c r="AI13" t="n">
        <v>46</v>
      </c>
      <c r="AJ13" t="n">
        <v>7</v>
      </c>
      <c r="AK13" t="n">
        <v>2</v>
      </c>
      <c r="AL13" t="n">
        <v>20</v>
      </c>
      <c r="AM13" t="n">
        <v>8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4133</v>
      </c>
      <c r="AY13" t="n">
        <v>2101</v>
      </c>
      <c r="AZ13" t="n">
        <v>86</v>
      </c>
      <c r="BA13" t="n">
        <v>37</v>
      </c>
    </row>
    <row r="14">
      <c r="A14" t="inlineStr">
        <is>
          <t>Kratie</t>
        </is>
      </c>
      <c r="B14" t="n">
        <v>172</v>
      </c>
      <c r="C14" t="n">
        <v>103</v>
      </c>
      <c r="D14" t="n">
        <v>10</v>
      </c>
      <c r="E14" t="n">
        <v>6</v>
      </c>
      <c r="F14" t="n">
        <v>136</v>
      </c>
      <c r="G14" t="n">
        <v>96</v>
      </c>
      <c r="H14" t="n">
        <v>5</v>
      </c>
      <c r="I14" t="n">
        <v>2</v>
      </c>
      <c r="J14" t="n">
        <v>44</v>
      </c>
      <c r="K14" t="n">
        <v>23</v>
      </c>
      <c r="L14" t="n">
        <v>0</v>
      </c>
      <c r="M14" t="n">
        <v>0</v>
      </c>
      <c r="N14" t="n">
        <v>32</v>
      </c>
      <c r="O14" t="n">
        <v>23</v>
      </c>
      <c r="P14" t="n">
        <v>0</v>
      </c>
      <c r="Q14" t="n">
        <v>0</v>
      </c>
      <c r="R14" t="n">
        <v>9</v>
      </c>
      <c r="S14" t="n">
        <v>5</v>
      </c>
      <c r="T14" t="n">
        <v>0</v>
      </c>
      <c r="U14" t="n">
        <v>0</v>
      </c>
      <c r="V14" t="n">
        <v>4</v>
      </c>
      <c r="W14" t="n">
        <v>3</v>
      </c>
      <c r="X14" t="n">
        <v>0</v>
      </c>
      <c r="Y14" t="n">
        <v>0</v>
      </c>
      <c r="Z14" t="n">
        <v>19</v>
      </c>
      <c r="AA14" t="n">
        <v>11</v>
      </c>
      <c r="AB14" t="n">
        <v>0</v>
      </c>
      <c r="AC14" t="n">
        <v>0</v>
      </c>
      <c r="AD14" t="n">
        <v>24</v>
      </c>
      <c r="AE14" t="n">
        <v>7</v>
      </c>
      <c r="AF14" t="n">
        <v>1</v>
      </c>
      <c r="AG14" t="n">
        <v>0</v>
      </c>
      <c r="AH14" t="n">
        <v>23</v>
      </c>
      <c r="AI14" t="n">
        <v>13</v>
      </c>
      <c r="AJ14" t="n">
        <v>2</v>
      </c>
      <c r="AK14" t="n">
        <v>2</v>
      </c>
      <c r="AL14" t="n">
        <v>21</v>
      </c>
      <c r="AM14" t="n">
        <v>11</v>
      </c>
      <c r="AN14" t="n">
        <v>0</v>
      </c>
      <c r="AO14" t="n">
        <v>0</v>
      </c>
      <c r="AP14" t="n">
        <v>15</v>
      </c>
      <c r="AQ14" t="n">
        <v>10</v>
      </c>
      <c r="AR14" t="n">
        <v>0</v>
      </c>
      <c r="AS14" t="n">
        <v>0</v>
      </c>
      <c r="AT14" t="n">
        <v>9</v>
      </c>
      <c r="AU14" t="n">
        <v>3</v>
      </c>
      <c r="AV14" t="n">
        <v>1</v>
      </c>
      <c r="AW14" t="n">
        <v>0</v>
      </c>
      <c r="AX14" t="n">
        <v>706</v>
      </c>
      <c r="AY14" t="n">
        <v>395</v>
      </c>
      <c r="AZ14" t="n">
        <v>19</v>
      </c>
      <c r="BA14" t="n">
        <v>10</v>
      </c>
    </row>
    <row r="15">
      <c r="A15" t="inlineStr">
        <is>
          <t>Mondul Kiri</t>
        </is>
      </c>
      <c r="B15" t="n">
        <v>65</v>
      </c>
      <c r="C15" t="n">
        <v>27</v>
      </c>
      <c r="D15" t="n">
        <v>0</v>
      </c>
      <c r="E15" t="n">
        <v>0</v>
      </c>
      <c r="F15" t="n">
        <v>48</v>
      </c>
      <c r="G15" t="n">
        <v>28</v>
      </c>
      <c r="H15" t="n">
        <v>0</v>
      </c>
      <c r="I15" t="n">
        <v>0</v>
      </c>
      <c r="J15" t="n">
        <v>36</v>
      </c>
      <c r="K15" t="n">
        <v>10</v>
      </c>
      <c r="L15" t="n">
        <v>0</v>
      </c>
      <c r="M15" t="n">
        <v>0</v>
      </c>
      <c r="N15" t="n">
        <v>26</v>
      </c>
      <c r="O15" t="n">
        <v>9</v>
      </c>
      <c r="P15" t="n">
        <v>0</v>
      </c>
      <c r="Q15" t="n">
        <v>0</v>
      </c>
      <c r="R15" t="n">
        <v>25</v>
      </c>
      <c r="S15" t="n">
        <v>10</v>
      </c>
      <c r="T15" t="n">
        <v>0</v>
      </c>
      <c r="U15" t="n">
        <v>0</v>
      </c>
      <c r="V15" t="n">
        <v>19</v>
      </c>
      <c r="W15" t="n">
        <v>11</v>
      </c>
      <c r="X15" t="n">
        <v>0</v>
      </c>
      <c r="Y15" t="n">
        <v>0</v>
      </c>
      <c r="Z15" t="n">
        <v>10</v>
      </c>
      <c r="AA15" t="n">
        <v>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406</v>
      </c>
      <c r="AY15" t="n">
        <v>190</v>
      </c>
      <c r="AZ15" t="n">
        <v>0</v>
      </c>
      <c r="BA15" t="n">
        <v>0</v>
      </c>
    </row>
    <row r="16">
      <c r="A16" t="inlineStr">
        <is>
          <t>Otdar Meanchey</t>
        </is>
      </c>
      <c r="B16" t="n">
        <v>275</v>
      </c>
      <c r="C16" t="n">
        <v>126</v>
      </c>
      <c r="D16" t="n">
        <v>29</v>
      </c>
      <c r="E16" t="n">
        <v>11</v>
      </c>
      <c r="F16" t="n">
        <v>261</v>
      </c>
      <c r="G16" t="n">
        <v>102</v>
      </c>
      <c r="H16" t="n">
        <v>13</v>
      </c>
      <c r="I16" t="n">
        <v>1</v>
      </c>
      <c r="J16" t="n">
        <v>149</v>
      </c>
      <c r="K16" t="n">
        <v>80</v>
      </c>
      <c r="L16" t="n">
        <v>2</v>
      </c>
      <c r="M16" t="n">
        <v>1</v>
      </c>
      <c r="N16" t="n">
        <v>128</v>
      </c>
      <c r="O16" t="n">
        <v>52</v>
      </c>
      <c r="P16" t="n">
        <v>4</v>
      </c>
      <c r="Q16" t="n">
        <v>3</v>
      </c>
      <c r="R16" t="n">
        <v>116</v>
      </c>
      <c r="S16" t="n">
        <v>57</v>
      </c>
      <c r="T16" t="n">
        <v>0</v>
      </c>
      <c r="U16" t="n">
        <v>0</v>
      </c>
      <c r="V16" t="n">
        <v>114</v>
      </c>
      <c r="W16" t="n">
        <v>56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1361</v>
      </c>
      <c r="AY16" t="n">
        <v>625</v>
      </c>
      <c r="AZ16" t="n">
        <v>48</v>
      </c>
      <c r="BA16" t="n">
        <v>16</v>
      </c>
    </row>
    <row r="17">
      <c r="A17" t="inlineStr">
        <is>
          <t>Pailin</t>
        </is>
      </c>
      <c r="B17" t="n">
        <v>497</v>
      </c>
      <c r="C17" t="n">
        <v>233</v>
      </c>
      <c r="D17" t="n">
        <v>0</v>
      </c>
      <c r="E17" t="n">
        <v>0</v>
      </c>
      <c r="F17" t="n">
        <v>394</v>
      </c>
      <c r="G17" t="n">
        <v>201</v>
      </c>
      <c r="H17" t="n">
        <v>2</v>
      </c>
      <c r="I17" t="n">
        <v>1</v>
      </c>
      <c r="J17" t="n">
        <v>322</v>
      </c>
      <c r="K17" t="n">
        <v>169</v>
      </c>
      <c r="L17" t="n">
        <v>0</v>
      </c>
      <c r="M17" t="n">
        <v>0</v>
      </c>
      <c r="N17" t="n">
        <v>203</v>
      </c>
      <c r="O17" t="n">
        <v>96</v>
      </c>
      <c r="P17" t="n">
        <v>0</v>
      </c>
      <c r="Q17" t="n">
        <v>0</v>
      </c>
      <c r="R17" t="n">
        <v>163</v>
      </c>
      <c r="S17" t="n">
        <v>78</v>
      </c>
      <c r="T17" t="n">
        <v>0</v>
      </c>
      <c r="U17" t="n">
        <v>0</v>
      </c>
      <c r="V17" t="n">
        <v>147</v>
      </c>
      <c r="W17" t="n">
        <v>72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2400</v>
      </c>
      <c r="AY17" t="n">
        <v>1156</v>
      </c>
      <c r="AZ17" t="n">
        <v>3</v>
      </c>
      <c r="BA17" t="n">
        <v>1</v>
      </c>
    </row>
    <row r="18">
      <c r="A18" t="inlineStr">
        <is>
          <t>Phnom Penh</t>
        </is>
      </c>
      <c r="B18" t="n">
        <v>15153</v>
      </c>
      <c r="C18" t="n">
        <v>7301</v>
      </c>
      <c r="D18" t="n">
        <v>398</v>
      </c>
      <c r="E18" t="n">
        <v>150</v>
      </c>
      <c r="F18" t="n">
        <v>15604</v>
      </c>
      <c r="G18" t="n">
        <v>7678</v>
      </c>
      <c r="H18" t="n">
        <v>357</v>
      </c>
      <c r="I18" t="n">
        <v>184</v>
      </c>
      <c r="J18" t="n">
        <v>12487</v>
      </c>
      <c r="K18" t="n">
        <v>6286</v>
      </c>
      <c r="L18" t="n">
        <v>227</v>
      </c>
      <c r="M18" t="n">
        <v>122</v>
      </c>
      <c r="N18" t="n">
        <v>10495</v>
      </c>
      <c r="O18" t="n">
        <v>5125</v>
      </c>
      <c r="P18" t="n">
        <v>227</v>
      </c>
      <c r="Q18" t="n">
        <v>102</v>
      </c>
      <c r="R18" t="n">
        <v>10337</v>
      </c>
      <c r="S18" t="n">
        <v>5178</v>
      </c>
      <c r="T18" t="n">
        <v>246</v>
      </c>
      <c r="U18" t="n">
        <v>105</v>
      </c>
      <c r="V18" t="n">
        <v>9966</v>
      </c>
      <c r="W18" t="n">
        <v>4928</v>
      </c>
      <c r="X18" t="n">
        <v>182</v>
      </c>
      <c r="Y18" t="n">
        <v>90</v>
      </c>
      <c r="Z18" t="n">
        <v>8173</v>
      </c>
      <c r="AA18" t="n">
        <v>4108</v>
      </c>
      <c r="AB18" t="n">
        <v>44</v>
      </c>
      <c r="AC18" t="n">
        <v>16</v>
      </c>
      <c r="AD18" t="n">
        <v>6480</v>
      </c>
      <c r="AE18" t="n">
        <v>3251</v>
      </c>
      <c r="AF18" t="n">
        <v>26</v>
      </c>
      <c r="AG18" t="n">
        <v>11</v>
      </c>
      <c r="AH18" t="n">
        <v>6159</v>
      </c>
      <c r="AI18" t="n">
        <v>3160</v>
      </c>
      <c r="AJ18" t="n">
        <v>100</v>
      </c>
      <c r="AK18" t="n">
        <v>41</v>
      </c>
      <c r="AL18" t="n">
        <v>5799</v>
      </c>
      <c r="AM18" t="n">
        <v>2951</v>
      </c>
      <c r="AN18" t="n">
        <v>5</v>
      </c>
      <c r="AO18" t="n">
        <v>1</v>
      </c>
      <c r="AP18" t="n">
        <v>4799</v>
      </c>
      <c r="AQ18" t="n">
        <v>2498</v>
      </c>
      <c r="AR18" t="n">
        <v>9</v>
      </c>
      <c r="AS18" t="n">
        <v>0</v>
      </c>
      <c r="AT18" t="n">
        <v>4086</v>
      </c>
      <c r="AU18" t="n">
        <v>2119</v>
      </c>
      <c r="AV18" t="n">
        <v>33</v>
      </c>
      <c r="AW18" t="n">
        <v>14</v>
      </c>
      <c r="AX18" t="n">
        <v>133809</v>
      </c>
      <c r="AY18" t="n">
        <v>66571</v>
      </c>
      <c r="AZ18" t="n">
        <v>1854</v>
      </c>
      <c r="BA18" t="n">
        <v>836</v>
      </c>
    </row>
    <row r="19">
      <c r="A19" t="inlineStr">
        <is>
          <t>Preah Sihanouk</t>
        </is>
      </c>
      <c r="B19" t="n">
        <v>921</v>
      </c>
      <c r="C19" t="n">
        <v>413</v>
      </c>
      <c r="D19" t="n">
        <v>87</v>
      </c>
      <c r="E19" t="n">
        <v>35</v>
      </c>
      <c r="F19" t="n">
        <v>875</v>
      </c>
      <c r="G19" t="n">
        <v>411</v>
      </c>
      <c r="H19" t="n">
        <v>29</v>
      </c>
      <c r="I19" t="n">
        <v>19</v>
      </c>
      <c r="J19" t="n">
        <v>680</v>
      </c>
      <c r="K19" t="n">
        <v>332</v>
      </c>
      <c r="L19" t="n">
        <v>12</v>
      </c>
      <c r="M19" t="n">
        <v>8</v>
      </c>
      <c r="N19" t="n">
        <v>508</v>
      </c>
      <c r="O19" t="n">
        <v>223</v>
      </c>
      <c r="P19" t="n">
        <v>8</v>
      </c>
      <c r="Q19" t="n">
        <v>1</v>
      </c>
      <c r="R19" t="n">
        <v>501</v>
      </c>
      <c r="S19" t="n">
        <v>249</v>
      </c>
      <c r="T19" t="n">
        <v>11</v>
      </c>
      <c r="U19" t="n">
        <v>2</v>
      </c>
      <c r="V19" t="n">
        <v>479</v>
      </c>
      <c r="W19" t="n">
        <v>238</v>
      </c>
      <c r="X19" t="n">
        <v>1</v>
      </c>
      <c r="Y19" t="n">
        <v>1</v>
      </c>
      <c r="Z19" t="n">
        <v>455</v>
      </c>
      <c r="AA19" t="n">
        <v>208</v>
      </c>
      <c r="AB19" t="n">
        <v>12</v>
      </c>
      <c r="AC19" t="n">
        <v>3</v>
      </c>
      <c r="AD19" t="n">
        <v>406</v>
      </c>
      <c r="AE19" t="n">
        <v>189</v>
      </c>
      <c r="AF19" t="n">
        <v>12</v>
      </c>
      <c r="AG19" t="n">
        <v>0</v>
      </c>
      <c r="AH19" t="n">
        <v>350</v>
      </c>
      <c r="AI19" t="n">
        <v>179</v>
      </c>
      <c r="AJ19" t="n">
        <v>7</v>
      </c>
      <c r="AK19" t="n">
        <v>4</v>
      </c>
      <c r="AL19" t="n">
        <v>323</v>
      </c>
      <c r="AM19" t="n">
        <v>157</v>
      </c>
      <c r="AN19" t="n">
        <v>0</v>
      </c>
      <c r="AO19" t="n">
        <v>0</v>
      </c>
      <c r="AP19" t="n">
        <v>258</v>
      </c>
      <c r="AQ19" t="n">
        <v>111</v>
      </c>
      <c r="AR19" t="n">
        <v>0</v>
      </c>
      <c r="AS19" t="n">
        <v>0</v>
      </c>
      <c r="AT19" t="n">
        <v>224</v>
      </c>
      <c r="AU19" t="n">
        <v>106</v>
      </c>
      <c r="AV19" t="n">
        <v>1</v>
      </c>
      <c r="AW19" t="n">
        <v>0</v>
      </c>
      <c r="AX19" t="n">
        <v>7962</v>
      </c>
      <c r="AY19" t="n">
        <v>3709</v>
      </c>
      <c r="AZ19" t="n">
        <v>180</v>
      </c>
      <c r="BA19" t="n">
        <v>73</v>
      </c>
    </row>
    <row r="20">
      <c r="A20" t="inlineStr">
        <is>
          <t>Preah Vihear</t>
        </is>
      </c>
      <c r="B20" t="n">
        <v>37</v>
      </c>
      <c r="C20" t="n">
        <v>19</v>
      </c>
      <c r="D20" t="n">
        <v>1</v>
      </c>
      <c r="E20" t="n">
        <v>1</v>
      </c>
      <c r="F20" t="n">
        <v>35</v>
      </c>
      <c r="G20" t="n">
        <v>15</v>
      </c>
      <c r="H20" t="n">
        <v>2</v>
      </c>
      <c r="I20" t="n">
        <v>0</v>
      </c>
      <c r="J20" t="n">
        <v>22</v>
      </c>
      <c r="K20" t="n">
        <v>12</v>
      </c>
      <c r="L20" t="n">
        <v>0</v>
      </c>
      <c r="M20" t="n">
        <v>0</v>
      </c>
      <c r="N20" t="n">
        <v>27</v>
      </c>
      <c r="O20" t="n">
        <v>8</v>
      </c>
      <c r="P20" t="n">
        <v>1</v>
      </c>
      <c r="Q20" t="n">
        <v>0</v>
      </c>
      <c r="R20" t="n">
        <v>17</v>
      </c>
      <c r="S20" t="n">
        <v>8</v>
      </c>
      <c r="T20" t="n">
        <v>0</v>
      </c>
      <c r="U20" t="n">
        <v>0</v>
      </c>
      <c r="V20" t="n">
        <v>19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217</v>
      </c>
      <c r="AY20" t="n">
        <v>105</v>
      </c>
      <c r="AZ20" t="n">
        <v>4</v>
      </c>
      <c r="BA20" t="n">
        <v>1</v>
      </c>
    </row>
    <row r="21">
      <c r="A21" t="inlineStr">
        <is>
          <t>Prey Veng</t>
        </is>
      </c>
      <c r="B21" t="n">
        <v>90</v>
      </c>
      <c r="C21" t="n">
        <v>31</v>
      </c>
      <c r="D21" t="n">
        <v>2</v>
      </c>
      <c r="E21" t="n">
        <v>1</v>
      </c>
      <c r="F21" t="n">
        <v>85</v>
      </c>
      <c r="G21" t="n">
        <v>33</v>
      </c>
      <c r="H21" t="n">
        <v>0</v>
      </c>
      <c r="I21" t="n">
        <v>0</v>
      </c>
      <c r="J21" t="n">
        <v>55</v>
      </c>
      <c r="K21" t="n">
        <v>21</v>
      </c>
      <c r="L21" t="n">
        <v>0</v>
      </c>
      <c r="M21" t="n">
        <v>0</v>
      </c>
      <c r="N21" t="n">
        <v>13</v>
      </c>
      <c r="O21" t="n">
        <v>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42</v>
      </c>
      <c r="AM21" t="n">
        <v>23</v>
      </c>
      <c r="AN21" t="n">
        <v>0</v>
      </c>
      <c r="AO21" t="n">
        <v>0</v>
      </c>
      <c r="AP21" t="n">
        <v>45</v>
      </c>
      <c r="AQ21" t="n">
        <v>31</v>
      </c>
      <c r="AR21" t="n">
        <v>0</v>
      </c>
      <c r="AS21" t="n">
        <v>0</v>
      </c>
      <c r="AT21" t="n">
        <v>45</v>
      </c>
      <c r="AU21" t="n">
        <v>22</v>
      </c>
      <c r="AV21" t="n">
        <v>0</v>
      </c>
      <c r="AW21" t="n">
        <v>0</v>
      </c>
      <c r="AX21" t="n">
        <v>552</v>
      </c>
      <c r="AY21" t="n">
        <v>239</v>
      </c>
      <c r="AZ21" t="n">
        <v>2</v>
      </c>
      <c r="BA21" t="n">
        <v>1</v>
      </c>
    </row>
    <row r="22">
      <c r="A22" t="inlineStr">
        <is>
          <t>Pursat</t>
        </is>
      </c>
      <c r="B22" t="n">
        <v>326</v>
      </c>
      <c r="C22" t="n">
        <v>159</v>
      </c>
      <c r="D22" t="n">
        <v>0</v>
      </c>
      <c r="E22" t="n">
        <v>0</v>
      </c>
      <c r="F22" t="n">
        <v>169</v>
      </c>
      <c r="G22" t="n">
        <v>86</v>
      </c>
      <c r="H22" t="n">
        <v>0</v>
      </c>
      <c r="I22" t="n">
        <v>0</v>
      </c>
      <c r="J22" t="n">
        <v>95</v>
      </c>
      <c r="K22" t="n">
        <v>52</v>
      </c>
      <c r="L22" t="n">
        <v>0</v>
      </c>
      <c r="M22" t="n">
        <v>0</v>
      </c>
      <c r="N22" t="n">
        <v>40</v>
      </c>
      <c r="O22" t="n">
        <v>23</v>
      </c>
      <c r="P22" t="n">
        <v>0</v>
      </c>
      <c r="Q22" t="n">
        <v>0</v>
      </c>
      <c r="R22" t="n">
        <v>63</v>
      </c>
      <c r="S22" t="n">
        <v>29</v>
      </c>
      <c r="T22" t="n">
        <v>0</v>
      </c>
      <c r="U22" t="n">
        <v>0</v>
      </c>
      <c r="V22" t="n">
        <v>20</v>
      </c>
      <c r="W22" t="n">
        <v>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1406</v>
      </c>
      <c r="AY22" t="n">
        <v>685</v>
      </c>
      <c r="AZ22" t="n">
        <v>0</v>
      </c>
      <c r="BA22" t="n">
        <v>0</v>
      </c>
    </row>
    <row r="23">
      <c r="A23" t="inlineStr">
        <is>
          <t>Ratanak Kiri</t>
        </is>
      </c>
      <c r="B23" t="n">
        <v>264</v>
      </c>
      <c r="C23" t="n">
        <v>149</v>
      </c>
      <c r="D23" t="n">
        <v>10</v>
      </c>
      <c r="E23" t="n">
        <v>3</v>
      </c>
      <c r="F23" t="n">
        <v>349</v>
      </c>
      <c r="G23" t="n">
        <v>172</v>
      </c>
      <c r="H23" t="n">
        <v>3</v>
      </c>
      <c r="I23" t="n">
        <v>1</v>
      </c>
      <c r="J23" t="n">
        <v>269</v>
      </c>
      <c r="K23" t="n">
        <v>129</v>
      </c>
      <c r="L23" t="n">
        <v>0</v>
      </c>
      <c r="M23" t="n">
        <v>0</v>
      </c>
      <c r="N23" t="n">
        <v>218</v>
      </c>
      <c r="O23" t="n">
        <v>109</v>
      </c>
      <c r="P23" t="n">
        <v>0</v>
      </c>
      <c r="Q23" t="n">
        <v>0</v>
      </c>
      <c r="R23" t="n">
        <v>203</v>
      </c>
      <c r="S23" t="n">
        <v>88</v>
      </c>
      <c r="T23" t="n">
        <v>0</v>
      </c>
      <c r="U23" t="n">
        <v>0</v>
      </c>
      <c r="V23" t="n">
        <v>195</v>
      </c>
      <c r="W23" t="n">
        <v>87</v>
      </c>
      <c r="X23" t="n">
        <v>0</v>
      </c>
      <c r="Y23" t="n">
        <v>0</v>
      </c>
      <c r="Z23" t="n">
        <v>123</v>
      </c>
      <c r="AA23" t="n">
        <v>56</v>
      </c>
      <c r="AB23" t="n">
        <v>0</v>
      </c>
      <c r="AC23" t="n">
        <v>0</v>
      </c>
      <c r="AD23" t="n">
        <v>94</v>
      </c>
      <c r="AE23" t="n">
        <v>40</v>
      </c>
      <c r="AF23" t="n">
        <v>0</v>
      </c>
      <c r="AG23" t="n">
        <v>0</v>
      </c>
      <c r="AH23" t="n">
        <v>102</v>
      </c>
      <c r="AI23" t="n">
        <v>39</v>
      </c>
      <c r="AJ23" t="n">
        <v>4</v>
      </c>
      <c r="AK23" t="n">
        <v>3</v>
      </c>
      <c r="AL23" t="n">
        <v>68</v>
      </c>
      <c r="AM23" t="n">
        <v>27</v>
      </c>
      <c r="AN23" t="n">
        <v>0</v>
      </c>
      <c r="AO23" t="n">
        <v>0</v>
      </c>
      <c r="AP23" t="n">
        <v>40</v>
      </c>
      <c r="AQ23" t="n">
        <v>23</v>
      </c>
      <c r="AR23" t="n">
        <v>0</v>
      </c>
      <c r="AS23" t="n">
        <v>0</v>
      </c>
      <c r="AT23" t="n">
        <v>53</v>
      </c>
      <c r="AU23" t="n">
        <v>21</v>
      </c>
      <c r="AV23" t="n">
        <v>0</v>
      </c>
      <c r="AW23" t="n">
        <v>0</v>
      </c>
      <c r="AX23" t="n">
        <v>2971</v>
      </c>
      <c r="AY23" t="n">
        <v>1407</v>
      </c>
      <c r="AZ23" t="n">
        <v>17</v>
      </c>
      <c r="BA23" t="n">
        <v>7</v>
      </c>
    </row>
    <row r="24">
      <c r="A24" t="inlineStr">
        <is>
          <t>Siemreap</t>
        </is>
      </c>
      <c r="B24" t="n">
        <v>1215</v>
      </c>
      <c r="C24" t="n">
        <v>592</v>
      </c>
      <c r="D24" t="n">
        <v>40</v>
      </c>
      <c r="E24" t="n">
        <v>11</v>
      </c>
      <c r="F24" t="n">
        <v>1099</v>
      </c>
      <c r="G24" t="n">
        <v>537</v>
      </c>
      <c r="H24" t="n">
        <v>14</v>
      </c>
      <c r="I24" t="n">
        <v>5</v>
      </c>
      <c r="J24" t="n">
        <v>809</v>
      </c>
      <c r="K24" t="n">
        <v>426</v>
      </c>
      <c r="L24" t="n">
        <v>9</v>
      </c>
      <c r="M24" t="n">
        <v>4</v>
      </c>
      <c r="N24" t="n">
        <v>674</v>
      </c>
      <c r="O24" t="n">
        <v>341</v>
      </c>
      <c r="P24" t="n">
        <v>6</v>
      </c>
      <c r="Q24" t="n">
        <v>1</v>
      </c>
      <c r="R24" t="n">
        <v>549</v>
      </c>
      <c r="S24" t="n">
        <v>269</v>
      </c>
      <c r="T24" t="n">
        <v>1</v>
      </c>
      <c r="U24" t="n">
        <v>0</v>
      </c>
      <c r="V24" t="n">
        <v>517</v>
      </c>
      <c r="W24" t="n">
        <v>270</v>
      </c>
      <c r="X24" t="n">
        <v>2</v>
      </c>
      <c r="Y24" t="n">
        <v>0</v>
      </c>
      <c r="Z24" t="n">
        <v>512</v>
      </c>
      <c r="AA24" t="n">
        <v>258</v>
      </c>
      <c r="AB24" t="n">
        <v>4</v>
      </c>
      <c r="AC24" t="n">
        <v>1</v>
      </c>
      <c r="AD24" t="n">
        <v>394</v>
      </c>
      <c r="AE24" t="n">
        <v>187</v>
      </c>
      <c r="AF24" t="n">
        <v>3</v>
      </c>
      <c r="AG24" t="n">
        <v>0</v>
      </c>
      <c r="AH24" t="n">
        <v>327</v>
      </c>
      <c r="AI24" t="n">
        <v>180</v>
      </c>
      <c r="AJ24" t="n">
        <v>2</v>
      </c>
      <c r="AK24" t="n">
        <v>0</v>
      </c>
      <c r="AL24" t="n">
        <v>252</v>
      </c>
      <c r="AM24" t="n">
        <v>114</v>
      </c>
      <c r="AN24" t="n">
        <v>0</v>
      </c>
      <c r="AO24" t="n">
        <v>0</v>
      </c>
      <c r="AP24" t="n">
        <v>271</v>
      </c>
      <c r="AQ24" t="n">
        <v>100</v>
      </c>
      <c r="AR24" t="n">
        <v>1</v>
      </c>
      <c r="AS24" t="n">
        <v>0</v>
      </c>
      <c r="AT24" t="n">
        <v>162</v>
      </c>
      <c r="AU24" t="n">
        <v>83</v>
      </c>
      <c r="AV24" t="n">
        <v>0</v>
      </c>
      <c r="AW24" t="n">
        <v>0</v>
      </c>
      <c r="AX24" t="n">
        <v>12504</v>
      </c>
      <c r="AY24" t="n">
        <v>6318</v>
      </c>
      <c r="AZ24" t="n">
        <v>82</v>
      </c>
      <c r="BA24" t="n">
        <v>22</v>
      </c>
    </row>
    <row r="25">
      <c r="A25" t="inlineStr">
        <is>
          <t>Stung Treng</t>
        </is>
      </c>
      <c r="B25" t="n">
        <v>63</v>
      </c>
      <c r="C25" t="n">
        <v>26</v>
      </c>
      <c r="D25" t="n">
        <v>17</v>
      </c>
      <c r="E25" t="n">
        <v>8</v>
      </c>
      <c r="F25" t="n">
        <v>80</v>
      </c>
      <c r="G25" t="n">
        <v>36</v>
      </c>
      <c r="H25" t="n">
        <v>3</v>
      </c>
      <c r="I25" t="n">
        <v>0</v>
      </c>
      <c r="J25" t="n">
        <v>52</v>
      </c>
      <c r="K25" t="n">
        <v>24</v>
      </c>
      <c r="L25" t="n">
        <v>1</v>
      </c>
      <c r="M25" t="n">
        <v>0</v>
      </c>
      <c r="N25" t="n">
        <v>39</v>
      </c>
      <c r="O25" t="n">
        <v>10</v>
      </c>
      <c r="P25" t="n">
        <v>3</v>
      </c>
      <c r="Q25" t="n">
        <v>0</v>
      </c>
      <c r="R25" t="n">
        <v>52</v>
      </c>
      <c r="S25" t="n">
        <v>28</v>
      </c>
      <c r="T25" t="n">
        <v>1</v>
      </c>
      <c r="U25" t="n">
        <v>0</v>
      </c>
      <c r="V25" t="n">
        <v>34</v>
      </c>
      <c r="W25" t="n">
        <v>21</v>
      </c>
      <c r="X25" t="n">
        <v>2</v>
      </c>
      <c r="Y25" t="n">
        <v>0</v>
      </c>
      <c r="Z25" t="n">
        <v>29</v>
      </c>
      <c r="AA25" t="n">
        <v>13</v>
      </c>
      <c r="AB25" t="n">
        <v>0</v>
      </c>
      <c r="AC25" t="n">
        <v>0</v>
      </c>
      <c r="AD25" t="n">
        <v>25</v>
      </c>
      <c r="AE25" t="n">
        <v>13</v>
      </c>
      <c r="AF25" t="n">
        <v>0</v>
      </c>
      <c r="AG25" t="n">
        <v>0</v>
      </c>
      <c r="AH25" t="n">
        <v>19</v>
      </c>
      <c r="AI25" t="n">
        <v>14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4</v>
      </c>
      <c r="AU25" t="n">
        <v>2</v>
      </c>
      <c r="AV25" t="n">
        <v>0</v>
      </c>
      <c r="AW25" t="n">
        <v>0</v>
      </c>
      <c r="AX25" t="n">
        <v>863</v>
      </c>
      <c r="AY25" t="n">
        <v>432</v>
      </c>
      <c r="AZ25" t="n">
        <v>27</v>
      </c>
      <c r="BA25" t="n">
        <v>8</v>
      </c>
    </row>
    <row r="26">
      <c r="A26" t="inlineStr">
        <is>
          <t>Svay Rieng</t>
        </is>
      </c>
      <c r="B26" t="n">
        <v>179</v>
      </c>
      <c r="C26" t="n">
        <v>98</v>
      </c>
      <c r="D26" t="n">
        <v>13</v>
      </c>
      <c r="E26" t="n">
        <v>3</v>
      </c>
      <c r="F26" t="n">
        <v>88</v>
      </c>
      <c r="G26" t="n">
        <v>44</v>
      </c>
      <c r="H26" t="n">
        <v>2</v>
      </c>
      <c r="I26" t="n">
        <v>0</v>
      </c>
      <c r="J26" t="n">
        <v>86</v>
      </c>
      <c r="K26" t="n">
        <v>47</v>
      </c>
      <c r="L26" t="n">
        <v>0</v>
      </c>
      <c r="M26" t="n">
        <v>0</v>
      </c>
      <c r="N26" t="n">
        <v>75</v>
      </c>
      <c r="O26" t="n">
        <v>46</v>
      </c>
      <c r="P26" t="n">
        <v>0</v>
      </c>
      <c r="Q26" t="n">
        <v>0</v>
      </c>
      <c r="R26" t="n">
        <v>27</v>
      </c>
      <c r="S26" t="n">
        <v>12</v>
      </c>
      <c r="T26" t="n">
        <v>0</v>
      </c>
      <c r="U26" t="n">
        <v>0</v>
      </c>
      <c r="V26" t="n">
        <v>18</v>
      </c>
      <c r="W26" t="n">
        <v>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448</v>
      </c>
      <c r="AY26" t="n">
        <v>207</v>
      </c>
      <c r="AZ26" t="n">
        <v>15</v>
      </c>
      <c r="BA26" t="n">
        <v>3</v>
      </c>
    </row>
    <row r="27">
      <c r="A27" t="inlineStr">
        <is>
          <t>Takeo</t>
        </is>
      </c>
      <c r="B27" t="n">
        <v>268</v>
      </c>
      <c r="C27" t="n">
        <v>121</v>
      </c>
      <c r="D27" t="n">
        <v>5</v>
      </c>
      <c r="E27" t="n">
        <v>2</v>
      </c>
      <c r="F27" t="n">
        <v>264</v>
      </c>
      <c r="G27" t="n">
        <v>129</v>
      </c>
      <c r="H27" t="n">
        <v>3</v>
      </c>
      <c r="I27" t="n">
        <v>2</v>
      </c>
      <c r="J27" t="n">
        <v>181</v>
      </c>
      <c r="K27" t="n">
        <v>115</v>
      </c>
      <c r="L27" t="n">
        <v>5</v>
      </c>
      <c r="M27" t="n">
        <v>1</v>
      </c>
      <c r="N27" t="n">
        <v>159</v>
      </c>
      <c r="O27" t="n">
        <v>73</v>
      </c>
      <c r="P27" t="n">
        <v>2</v>
      </c>
      <c r="Q27" t="n">
        <v>0</v>
      </c>
      <c r="R27" t="n">
        <v>143</v>
      </c>
      <c r="S27" t="n">
        <v>59</v>
      </c>
      <c r="T27" t="n">
        <v>0</v>
      </c>
      <c r="U27" t="n">
        <v>0</v>
      </c>
      <c r="V27" t="n">
        <v>90</v>
      </c>
      <c r="W27" t="n">
        <v>30</v>
      </c>
      <c r="X27" t="n">
        <v>0</v>
      </c>
      <c r="Y27" t="n">
        <v>0</v>
      </c>
      <c r="Z27" t="n">
        <v>292</v>
      </c>
      <c r="AA27" t="n">
        <v>148</v>
      </c>
      <c r="AB27" t="n">
        <v>2</v>
      </c>
      <c r="AC27" t="n">
        <v>0</v>
      </c>
      <c r="AD27" t="n">
        <v>222</v>
      </c>
      <c r="AE27" t="n">
        <v>99</v>
      </c>
      <c r="AF27" t="n">
        <v>2</v>
      </c>
      <c r="AG27" t="n">
        <v>1</v>
      </c>
      <c r="AH27" t="n">
        <v>188</v>
      </c>
      <c r="AI27" t="n">
        <v>82</v>
      </c>
      <c r="AJ27" t="n">
        <v>0</v>
      </c>
      <c r="AK27" t="n">
        <v>0</v>
      </c>
      <c r="AL27" t="n">
        <v>220</v>
      </c>
      <c r="AM27" t="n">
        <v>105</v>
      </c>
      <c r="AN27" t="n">
        <v>3</v>
      </c>
      <c r="AO27" t="n">
        <v>1</v>
      </c>
      <c r="AP27" t="n">
        <v>197</v>
      </c>
      <c r="AQ27" t="n">
        <v>78</v>
      </c>
      <c r="AR27" t="n">
        <v>0</v>
      </c>
      <c r="AS27" t="n">
        <v>0</v>
      </c>
      <c r="AT27" t="n">
        <v>153</v>
      </c>
      <c r="AU27" t="n">
        <v>83</v>
      </c>
      <c r="AV27" t="n">
        <v>2</v>
      </c>
      <c r="AW27" t="n">
        <v>0</v>
      </c>
      <c r="AX27" t="n">
        <v>3557</v>
      </c>
      <c r="AY27" t="n">
        <v>1687</v>
      </c>
      <c r="AZ27" t="n">
        <v>24</v>
      </c>
      <c r="BA27" t="n">
        <v>7</v>
      </c>
    </row>
    <row r="28">
      <c r="A28" t="inlineStr">
        <is>
          <t>Tbaung Khmum</t>
        </is>
      </c>
      <c r="B28" t="n">
        <v>476</v>
      </c>
      <c r="C28" t="n">
        <v>235</v>
      </c>
      <c r="D28" t="n">
        <v>29</v>
      </c>
      <c r="E28" t="n">
        <v>12</v>
      </c>
      <c r="F28" t="n">
        <v>365</v>
      </c>
      <c r="G28" t="n">
        <v>181</v>
      </c>
      <c r="H28" t="n">
        <v>24</v>
      </c>
      <c r="I28" t="n">
        <v>13</v>
      </c>
      <c r="J28" t="n">
        <v>315</v>
      </c>
      <c r="K28" t="n">
        <v>167</v>
      </c>
      <c r="L28" t="n">
        <v>22</v>
      </c>
      <c r="M28" t="n">
        <v>12</v>
      </c>
      <c r="N28" t="n">
        <v>264</v>
      </c>
      <c r="O28" t="n">
        <v>138</v>
      </c>
      <c r="P28" t="n">
        <v>15</v>
      </c>
      <c r="Q28" t="n">
        <v>7</v>
      </c>
      <c r="R28" t="n">
        <v>382</v>
      </c>
      <c r="S28" t="n">
        <v>163</v>
      </c>
      <c r="T28" t="n">
        <v>8</v>
      </c>
      <c r="U28" t="n">
        <v>5</v>
      </c>
      <c r="V28" t="n">
        <v>264</v>
      </c>
      <c r="W28" t="n">
        <v>159</v>
      </c>
      <c r="X28" t="n">
        <v>5</v>
      </c>
      <c r="Y28" t="n">
        <v>2</v>
      </c>
      <c r="Z28" t="n">
        <v>442</v>
      </c>
      <c r="AA28" t="n">
        <v>320</v>
      </c>
      <c r="AB28" t="n">
        <v>1</v>
      </c>
      <c r="AC28" t="n">
        <v>1</v>
      </c>
      <c r="AD28" t="n">
        <v>380</v>
      </c>
      <c r="AE28" t="n">
        <v>292</v>
      </c>
      <c r="AF28" t="n">
        <v>1</v>
      </c>
      <c r="AG28" t="n">
        <v>1</v>
      </c>
      <c r="AH28" t="n">
        <v>273</v>
      </c>
      <c r="AI28" t="n">
        <v>236</v>
      </c>
      <c r="AJ28" t="n">
        <v>8</v>
      </c>
      <c r="AK28" t="n">
        <v>8</v>
      </c>
      <c r="AL28" t="n">
        <v>213</v>
      </c>
      <c r="AM28" t="n">
        <v>162</v>
      </c>
      <c r="AN28" t="n">
        <v>0</v>
      </c>
      <c r="AO28" t="n">
        <v>0</v>
      </c>
      <c r="AP28" t="n">
        <v>92</v>
      </c>
      <c r="AQ28" t="n">
        <v>76</v>
      </c>
      <c r="AR28" t="n">
        <v>0</v>
      </c>
      <c r="AS28" t="n">
        <v>0</v>
      </c>
      <c r="AT28" t="n">
        <v>79</v>
      </c>
      <c r="AU28" t="n">
        <v>64</v>
      </c>
      <c r="AV28" t="n">
        <v>0</v>
      </c>
      <c r="AW28" t="n">
        <v>0</v>
      </c>
      <c r="AX28" t="n">
        <v>4365</v>
      </c>
      <c r="AY28" t="n">
        <v>2584</v>
      </c>
      <c r="AZ28" t="n">
        <v>113</v>
      </c>
      <c r="BA28" t="n">
        <v>61</v>
      </c>
    </row>
    <row r="29">
      <c r="A29" t="inlineStr">
        <is>
          <t>Whole Kingdom</t>
        </is>
      </c>
      <c r="B29" t="n">
        <v>31025</v>
      </c>
      <c r="C29" t="n">
        <v>15107</v>
      </c>
      <c r="D29" t="n">
        <v>1075</v>
      </c>
      <c r="E29" t="n">
        <v>413</v>
      </c>
      <c r="F29" t="n">
        <v>29508</v>
      </c>
      <c r="G29" t="n">
        <v>14502</v>
      </c>
      <c r="H29" t="n">
        <v>739</v>
      </c>
      <c r="I29" t="n">
        <v>336</v>
      </c>
      <c r="J29" t="n">
        <v>23122</v>
      </c>
      <c r="K29" t="n">
        <v>11671</v>
      </c>
      <c r="L29" t="n">
        <v>473</v>
      </c>
      <c r="M29" t="n">
        <v>229</v>
      </c>
      <c r="N29" t="n">
        <v>18814</v>
      </c>
      <c r="O29" t="n">
        <v>9205</v>
      </c>
      <c r="P29" t="n">
        <v>387</v>
      </c>
      <c r="Q29" t="n">
        <v>174</v>
      </c>
      <c r="R29" t="n">
        <v>18292</v>
      </c>
      <c r="S29" t="n">
        <v>9065</v>
      </c>
      <c r="T29" t="n">
        <v>364</v>
      </c>
      <c r="U29" t="n">
        <v>148</v>
      </c>
      <c r="V29" t="n">
        <v>16876</v>
      </c>
      <c r="W29" t="n">
        <v>8444</v>
      </c>
      <c r="X29" t="n">
        <v>245</v>
      </c>
      <c r="Y29" t="n">
        <v>118</v>
      </c>
      <c r="Z29" t="n">
        <v>14247</v>
      </c>
      <c r="AA29" t="n">
        <v>7415</v>
      </c>
      <c r="AB29" t="n">
        <v>128</v>
      </c>
      <c r="AC29" t="n">
        <v>53</v>
      </c>
      <c r="AD29" t="n">
        <v>11506</v>
      </c>
      <c r="AE29" t="n">
        <v>5822</v>
      </c>
      <c r="AF29" t="n">
        <v>82</v>
      </c>
      <c r="AG29" t="n">
        <v>31</v>
      </c>
      <c r="AH29" t="n">
        <v>10334</v>
      </c>
      <c r="AI29" t="n">
        <v>5309</v>
      </c>
      <c r="AJ29" t="n">
        <v>169</v>
      </c>
      <c r="AK29" t="n">
        <v>77</v>
      </c>
      <c r="AL29" t="n">
        <v>9334</v>
      </c>
      <c r="AM29" t="n">
        <v>4760</v>
      </c>
      <c r="AN29" t="n">
        <v>27</v>
      </c>
      <c r="AO29" t="n">
        <v>10</v>
      </c>
      <c r="AP29" t="n">
        <v>7790</v>
      </c>
      <c r="AQ29" t="n">
        <v>3996</v>
      </c>
      <c r="AR29" t="n">
        <v>16</v>
      </c>
      <c r="AS29" t="n">
        <v>2</v>
      </c>
      <c r="AT29" t="n">
        <v>6717</v>
      </c>
      <c r="AU29" t="n">
        <v>3453</v>
      </c>
      <c r="AV29" t="n">
        <v>94</v>
      </c>
      <c r="AW29" t="n">
        <v>32</v>
      </c>
      <c r="AX29" t="n">
        <v>253164</v>
      </c>
      <c r="AY29" t="n">
        <v>126343</v>
      </c>
      <c r="AZ29" t="n">
        <v>3799</v>
      </c>
      <c r="BA29" t="n">
        <v>1623</v>
      </c>
    </row>
    <row r="30">
      <c r="A30" t="inlineStr">
        <is>
          <t>- Urban Area</t>
        </is>
      </c>
      <c r="B30" t="n">
        <v>25217</v>
      </c>
      <c r="C30" t="n">
        <v>12192</v>
      </c>
      <c r="D30" t="n">
        <v>862</v>
      </c>
      <c r="E30" t="n">
        <v>325</v>
      </c>
      <c r="F30" t="n">
        <v>24453</v>
      </c>
      <c r="G30" t="n">
        <v>11946</v>
      </c>
      <c r="H30" t="n">
        <v>561</v>
      </c>
      <c r="I30" t="n">
        <v>253</v>
      </c>
      <c r="J30" t="n">
        <v>19358</v>
      </c>
      <c r="K30" t="n">
        <v>9723</v>
      </c>
      <c r="L30" t="n">
        <v>351</v>
      </c>
      <c r="M30" t="n">
        <v>177</v>
      </c>
      <c r="N30" t="n">
        <v>16112</v>
      </c>
      <c r="O30" t="n">
        <v>7851</v>
      </c>
      <c r="P30" t="n">
        <v>311</v>
      </c>
      <c r="Q30" t="n">
        <v>135</v>
      </c>
      <c r="R30" t="n">
        <v>15656</v>
      </c>
      <c r="S30" t="n">
        <v>7770</v>
      </c>
      <c r="T30" t="n">
        <v>293</v>
      </c>
      <c r="U30" t="n">
        <v>116</v>
      </c>
      <c r="V30" t="n">
        <v>14554</v>
      </c>
      <c r="W30" t="n">
        <v>7217</v>
      </c>
      <c r="X30" t="n">
        <v>204</v>
      </c>
      <c r="Y30" t="n">
        <v>98</v>
      </c>
      <c r="Z30" t="n">
        <v>12282</v>
      </c>
      <c r="AA30" t="n">
        <v>6280</v>
      </c>
      <c r="AB30" t="n">
        <v>98</v>
      </c>
      <c r="AC30" t="n">
        <v>42</v>
      </c>
      <c r="AD30" t="n">
        <v>10007</v>
      </c>
      <c r="AE30" t="n">
        <v>4972</v>
      </c>
      <c r="AF30" t="n">
        <v>60</v>
      </c>
      <c r="AG30" t="n">
        <v>15</v>
      </c>
      <c r="AH30" t="n">
        <v>9166</v>
      </c>
      <c r="AI30" t="n">
        <v>4627</v>
      </c>
      <c r="AJ30" t="n">
        <v>151</v>
      </c>
      <c r="AK30" t="n">
        <v>65</v>
      </c>
      <c r="AL30" t="n">
        <v>8475</v>
      </c>
      <c r="AM30" t="n">
        <v>4272</v>
      </c>
      <c r="AN30" t="n">
        <v>17</v>
      </c>
      <c r="AO30" t="n">
        <v>3</v>
      </c>
      <c r="AP30" t="n">
        <v>7157</v>
      </c>
      <c r="AQ30" t="n">
        <v>3673</v>
      </c>
      <c r="AR30" t="n">
        <v>16</v>
      </c>
      <c r="AS30" t="n">
        <v>2</v>
      </c>
      <c r="AT30" t="n">
        <v>6232</v>
      </c>
      <c r="AU30" t="n">
        <v>3189</v>
      </c>
      <c r="AV30" t="n">
        <v>92</v>
      </c>
      <c r="AW30" t="n">
        <v>32</v>
      </c>
      <c r="AX30" t="n">
        <v>213599</v>
      </c>
      <c r="AY30" t="n">
        <v>105791</v>
      </c>
      <c r="AZ30" t="n">
        <v>3016</v>
      </c>
      <c r="BA30" t="n">
        <v>1263</v>
      </c>
    </row>
    <row r="31">
      <c r="A31" t="inlineStr">
        <is>
          <t>- Rural Area</t>
        </is>
      </c>
      <c r="B31" t="n">
        <v>5808</v>
      </c>
      <c r="C31" t="n">
        <v>2915</v>
      </c>
      <c r="D31" t="n">
        <v>213</v>
      </c>
      <c r="E31" t="n">
        <v>88</v>
      </c>
      <c r="F31" t="n">
        <v>5055</v>
      </c>
      <c r="G31" t="n">
        <v>2556</v>
      </c>
      <c r="H31" t="n">
        <v>178</v>
      </c>
      <c r="I31" t="n">
        <v>83</v>
      </c>
      <c r="J31" t="n">
        <v>3764</v>
      </c>
      <c r="K31" t="n">
        <v>1948</v>
      </c>
      <c r="L31" t="n">
        <v>122</v>
      </c>
      <c r="M31" t="n">
        <v>52</v>
      </c>
      <c r="N31" t="n">
        <v>2702</v>
      </c>
      <c r="O31" t="n">
        <v>1354</v>
      </c>
      <c r="P31" t="n">
        <v>76</v>
      </c>
      <c r="Q31" t="n">
        <v>39</v>
      </c>
      <c r="R31" t="n">
        <v>2636</v>
      </c>
      <c r="S31" t="n">
        <v>1295</v>
      </c>
      <c r="T31" t="n">
        <v>71</v>
      </c>
      <c r="U31" t="n">
        <v>32</v>
      </c>
      <c r="V31" t="n">
        <v>2322</v>
      </c>
      <c r="W31" t="n">
        <v>1227</v>
      </c>
      <c r="X31" t="n">
        <v>41</v>
      </c>
      <c r="Y31" t="n">
        <v>20</v>
      </c>
      <c r="Z31" t="n">
        <v>1965</v>
      </c>
      <c r="AA31" t="n">
        <v>1135</v>
      </c>
      <c r="AB31" t="n">
        <v>30</v>
      </c>
      <c r="AC31" t="n">
        <v>11</v>
      </c>
      <c r="AD31" t="n">
        <v>1499</v>
      </c>
      <c r="AE31" t="n">
        <v>850</v>
      </c>
      <c r="AF31" t="n">
        <v>22</v>
      </c>
      <c r="AG31" t="n">
        <v>16</v>
      </c>
      <c r="AH31" t="n">
        <v>1168</v>
      </c>
      <c r="AI31" t="n">
        <v>682</v>
      </c>
      <c r="AJ31" t="n">
        <v>18</v>
      </c>
      <c r="AK31" t="n">
        <v>12</v>
      </c>
      <c r="AL31" t="n">
        <v>859</v>
      </c>
      <c r="AM31" t="n">
        <v>488</v>
      </c>
      <c r="AN31" t="n">
        <v>10</v>
      </c>
      <c r="AO31" t="n">
        <v>7</v>
      </c>
      <c r="AP31" t="n">
        <v>633</v>
      </c>
      <c r="AQ31" t="n">
        <v>323</v>
      </c>
      <c r="AR31" t="n">
        <v>0</v>
      </c>
      <c r="AS31" t="n">
        <v>0</v>
      </c>
      <c r="AT31" t="n">
        <v>485</v>
      </c>
      <c r="AU31" t="n">
        <v>264</v>
      </c>
      <c r="AV31" t="n">
        <v>2</v>
      </c>
      <c r="AW31" t="n">
        <v>0</v>
      </c>
      <c r="AX31" t="n">
        <v>39565</v>
      </c>
      <c r="AY31" t="n">
        <v>20552</v>
      </c>
      <c r="AZ31" t="n">
        <v>783</v>
      </c>
      <c r="BA31" t="n">
        <v>360</v>
      </c>
    </row>
  </sheetData>
  <mergeCells count="40">
    <mergeCell ref="L2:M2"/>
    <mergeCell ref="V2:W2"/>
    <mergeCell ref="X2:Y2"/>
    <mergeCell ref="AJ2:AK2"/>
    <mergeCell ref="AL2:AM2"/>
    <mergeCell ref="Z1:AC1"/>
    <mergeCell ref="AL1:AO1"/>
    <mergeCell ref="AT1:AW1"/>
    <mergeCell ref="B2:C2"/>
    <mergeCell ref="F1:I1"/>
    <mergeCell ref="D2:E2"/>
    <mergeCell ref="R1:U1"/>
    <mergeCell ref="AV2:AW2"/>
    <mergeCell ref="N2:O2"/>
    <mergeCell ref="AX2:AY2"/>
    <mergeCell ref="P2:Q2"/>
    <mergeCell ref="AX1:BA1"/>
    <mergeCell ref="J1:M1"/>
    <mergeCell ref="A1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V1:Y1"/>
    <mergeCell ref="AD1:AG1"/>
    <mergeCell ref="AP1:AS1"/>
    <mergeCell ref="AH1:AK1"/>
    <mergeCell ref="B1:E1"/>
    <mergeCell ref="AH2:AI2"/>
    <mergeCell ref="AR2:AS2"/>
    <mergeCell ref="J2:K2"/>
    <mergeCell ref="N1:Q1"/>
    <mergeCell ref="AT2:AU2"/>
    <mergeCell ref="AZ2:BA2"/>
    <mergeCell ref="R2:S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9.83203125" customWidth="1" min="1" max="1"/>
    <col width="10.83203125" customWidth="1" min="2" max="2"/>
    <col width="11.1640625" customWidth="1" min="5" max="5"/>
    <col width="10.83203125" customWidth="1" min="6" max="6"/>
    <col width="11.33203125" customWidth="1" min="11" max="11"/>
  </cols>
  <sheetData>
    <row r="1">
      <c r="B1" t="inlineStr">
        <is>
          <t>Number of
Schools</t>
        </is>
      </c>
      <c r="C1" t="inlineStr">
        <is>
          <t>Pre-School</t>
        </is>
      </c>
      <c r="E1" t="inlineStr">
        <is>
          <t>Primary</t>
        </is>
      </c>
      <c r="G1" t="inlineStr">
        <is>
          <t>Lower Sec.</t>
        </is>
      </c>
      <c r="I1" t="inlineStr">
        <is>
          <t>Upper Sec.</t>
        </is>
      </c>
      <c r="K1" t="inlineStr">
        <is>
          <t>Total</t>
        </is>
      </c>
      <c r="M1" t="inlineStr">
        <is>
          <t>%Female</t>
        </is>
      </c>
    </row>
    <row r="2">
      <c r="C2" t="inlineStr">
        <is>
          <t>Total</t>
        </is>
      </c>
      <c r="D2" t="inlineStr">
        <is>
          <t>Girl</t>
        </is>
      </c>
      <c r="E2" t="inlineStr">
        <is>
          <t>Total</t>
        </is>
      </c>
      <c r="F2" t="inlineStr">
        <is>
          <t>Girl</t>
        </is>
      </c>
      <c r="G2" t="inlineStr">
        <is>
          <t>Total</t>
        </is>
      </c>
      <c r="H2" t="inlineStr">
        <is>
          <t>Girl</t>
        </is>
      </c>
      <c r="I2" t="inlineStr">
        <is>
          <t>Total</t>
        </is>
      </c>
      <c r="J2" t="inlineStr">
        <is>
          <t>Girl</t>
        </is>
      </c>
      <c r="K2" t="inlineStr">
        <is>
          <t>Total</t>
        </is>
      </c>
      <c r="L2" t="inlineStr">
        <is>
          <t>Girl</t>
        </is>
      </c>
      <c r="M2" t="inlineStr">
        <is>
          <t>Primary</t>
        </is>
      </c>
      <c r="N2" t="inlineStr">
        <is>
          <t>All Level</t>
        </is>
      </c>
    </row>
    <row r="3">
      <c r="A3" t="inlineStr">
        <is>
          <t>Banteay Meanchey</t>
        </is>
      </c>
      <c r="B3" t="n">
        <v>121</v>
      </c>
      <c r="C3" t="n">
        <v>3393</v>
      </c>
      <c r="D3" t="n">
        <v>1653</v>
      </c>
      <c r="E3" t="n">
        <v>14332</v>
      </c>
      <c r="F3" t="n">
        <v>6879</v>
      </c>
      <c r="G3" t="n">
        <v>2917</v>
      </c>
      <c r="H3" t="n">
        <v>1421</v>
      </c>
      <c r="I3" t="n">
        <v>1300</v>
      </c>
      <c r="J3" t="n">
        <v>658</v>
      </c>
      <c r="K3" t="n">
        <v>21942</v>
      </c>
      <c r="L3" t="n">
        <v>10611</v>
      </c>
      <c r="M3" t="n">
        <v>48</v>
      </c>
      <c r="N3" t="n">
        <v>48.4</v>
      </c>
    </row>
    <row r="4">
      <c r="A4" t="inlineStr">
        <is>
          <t>Battambang</t>
        </is>
      </c>
      <c r="B4" t="n">
        <v>45</v>
      </c>
      <c r="C4" t="n">
        <v>1273</v>
      </c>
      <c r="D4" t="n">
        <v>605</v>
      </c>
      <c r="E4" t="n">
        <v>4348</v>
      </c>
      <c r="F4" t="n">
        <v>2139</v>
      </c>
      <c r="G4" t="n">
        <v>1661</v>
      </c>
      <c r="H4" t="n">
        <v>813</v>
      </c>
      <c r="I4" t="n">
        <v>1522</v>
      </c>
      <c r="J4" t="n">
        <v>814</v>
      </c>
      <c r="K4" t="n">
        <v>8804</v>
      </c>
      <c r="L4" t="n">
        <v>4371</v>
      </c>
      <c r="M4" t="n">
        <v>49.2</v>
      </c>
      <c r="N4" t="n">
        <v>49.6</v>
      </c>
    </row>
    <row r="5">
      <c r="A5" t="inlineStr">
        <is>
          <t>Kampong Cham</t>
        </is>
      </c>
      <c r="B5" t="n">
        <v>25</v>
      </c>
      <c r="C5" t="n">
        <v>853</v>
      </c>
      <c r="D5" t="n">
        <v>455</v>
      </c>
      <c r="E5" t="n">
        <v>2532</v>
      </c>
      <c r="F5" t="n">
        <v>1213</v>
      </c>
      <c r="G5" t="n">
        <v>407</v>
      </c>
      <c r="H5" t="n">
        <v>192</v>
      </c>
      <c r="I5" t="n">
        <v>218</v>
      </c>
      <c r="J5" t="n">
        <v>109</v>
      </c>
      <c r="K5" t="n">
        <v>4010</v>
      </c>
      <c r="L5" t="n">
        <v>1969</v>
      </c>
      <c r="M5" t="n">
        <v>47.9</v>
      </c>
      <c r="N5" t="n">
        <v>49.1</v>
      </c>
    </row>
    <row r="6">
      <c r="A6" t="inlineStr">
        <is>
          <t>Kampong Chhnang</t>
        </is>
      </c>
      <c r="B6" t="n">
        <v>25</v>
      </c>
      <c r="C6" t="n">
        <v>1532</v>
      </c>
      <c r="D6" t="n">
        <v>736</v>
      </c>
      <c r="E6" t="n">
        <v>1905</v>
      </c>
      <c r="F6" t="n">
        <v>905</v>
      </c>
      <c r="G6" t="n">
        <v>608</v>
      </c>
      <c r="H6" t="n">
        <v>230</v>
      </c>
      <c r="I6" t="n">
        <v>460</v>
      </c>
      <c r="J6" t="n">
        <v>184</v>
      </c>
      <c r="K6" t="n">
        <v>4505</v>
      </c>
      <c r="L6" t="n">
        <v>2055</v>
      </c>
      <c r="M6" t="n">
        <v>47.5</v>
      </c>
      <c r="N6" t="n">
        <v>45.6</v>
      </c>
    </row>
    <row r="7">
      <c r="A7" t="inlineStr">
        <is>
          <t>Kampong Speu</t>
        </is>
      </c>
      <c r="B7" t="n">
        <v>50</v>
      </c>
      <c r="C7" t="n">
        <v>2917</v>
      </c>
      <c r="D7" t="n">
        <v>1514</v>
      </c>
      <c r="E7" t="n">
        <v>4276</v>
      </c>
      <c r="F7" t="n">
        <v>2189</v>
      </c>
      <c r="G7" t="n">
        <v>740</v>
      </c>
      <c r="H7" t="n">
        <v>372</v>
      </c>
      <c r="I7" t="n">
        <v>201</v>
      </c>
      <c r="J7" t="n">
        <v>104</v>
      </c>
      <c r="K7" t="n">
        <v>8134</v>
      </c>
      <c r="L7" t="n">
        <v>4179</v>
      </c>
      <c r="M7" t="n">
        <v>51.2</v>
      </c>
      <c r="N7" t="n">
        <v>51.4</v>
      </c>
    </row>
    <row r="8">
      <c r="A8" t="inlineStr">
        <is>
          <t>Kampong Thom</t>
        </is>
      </c>
      <c r="B8" t="n">
        <v>15</v>
      </c>
      <c r="C8" t="n">
        <v>342</v>
      </c>
      <c r="D8" t="n">
        <v>148</v>
      </c>
      <c r="E8" t="n">
        <v>1049</v>
      </c>
      <c r="F8" t="n">
        <v>467</v>
      </c>
      <c r="G8" t="n">
        <v>210</v>
      </c>
      <c r="H8" t="n">
        <v>89</v>
      </c>
      <c r="I8" t="n">
        <v>98</v>
      </c>
      <c r="J8" t="n">
        <v>50</v>
      </c>
      <c r="K8" t="n">
        <v>1699</v>
      </c>
      <c r="L8" t="n">
        <v>754</v>
      </c>
      <c r="M8" t="n">
        <v>44.5</v>
      </c>
      <c r="N8" t="n">
        <v>44.4</v>
      </c>
    </row>
    <row r="9">
      <c r="A9" t="inlineStr">
        <is>
          <t>Kampot</t>
        </is>
      </c>
      <c r="B9" t="n">
        <v>48</v>
      </c>
      <c r="C9" t="n">
        <v>998</v>
      </c>
      <c r="D9" t="n">
        <v>499</v>
      </c>
      <c r="E9" t="n">
        <v>6234</v>
      </c>
      <c r="F9" t="n">
        <v>3285</v>
      </c>
      <c r="G9" t="n">
        <v>1337</v>
      </c>
      <c r="H9" t="n">
        <v>727</v>
      </c>
      <c r="I9" t="n">
        <v>1019</v>
      </c>
      <c r="J9" t="n">
        <v>511</v>
      </c>
      <c r="K9" t="n">
        <v>9588</v>
      </c>
      <c r="L9" t="n">
        <v>5022</v>
      </c>
      <c r="M9" t="n">
        <v>52.7</v>
      </c>
      <c r="N9" t="n">
        <v>52.4</v>
      </c>
    </row>
    <row r="10">
      <c r="A10" t="inlineStr">
        <is>
          <t>Kandal</t>
        </is>
      </c>
      <c r="B10" t="n">
        <v>63</v>
      </c>
      <c r="C10" t="n">
        <v>1974</v>
      </c>
      <c r="D10" t="n">
        <v>1001</v>
      </c>
      <c r="E10" t="n">
        <v>5683</v>
      </c>
      <c r="F10" t="n">
        <v>2834</v>
      </c>
      <c r="G10" t="n">
        <v>1903</v>
      </c>
      <c r="H10" t="n">
        <v>762</v>
      </c>
      <c r="I10" t="n">
        <v>1137</v>
      </c>
      <c r="J10" t="n">
        <v>522</v>
      </c>
      <c r="K10" t="n">
        <v>10697</v>
      </c>
      <c r="L10" t="n">
        <v>5119</v>
      </c>
      <c r="M10" t="n">
        <v>49.9</v>
      </c>
      <c r="N10" t="n">
        <v>47.9</v>
      </c>
    </row>
    <row r="11">
      <c r="A11" t="inlineStr">
        <is>
          <t>Kep</t>
        </is>
      </c>
      <c r="B11" t="n">
        <v>4</v>
      </c>
      <c r="C11" t="n">
        <v>121</v>
      </c>
      <c r="D11" t="n">
        <v>61</v>
      </c>
      <c r="E11" t="n">
        <v>715</v>
      </c>
      <c r="F11" t="n">
        <v>385</v>
      </c>
      <c r="G11" t="n">
        <v>0</v>
      </c>
      <c r="H11" t="n">
        <v>0</v>
      </c>
      <c r="I11" t="n">
        <v>0</v>
      </c>
      <c r="J11" t="n">
        <v>0</v>
      </c>
      <c r="K11" t="n">
        <v>836</v>
      </c>
      <c r="L11" t="n">
        <v>446</v>
      </c>
      <c r="M11" t="n">
        <v>53.8</v>
      </c>
      <c r="N11" t="n">
        <v>53.3</v>
      </c>
    </row>
    <row r="12">
      <c r="A12" t="inlineStr">
        <is>
          <t>Koh Kong</t>
        </is>
      </c>
      <c r="B12" t="n">
        <v>18</v>
      </c>
      <c r="C12" t="n">
        <v>316</v>
      </c>
      <c r="D12" t="n">
        <v>183</v>
      </c>
      <c r="E12" t="n">
        <v>2594</v>
      </c>
      <c r="F12" t="n">
        <v>1337</v>
      </c>
      <c r="G12" t="n">
        <v>332</v>
      </c>
      <c r="H12" t="n">
        <v>147</v>
      </c>
      <c r="I12" t="n">
        <v>17</v>
      </c>
      <c r="J12" t="n">
        <v>7</v>
      </c>
      <c r="K12" t="n">
        <v>3259</v>
      </c>
      <c r="L12" t="n">
        <v>1674</v>
      </c>
      <c r="M12" t="n">
        <v>51.5</v>
      </c>
      <c r="N12" t="n">
        <v>51.4</v>
      </c>
    </row>
    <row r="13">
      <c r="A13" t="inlineStr">
        <is>
          <t>Kratie</t>
        </is>
      </c>
      <c r="B13" t="n">
        <v>8</v>
      </c>
      <c r="C13" t="n">
        <v>162</v>
      </c>
      <c r="D13" t="n">
        <v>80</v>
      </c>
      <c r="E13" t="n">
        <v>1337</v>
      </c>
      <c r="F13" t="n">
        <v>800</v>
      </c>
      <c r="G13" t="n">
        <v>0</v>
      </c>
      <c r="H13" t="n">
        <v>0</v>
      </c>
      <c r="I13" t="n">
        <v>0</v>
      </c>
      <c r="J13" t="n">
        <v>0</v>
      </c>
      <c r="K13" t="n">
        <v>1499</v>
      </c>
      <c r="L13" t="n">
        <v>880</v>
      </c>
      <c r="M13" t="n">
        <v>59.8</v>
      </c>
      <c r="N13" t="n">
        <v>58.7</v>
      </c>
    </row>
    <row r="14">
      <c r="A14" t="inlineStr">
        <is>
          <t>Mondul Kiri</t>
        </is>
      </c>
      <c r="B14" t="n">
        <v>5</v>
      </c>
      <c r="C14" t="n">
        <v>140</v>
      </c>
      <c r="D14" t="n">
        <v>65</v>
      </c>
      <c r="E14" t="n">
        <v>205</v>
      </c>
      <c r="F14" t="n">
        <v>75</v>
      </c>
      <c r="G14" t="n">
        <v>0</v>
      </c>
      <c r="H14" t="n">
        <v>0</v>
      </c>
      <c r="I14" t="n">
        <v>0</v>
      </c>
      <c r="J14" t="n">
        <v>0</v>
      </c>
      <c r="K14" t="n">
        <v>345</v>
      </c>
      <c r="L14" t="n">
        <v>140</v>
      </c>
      <c r="M14" t="n">
        <v>36.6</v>
      </c>
      <c r="N14" t="n">
        <v>40.6</v>
      </c>
    </row>
    <row r="15">
      <c r="A15" t="inlineStr">
        <is>
          <t>Otdar Meanchey</t>
        </is>
      </c>
      <c r="B15" t="n">
        <v>6</v>
      </c>
      <c r="C15" t="n">
        <v>272</v>
      </c>
      <c r="D15" t="n">
        <v>114</v>
      </c>
      <c r="E15" t="n">
        <v>1201</v>
      </c>
      <c r="F15" t="n">
        <v>548</v>
      </c>
      <c r="G15" t="n">
        <v>0</v>
      </c>
      <c r="H15" t="n">
        <v>0</v>
      </c>
      <c r="I15" t="n">
        <v>0</v>
      </c>
      <c r="J15" t="n">
        <v>0</v>
      </c>
      <c r="K15" t="n">
        <v>1473</v>
      </c>
      <c r="L15" t="n">
        <v>662</v>
      </c>
      <c r="M15" t="n">
        <v>45.6</v>
      </c>
      <c r="N15" t="n">
        <v>44.9</v>
      </c>
    </row>
    <row r="16">
      <c r="A16" t="inlineStr">
        <is>
          <t>Pailin</t>
        </is>
      </c>
      <c r="B16" t="n">
        <v>18</v>
      </c>
      <c r="C16" t="n">
        <v>718</v>
      </c>
      <c r="D16" t="n">
        <v>335</v>
      </c>
      <c r="E16" t="n">
        <v>1527</v>
      </c>
      <c r="F16" t="n">
        <v>763</v>
      </c>
      <c r="G16" t="n">
        <v>0</v>
      </c>
      <c r="H16" t="n">
        <v>0</v>
      </c>
      <c r="I16" t="n">
        <v>0</v>
      </c>
      <c r="J16" t="n">
        <v>0</v>
      </c>
      <c r="K16" t="n">
        <v>2245</v>
      </c>
      <c r="L16" t="n">
        <v>1098</v>
      </c>
      <c r="M16" t="n">
        <v>50</v>
      </c>
      <c r="N16" t="n">
        <v>48.9</v>
      </c>
    </row>
    <row r="17">
      <c r="A17" t="inlineStr">
        <is>
          <t>Phnom Penh</t>
        </is>
      </c>
      <c r="B17" t="n">
        <v>530</v>
      </c>
      <c r="C17" t="n">
        <v>19816</v>
      </c>
      <c r="D17" t="n">
        <v>9839</v>
      </c>
      <c r="E17" t="n">
        <v>57571</v>
      </c>
      <c r="F17" t="n">
        <v>28851</v>
      </c>
      <c r="G17" t="n">
        <v>13823</v>
      </c>
      <c r="H17" t="n">
        <v>6985</v>
      </c>
      <c r="I17" t="n">
        <v>10077</v>
      </c>
      <c r="J17" t="n">
        <v>5102</v>
      </c>
      <c r="K17" t="n">
        <v>101287</v>
      </c>
      <c r="L17" t="n">
        <v>50777</v>
      </c>
      <c r="M17" t="n">
        <v>50.1</v>
      </c>
      <c r="N17" t="n">
        <v>50.1</v>
      </c>
    </row>
    <row r="18">
      <c r="A18" t="inlineStr">
        <is>
          <t>Preah Sihanouk</t>
        </is>
      </c>
      <c r="B18" t="n">
        <v>45</v>
      </c>
      <c r="C18" t="n">
        <v>2542</v>
      </c>
      <c r="D18" t="n">
        <v>1271</v>
      </c>
      <c r="E18" t="n">
        <v>4223</v>
      </c>
      <c r="F18" t="n">
        <v>2029</v>
      </c>
      <c r="G18" t="n">
        <v>1331</v>
      </c>
      <c r="H18" t="n">
        <v>643</v>
      </c>
      <c r="I18" t="n">
        <v>842</v>
      </c>
      <c r="J18" t="n">
        <v>384</v>
      </c>
      <c r="K18" t="n">
        <v>8938</v>
      </c>
      <c r="L18" t="n">
        <v>4327</v>
      </c>
      <c r="M18" t="n">
        <v>48</v>
      </c>
      <c r="N18" t="n">
        <v>48.4</v>
      </c>
    </row>
    <row r="19">
      <c r="A19" t="inlineStr">
        <is>
          <t>Preah Vihear</t>
        </is>
      </c>
      <c r="B19" t="n">
        <v>4</v>
      </c>
      <c r="C19" t="n">
        <v>79</v>
      </c>
      <c r="D19" t="n">
        <v>47</v>
      </c>
      <c r="E19" t="n">
        <v>186</v>
      </c>
      <c r="F19" t="n">
        <v>76</v>
      </c>
      <c r="G19" t="n">
        <v>0</v>
      </c>
      <c r="H19" t="n">
        <v>0</v>
      </c>
      <c r="I19" t="n">
        <v>0</v>
      </c>
      <c r="J19" t="n">
        <v>0</v>
      </c>
      <c r="K19" t="n">
        <v>265</v>
      </c>
      <c r="L19" t="n">
        <v>123</v>
      </c>
      <c r="M19" t="n">
        <v>40.9</v>
      </c>
      <c r="N19" t="n">
        <v>46.4</v>
      </c>
    </row>
    <row r="20">
      <c r="A20" t="inlineStr">
        <is>
          <t>Prey Veng</t>
        </is>
      </c>
      <c r="B20" t="n">
        <v>7</v>
      </c>
      <c r="C20" t="n">
        <v>138</v>
      </c>
      <c r="D20" t="n">
        <v>81</v>
      </c>
      <c r="E20" t="n">
        <v>78</v>
      </c>
      <c r="F20" t="n">
        <v>47</v>
      </c>
      <c r="G20" t="n">
        <v>0</v>
      </c>
      <c r="H20" t="n">
        <v>0</v>
      </c>
      <c r="I20" t="n">
        <v>133</v>
      </c>
      <c r="J20" t="n">
        <v>78</v>
      </c>
      <c r="K20" t="n">
        <v>349</v>
      </c>
      <c r="L20" t="n">
        <v>206</v>
      </c>
      <c r="M20" t="n">
        <v>60.3</v>
      </c>
      <c r="N20" t="n">
        <v>59</v>
      </c>
    </row>
    <row r="21">
      <c r="A21" t="inlineStr">
        <is>
          <t>Pursat</t>
        </is>
      </c>
      <c r="B21" t="n">
        <v>8</v>
      </c>
      <c r="C21" t="n">
        <v>1019</v>
      </c>
      <c r="D21" t="n">
        <v>505</v>
      </c>
      <c r="E21" t="n">
        <v>1031</v>
      </c>
      <c r="F21" t="n">
        <v>559</v>
      </c>
      <c r="G21" t="n">
        <v>0</v>
      </c>
      <c r="H21" t="n">
        <v>0</v>
      </c>
      <c r="I21" t="n">
        <v>0</v>
      </c>
      <c r="J21" t="n">
        <v>0</v>
      </c>
      <c r="K21" t="n">
        <v>2050</v>
      </c>
      <c r="L21" t="n">
        <v>1064</v>
      </c>
      <c r="M21" t="n">
        <v>54.2</v>
      </c>
      <c r="N21" t="n">
        <v>51.9</v>
      </c>
    </row>
    <row r="22">
      <c r="A22" t="inlineStr">
        <is>
          <t>Ratanak Kiri</t>
        </is>
      </c>
      <c r="B22" t="n">
        <v>14</v>
      </c>
      <c r="C22" t="n">
        <v>1269</v>
      </c>
      <c r="D22" t="n">
        <v>415</v>
      </c>
      <c r="E22" t="n">
        <v>1733</v>
      </c>
      <c r="F22" t="n">
        <v>814</v>
      </c>
      <c r="G22" t="n">
        <v>322</v>
      </c>
      <c r="H22" t="n">
        <v>128</v>
      </c>
      <c r="I22" t="n">
        <v>149</v>
      </c>
      <c r="J22" t="n">
        <v>74</v>
      </c>
      <c r="K22" t="n">
        <v>3473</v>
      </c>
      <c r="L22" t="n">
        <v>1431</v>
      </c>
      <c r="M22" t="n">
        <v>47</v>
      </c>
      <c r="N22" t="n">
        <v>41.2</v>
      </c>
    </row>
    <row r="23">
      <c r="A23" t="inlineStr">
        <is>
          <t>Siemreap</t>
        </is>
      </c>
      <c r="B23" t="n">
        <v>102</v>
      </c>
      <c r="C23" t="n">
        <v>6530</v>
      </c>
      <c r="D23" t="n">
        <v>3265</v>
      </c>
      <c r="E23" t="n">
        <v>6197</v>
      </c>
      <c r="F23" t="n">
        <v>2954</v>
      </c>
      <c r="G23" t="n">
        <v>1557</v>
      </c>
      <c r="H23" t="n">
        <v>763</v>
      </c>
      <c r="I23" t="n">
        <v>920</v>
      </c>
      <c r="J23" t="n">
        <v>455</v>
      </c>
      <c r="K23" t="n">
        <v>15204</v>
      </c>
      <c r="L23" t="n">
        <v>7437</v>
      </c>
      <c r="M23" t="n">
        <v>47.7</v>
      </c>
      <c r="N23" t="n">
        <v>48.9</v>
      </c>
    </row>
    <row r="24">
      <c r="A24" t="inlineStr">
        <is>
          <t>Stung Treng</t>
        </is>
      </c>
      <c r="B24" t="n">
        <v>4</v>
      </c>
      <c r="C24" t="n">
        <v>108</v>
      </c>
      <c r="D24" t="n">
        <v>60</v>
      </c>
      <c r="E24" t="n">
        <v>154</v>
      </c>
      <c r="F24" t="n">
        <v>62</v>
      </c>
      <c r="G24" t="n">
        <v>8</v>
      </c>
      <c r="H24" t="n">
        <v>3</v>
      </c>
      <c r="I24" t="n">
        <v>13</v>
      </c>
      <c r="J24" t="n">
        <v>7</v>
      </c>
      <c r="K24" t="n">
        <v>283</v>
      </c>
      <c r="L24" t="n">
        <v>132</v>
      </c>
      <c r="M24" t="n">
        <v>40.3</v>
      </c>
      <c r="N24" t="n">
        <v>46.6</v>
      </c>
    </row>
    <row r="25">
      <c r="A25" t="inlineStr">
        <is>
          <t>Svay Rieng</t>
        </is>
      </c>
      <c r="B25" t="n">
        <v>6</v>
      </c>
      <c r="C25" t="n">
        <v>106</v>
      </c>
      <c r="D25" t="n">
        <v>46</v>
      </c>
      <c r="E25" t="n">
        <v>198</v>
      </c>
      <c r="F25" t="n">
        <v>95</v>
      </c>
      <c r="G25" t="n">
        <v>0</v>
      </c>
      <c r="H25" t="n">
        <v>0</v>
      </c>
      <c r="I25" t="n">
        <v>0</v>
      </c>
      <c r="J25" t="n">
        <v>0</v>
      </c>
      <c r="K25" t="n">
        <v>304</v>
      </c>
      <c r="L25" t="n">
        <v>141</v>
      </c>
      <c r="M25" t="n">
        <v>48</v>
      </c>
      <c r="N25" t="n">
        <v>46.4</v>
      </c>
    </row>
    <row r="26">
      <c r="A26" t="inlineStr">
        <is>
          <t>Takeo</t>
        </is>
      </c>
      <c r="B26" t="n">
        <v>24</v>
      </c>
      <c r="C26" t="n">
        <v>593</v>
      </c>
      <c r="D26" t="n">
        <v>282</v>
      </c>
      <c r="E26" t="n">
        <v>1640</v>
      </c>
      <c r="F26" t="n">
        <v>767</v>
      </c>
      <c r="G26" t="n">
        <v>380</v>
      </c>
      <c r="H26" t="n">
        <v>155</v>
      </c>
      <c r="I26" t="n">
        <v>247</v>
      </c>
      <c r="J26" t="n">
        <v>132</v>
      </c>
      <c r="K26" t="n">
        <v>2860</v>
      </c>
      <c r="L26" t="n">
        <v>1336</v>
      </c>
      <c r="M26" t="n">
        <v>46.8</v>
      </c>
      <c r="N26" t="n">
        <v>46.7</v>
      </c>
    </row>
    <row r="27">
      <c r="A27" t="inlineStr">
        <is>
          <t>Tbaung Khmum</t>
        </is>
      </c>
      <c r="B27" t="n">
        <v>27</v>
      </c>
      <c r="C27" t="n">
        <v>1107</v>
      </c>
      <c r="D27" t="n">
        <v>589</v>
      </c>
      <c r="E27" t="n">
        <v>1937</v>
      </c>
      <c r="F27" t="n">
        <v>1063</v>
      </c>
      <c r="G27" t="n">
        <v>915</v>
      </c>
      <c r="H27" t="n">
        <v>709</v>
      </c>
      <c r="I27" t="n">
        <v>349</v>
      </c>
      <c r="J27" t="n">
        <v>265</v>
      </c>
      <c r="K27" t="n">
        <v>4308</v>
      </c>
      <c r="L27" t="n">
        <v>2626</v>
      </c>
      <c r="M27" t="n">
        <v>54.9</v>
      </c>
      <c r="N27" t="n">
        <v>61</v>
      </c>
    </row>
    <row r="28">
      <c r="A28" t="inlineStr">
        <is>
          <t>Whole Kingdom</t>
        </is>
      </c>
      <c r="B28" t="n">
        <v>1222</v>
      </c>
      <c r="C28" t="n">
        <v>48318</v>
      </c>
      <c r="D28" t="n">
        <v>23849</v>
      </c>
      <c r="E28" t="n">
        <v>122886</v>
      </c>
      <c r="F28" t="n">
        <v>61136</v>
      </c>
      <c r="G28" t="n">
        <v>28451</v>
      </c>
      <c r="H28" t="n">
        <v>14139</v>
      </c>
      <c r="I28" t="n">
        <v>18702</v>
      </c>
      <c r="J28" t="n">
        <v>9456</v>
      </c>
      <c r="K28" t="n">
        <v>218357</v>
      </c>
      <c r="L28" t="n">
        <v>108580</v>
      </c>
      <c r="M28" t="n">
        <v>49.8</v>
      </c>
      <c r="N28" t="n">
        <v>49.7</v>
      </c>
    </row>
    <row r="29">
      <c r="A29" t="inlineStr">
        <is>
          <t>- Urban Area</t>
        </is>
      </c>
      <c r="B29" t="n">
        <v>994</v>
      </c>
      <c r="C29" t="n">
        <v>41048</v>
      </c>
      <c r="D29" t="n">
        <v>20118</v>
      </c>
      <c r="E29" t="n">
        <v>100436</v>
      </c>
      <c r="F29" t="n">
        <v>49709</v>
      </c>
      <c r="G29" t="n">
        <v>24293</v>
      </c>
      <c r="H29" t="n">
        <v>12017</v>
      </c>
      <c r="I29" t="n">
        <v>17069</v>
      </c>
      <c r="J29" t="n">
        <v>8637</v>
      </c>
      <c r="K29" t="n">
        <v>182846</v>
      </c>
      <c r="L29" t="n">
        <v>90481</v>
      </c>
      <c r="M29" t="n">
        <v>49.5</v>
      </c>
      <c r="N29" t="n">
        <v>49.5</v>
      </c>
    </row>
    <row r="30">
      <c r="A30" t="inlineStr">
        <is>
          <t>- Rural Area</t>
        </is>
      </c>
      <c r="B30" t="n">
        <v>228</v>
      </c>
      <c r="C30" t="n">
        <v>7270</v>
      </c>
      <c r="D30" t="n">
        <v>3731</v>
      </c>
      <c r="E30" t="n">
        <v>22450</v>
      </c>
      <c r="F30" t="n">
        <v>11427</v>
      </c>
      <c r="G30" t="n">
        <v>4158</v>
      </c>
      <c r="H30" t="n">
        <v>2122</v>
      </c>
      <c r="I30" t="n">
        <v>1633</v>
      </c>
      <c r="J30" t="n">
        <v>819</v>
      </c>
      <c r="K30" t="n">
        <v>35511</v>
      </c>
      <c r="L30" t="n">
        <v>18099</v>
      </c>
      <c r="M30" t="n">
        <v>50.9</v>
      </c>
      <c r="N30" t="n">
        <v>51</v>
      </c>
    </row>
  </sheetData>
  <mergeCells count="8">
    <mergeCell ref="C1:D1"/>
    <mergeCell ref="G1:H1"/>
    <mergeCell ref="E1:F1"/>
    <mergeCell ref="K1:L1"/>
    <mergeCell ref="B1:B2"/>
    <mergeCell ref="M1:N1"/>
    <mergeCell ref="I1:J1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B9BD5"/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21.83203125" customWidth="1" min="1" max="1"/>
    <col width="12" customWidth="1" min="2" max="2"/>
    <col width="10.83203125" customWidth="1" min="3" max="3"/>
    <col width="10.6640625" customWidth="1" min="4" max="4"/>
    <col width="10.83203125" customWidth="1" min="5" max="5"/>
    <col width="10.6640625" customWidth="1" min="6" max="6"/>
    <col width="10.83203125" customWidth="1" min="8" max="8"/>
    <col width="10.6640625" customWidth="1" min="9" max="9"/>
    <col width="10.83203125" customWidth="1" min="10" max="10"/>
    <col width="10.6640625" customWidth="1" min="11" max="11"/>
    <col width="10.83203125" customWidth="1" min="13" max="13"/>
    <col width="10.6640625" customWidth="1" min="14" max="14"/>
  </cols>
  <sheetData>
    <row r="1">
      <c r="A1" t="inlineStr">
        <is>
          <t>Province</t>
        </is>
      </c>
      <c r="B1" t="inlineStr">
        <is>
          <t>Number of
Schools</t>
        </is>
      </c>
      <c r="C1" t="inlineStr">
        <is>
          <t>Pre-School</t>
        </is>
      </c>
      <c r="E1" t="inlineStr">
        <is>
          <t>Primary</t>
        </is>
      </c>
      <c r="G1" t="inlineStr">
        <is>
          <t>Lower Sec.</t>
        </is>
      </c>
      <c r="I1" t="inlineStr">
        <is>
          <t>Upper Sec.</t>
        </is>
      </c>
      <c r="K1" t="inlineStr">
        <is>
          <t>Total</t>
        </is>
      </c>
      <c r="M1" t="inlineStr">
        <is>
          <t>%Female</t>
        </is>
      </c>
    </row>
    <row r="2">
      <c r="C2" t="inlineStr">
        <is>
          <t>Total</t>
        </is>
      </c>
      <c r="D2" t="inlineStr">
        <is>
          <t>Girl</t>
        </is>
      </c>
      <c r="E2" t="inlineStr">
        <is>
          <t>Total</t>
        </is>
      </c>
      <c r="F2" t="inlineStr">
        <is>
          <t>Girl</t>
        </is>
      </c>
      <c r="G2" t="inlineStr">
        <is>
          <t>Total</t>
        </is>
      </c>
      <c r="H2" t="inlineStr">
        <is>
          <t>Girl</t>
        </is>
      </c>
      <c r="I2" t="inlineStr">
        <is>
          <t>Total</t>
        </is>
      </c>
      <c r="J2" t="inlineStr">
        <is>
          <t>Girl</t>
        </is>
      </c>
      <c r="K2" t="inlineStr">
        <is>
          <t>Total</t>
        </is>
      </c>
      <c r="L2" t="inlineStr">
        <is>
          <t>Girl</t>
        </is>
      </c>
      <c r="M2" t="inlineStr">
        <is>
          <t>Primary</t>
        </is>
      </c>
      <c r="N2" t="inlineStr">
        <is>
          <t>All Level</t>
        </is>
      </c>
    </row>
    <row r="3">
      <c r="A3" t="inlineStr">
        <is>
          <t>Banteay Meanchey</t>
        </is>
      </c>
      <c r="B3" t="n">
        <v>133</v>
      </c>
      <c r="C3" t="n">
        <v>4017</v>
      </c>
      <c r="D3" t="n">
        <v>2003</v>
      </c>
      <c r="E3" t="n">
        <v>14259</v>
      </c>
      <c r="F3" t="n">
        <v>6901</v>
      </c>
      <c r="G3" t="n">
        <v>3398</v>
      </c>
      <c r="H3" t="n">
        <v>1729</v>
      </c>
      <c r="I3" t="n">
        <v>1642</v>
      </c>
      <c r="J3" t="n">
        <v>825</v>
      </c>
      <c r="K3" t="n">
        <v>23316</v>
      </c>
      <c r="L3" t="n">
        <v>11458</v>
      </c>
      <c r="M3" t="n">
        <v>48.4</v>
      </c>
      <c r="N3" t="n">
        <v>49.1</v>
      </c>
    </row>
    <row r="4">
      <c r="A4" t="inlineStr">
        <is>
          <t>Battambang</t>
        </is>
      </c>
      <c r="B4" t="n">
        <v>52</v>
      </c>
      <c r="C4" t="n">
        <v>2070</v>
      </c>
      <c r="D4" t="n">
        <v>1008</v>
      </c>
      <c r="E4" t="n">
        <v>3966</v>
      </c>
      <c r="F4" t="n">
        <v>1859</v>
      </c>
      <c r="G4" t="n">
        <v>1488</v>
      </c>
      <c r="H4" t="n">
        <v>741</v>
      </c>
      <c r="I4" t="n">
        <v>1468</v>
      </c>
      <c r="J4" t="n">
        <v>765</v>
      </c>
      <c r="K4" t="n">
        <v>8992</v>
      </c>
      <c r="L4" t="n">
        <v>4373</v>
      </c>
      <c r="M4" t="n">
        <v>46.9</v>
      </c>
      <c r="N4" t="n">
        <v>48.6</v>
      </c>
    </row>
    <row r="5">
      <c r="A5" t="inlineStr">
        <is>
          <t>Kampong Cham</t>
        </is>
      </c>
      <c r="B5" t="n">
        <v>29</v>
      </c>
      <c r="C5" t="n">
        <v>1462</v>
      </c>
      <c r="D5" t="n">
        <v>786</v>
      </c>
      <c r="E5" t="n">
        <v>2598</v>
      </c>
      <c r="F5" t="n">
        <v>1215</v>
      </c>
      <c r="G5" t="n">
        <v>491</v>
      </c>
      <c r="H5" t="n">
        <v>251</v>
      </c>
      <c r="I5" t="n">
        <v>219</v>
      </c>
      <c r="J5" t="n">
        <v>105</v>
      </c>
      <c r="K5" t="n">
        <v>4770</v>
      </c>
      <c r="L5" t="n">
        <v>2357</v>
      </c>
      <c r="M5" t="n">
        <v>46.8</v>
      </c>
      <c r="N5" t="n">
        <v>49.4</v>
      </c>
    </row>
    <row r="6">
      <c r="A6" t="inlineStr">
        <is>
          <t>Kampong Chhnang</t>
        </is>
      </c>
      <c r="B6" t="n">
        <v>25</v>
      </c>
      <c r="C6" t="n">
        <v>1324</v>
      </c>
      <c r="D6" t="n">
        <v>628</v>
      </c>
      <c r="E6" t="n">
        <v>2041</v>
      </c>
      <c r="F6" t="n">
        <v>969</v>
      </c>
      <c r="G6" t="n">
        <v>547</v>
      </c>
      <c r="H6" t="n">
        <v>217</v>
      </c>
      <c r="I6" t="n">
        <v>344</v>
      </c>
      <c r="J6" t="n">
        <v>126</v>
      </c>
      <c r="K6" t="n">
        <v>4256</v>
      </c>
      <c r="L6" t="n">
        <v>1940</v>
      </c>
      <c r="M6" t="n">
        <v>47.5</v>
      </c>
      <c r="N6" t="n">
        <v>45.6</v>
      </c>
    </row>
    <row r="7">
      <c r="A7" t="inlineStr">
        <is>
          <t>Kampong Speu</t>
        </is>
      </c>
      <c r="B7" t="n">
        <v>64</v>
      </c>
      <c r="C7" t="n">
        <v>2857</v>
      </c>
      <c r="D7" t="n">
        <v>1503</v>
      </c>
      <c r="E7" t="n">
        <v>4514</v>
      </c>
      <c r="F7" t="n">
        <v>2275</v>
      </c>
      <c r="G7" t="n">
        <v>689</v>
      </c>
      <c r="H7" t="n">
        <v>374</v>
      </c>
      <c r="I7" t="n">
        <v>200</v>
      </c>
      <c r="J7" t="n">
        <v>120</v>
      </c>
      <c r="K7" t="n">
        <v>8260</v>
      </c>
      <c r="L7" t="n">
        <v>4272</v>
      </c>
      <c r="M7" t="n">
        <v>50.4</v>
      </c>
      <c r="N7" t="n">
        <v>51.7</v>
      </c>
    </row>
    <row r="8">
      <c r="A8" t="inlineStr">
        <is>
          <t>Kampong Thom</t>
        </is>
      </c>
      <c r="B8" t="n">
        <v>34</v>
      </c>
      <c r="C8" t="n">
        <v>638</v>
      </c>
      <c r="D8" t="n">
        <v>312</v>
      </c>
      <c r="E8" t="n">
        <v>1675</v>
      </c>
      <c r="F8" t="n">
        <v>832</v>
      </c>
      <c r="G8" t="n">
        <v>239</v>
      </c>
      <c r="H8" t="n">
        <v>103</v>
      </c>
      <c r="I8" t="n">
        <v>106</v>
      </c>
      <c r="J8" t="n">
        <v>51</v>
      </c>
      <c r="K8" t="n">
        <v>2658</v>
      </c>
      <c r="L8" t="n">
        <v>1298</v>
      </c>
      <c r="M8" t="n">
        <v>49.7</v>
      </c>
      <c r="N8" t="n">
        <v>48.8</v>
      </c>
    </row>
    <row r="9">
      <c r="A9" t="inlineStr">
        <is>
          <t>Kampot</t>
        </is>
      </c>
      <c r="B9" t="n">
        <v>47</v>
      </c>
      <c r="C9" t="n">
        <v>1252</v>
      </c>
      <c r="D9" t="n">
        <v>586</v>
      </c>
      <c r="E9" t="n">
        <v>6818</v>
      </c>
      <c r="F9" t="n">
        <v>3562</v>
      </c>
      <c r="G9" t="n">
        <v>1609</v>
      </c>
      <c r="H9" t="n">
        <v>850</v>
      </c>
      <c r="I9" t="n">
        <v>1225</v>
      </c>
      <c r="J9" t="n">
        <v>612</v>
      </c>
      <c r="K9" t="n">
        <v>10904</v>
      </c>
      <c r="L9" t="n">
        <v>5610</v>
      </c>
      <c r="M9" t="n">
        <v>52.2</v>
      </c>
      <c r="N9" t="n">
        <v>51.4</v>
      </c>
    </row>
    <row r="10">
      <c r="A10" t="inlineStr">
        <is>
          <t>Kandal</t>
        </is>
      </c>
      <c r="B10" t="n">
        <v>68</v>
      </c>
      <c r="C10" t="n">
        <v>2931</v>
      </c>
      <c r="D10" t="n">
        <v>1531</v>
      </c>
      <c r="E10" t="n">
        <v>5593</v>
      </c>
      <c r="F10" t="n">
        <v>2957</v>
      </c>
      <c r="G10" t="n">
        <v>1731</v>
      </c>
      <c r="H10" t="n">
        <v>974</v>
      </c>
      <c r="I10" t="n">
        <v>1147</v>
      </c>
      <c r="J10" t="n">
        <v>617</v>
      </c>
      <c r="K10" t="n">
        <v>11402</v>
      </c>
      <c r="L10" t="n">
        <v>6079</v>
      </c>
      <c r="M10" t="n">
        <v>52.9</v>
      </c>
      <c r="N10" t="n">
        <v>53.3</v>
      </c>
    </row>
    <row r="11">
      <c r="A11" t="inlineStr">
        <is>
          <t>Kep</t>
        </is>
      </c>
      <c r="B11" t="n">
        <v>4</v>
      </c>
      <c r="C11" t="n">
        <v>165</v>
      </c>
      <c r="D11" t="n">
        <v>99</v>
      </c>
      <c r="E11" t="n">
        <v>781</v>
      </c>
      <c r="F11" t="n">
        <v>446</v>
      </c>
      <c r="G11" t="n">
        <v>0</v>
      </c>
      <c r="H11" t="n">
        <v>0</v>
      </c>
      <c r="I11" t="n">
        <v>0</v>
      </c>
      <c r="J11" t="n">
        <v>0</v>
      </c>
      <c r="K11" t="n">
        <v>946</v>
      </c>
      <c r="L11" t="n">
        <v>545</v>
      </c>
      <c r="M11" t="n">
        <v>57.1</v>
      </c>
      <c r="N11" t="n">
        <v>57.6</v>
      </c>
    </row>
    <row r="12">
      <c r="A12" t="inlineStr">
        <is>
          <t>Koh Kong</t>
        </is>
      </c>
      <c r="B12" t="n">
        <v>29</v>
      </c>
      <c r="C12" t="n">
        <v>1176</v>
      </c>
      <c r="D12" t="n">
        <v>613</v>
      </c>
      <c r="E12" t="n">
        <v>2563</v>
      </c>
      <c r="F12" t="n">
        <v>1281</v>
      </c>
      <c r="G12" t="n">
        <v>374</v>
      </c>
      <c r="H12" t="n">
        <v>199</v>
      </c>
      <c r="I12" t="n">
        <v>20</v>
      </c>
      <c r="J12" t="n">
        <v>8</v>
      </c>
      <c r="K12" t="n">
        <v>4133</v>
      </c>
      <c r="L12" t="n">
        <v>2101</v>
      </c>
      <c r="M12" t="n">
        <v>50</v>
      </c>
      <c r="N12" t="n">
        <v>50.8</v>
      </c>
    </row>
    <row r="13">
      <c r="A13" t="inlineStr">
        <is>
          <t>Kratie</t>
        </is>
      </c>
      <c r="B13" t="n">
        <v>8</v>
      </c>
      <c r="C13" t="n">
        <v>198</v>
      </c>
      <c r="D13" t="n">
        <v>87</v>
      </c>
      <c r="E13" t="n">
        <v>397</v>
      </c>
      <c r="F13" t="n">
        <v>253</v>
      </c>
      <c r="G13" t="n">
        <v>66</v>
      </c>
      <c r="H13" t="n">
        <v>31</v>
      </c>
      <c r="I13" t="n">
        <v>45</v>
      </c>
      <c r="J13" t="n">
        <v>24</v>
      </c>
      <c r="K13" t="n">
        <v>706</v>
      </c>
      <c r="L13" t="n">
        <v>395</v>
      </c>
      <c r="M13" t="n">
        <v>63.7</v>
      </c>
      <c r="N13" t="n">
        <v>55.9</v>
      </c>
    </row>
    <row r="14">
      <c r="A14" t="inlineStr">
        <is>
          <t>Mondul Kiri</t>
        </is>
      </c>
      <c r="B14" t="n">
        <v>8</v>
      </c>
      <c r="C14" t="n">
        <v>177</v>
      </c>
      <c r="D14" t="n">
        <v>90</v>
      </c>
      <c r="E14" t="n">
        <v>219</v>
      </c>
      <c r="F14" t="n">
        <v>95</v>
      </c>
      <c r="G14" t="n">
        <v>10</v>
      </c>
      <c r="H14" t="n">
        <v>5</v>
      </c>
      <c r="I14" t="n">
        <v>0</v>
      </c>
      <c r="J14" t="n">
        <v>0</v>
      </c>
      <c r="K14" t="n">
        <v>406</v>
      </c>
      <c r="L14" t="n">
        <v>190</v>
      </c>
      <c r="M14" t="n">
        <v>43.4</v>
      </c>
      <c r="N14" t="n">
        <v>46.8</v>
      </c>
    </row>
    <row r="15">
      <c r="A15" t="inlineStr">
        <is>
          <t>Otdar Meanchey</t>
        </is>
      </c>
      <c r="B15" t="n">
        <v>6</v>
      </c>
      <c r="C15" t="n">
        <v>318</v>
      </c>
      <c r="D15" t="n">
        <v>152</v>
      </c>
      <c r="E15" t="n">
        <v>1043</v>
      </c>
      <c r="F15" t="n">
        <v>473</v>
      </c>
      <c r="G15" t="n">
        <v>0</v>
      </c>
      <c r="H15" t="n">
        <v>0</v>
      </c>
      <c r="I15" t="n">
        <v>0</v>
      </c>
      <c r="J15" t="n">
        <v>0</v>
      </c>
      <c r="K15" t="n">
        <v>1361</v>
      </c>
      <c r="L15" t="n">
        <v>625</v>
      </c>
      <c r="M15" t="n">
        <v>45.3</v>
      </c>
      <c r="N15" t="n">
        <v>45.9</v>
      </c>
    </row>
    <row r="16">
      <c r="A16" t="inlineStr">
        <is>
          <t>Pailin</t>
        </is>
      </c>
      <c r="B16" t="n">
        <v>20</v>
      </c>
      <c r="C16" t="n">
        <v>674</v>
      </c>
      <c r="D16" t="n">
        <v>307</v>
      </c>
      <c r="E16" t="n">
        <v>1726</v>
      </c>
      <c r="F16" t="n">
        <v>849</v>
      </c>
      <c r="G16" t="n">
        <v>0</v>
      </c>
      <c r="H16" t="n">
        <v>0</v>
      </c>
      <c r="I16" t="n">
        <v>0</v>
      </c>
      <c r="J16" t="n">
        <v>0</v>
      </c>
      <c r="K16" t="n">
        <v>2400</v>
      </c>
      <c r="L16" t="n">
        <v>1156</v>
      </c>
      <c r="M16" t="n">
        <v>49.2</v>
      </c>
      <c r="N16" t="n">
        <v>48.2</v>
      </c>
    </row>
    <row r="17">
      <c r="A17" t="inlineStr">
        <is>
          <t>Phnom Penh</t>
        </is>
      </c>
      <c r="B17" t="n">
        <v>638</v>
      </c>
      <c r="C17" t="n">
        <v>24271</v>
      </c>
      <c r="D17" t="n">
        <v>11988</v>
      </c>
      <c r="E17" t="n">
        <v>74042</v>
      </c>
      <c r="F17" t="n">
        <v>36496</v>
      </c>
      <c r="G17" t="n">
        <v>20812</v>
      </c>
      <c r="H17" t="n">
        <v>10519</v>
      </c>
      <c r="I17" t="n">
        <v>14684</v>
      </c>
      <c r="J17" t="n">
        <v>7568</v>
      </c>
      <c r="K17" t="n">
        <v>133809</v>
      </c>
      <c r="L17" t="n">
        <v>66571</v>
      </c>
      <c r="M17" t="n">
        <v>49.3</v>
      </c>
      <c r="N17" t="n">
        <v>49.8</v>
      </c>
    </row>
    <row r="18">
      <c r="A18" t="inlineStr">
        <is>
          <t>Preah Sihanouk</t>
        </is>
      </c>
      <c r="B18" t="n">
        <v>48</v>
      </c>
      <c r="C18" t="n">
        <v>1982</v>
      </c>
      <c r="D18" t="n">
        <v>893</v>
      </c>
      <c r="E18" t="n">
        <v>3964</v>
      </c>
      <c r="F18" t="n">
        <v>1866</v>
      </c>
      <c r="G18" t="n">
        <v>1211</v>
      </c>
      <c r="H18" t="n">
        <v>576</v>
      </c>
      <c r="I18" t="n">
        <v>805</v>
      </c>
      <c r="J18" t="n">
        <v>374</v>
      </c>
      <c r="K18" t="n">
        <v>7962</v>
      </c>
      <c r="L18" t="n">
        <v>3709</v>
      </c>
      <c r="M18" t="n">
        <v>47.1</v>
      </c>
      <c r="N18" t="n">
        <v>46.6</v>
      </c>
    </row>
    <row r="19">
      <c r="A19" t="inlineStr">
        <is>
          <t>Preah Vihear</t>
        </is>
      </c>
      <c r="B19" t="n">
        <v>4</v>
      </c>
      <c r="C19" t="n">
        <v>60</v>
      </c>
      <c r="D19" t="n">
        <v>35</v>
      </c>
      <c r="E19" t="n">
        <v>157</v>
      </c>
      <c r="F19" t="n">
        <v>70</v>
      </c>
      <c r="G19" t="n">
        <v>0</v>
      </c>
      <c r="H19" t="n">
        <v>0</v>
      </c>
      <c r="I19" t="n">
        <v>0</v>
      </c>
      <c r="J19" t="n">
        <v>0</v>
      </c>
      <c r="K19" t="n">
        <v>217</v>
      </c>
      <c r="L19" t="n">
        <v>105</v>
      </c>
      <c r="M19" t="n">
        <v>44.6</v>
      </c>
      <c r="N19" t="n">
        <v>48.4</v>
      </c>
    </row>
    <row r="20">
      <c r="A20" t="inlineStr">
        <is>
          <t>Prey Veng</t>
        </is>
      </c>
      <c r="B20" t="n">
        <v>7</v>
      </c>
      <c r="C20" t="n">
        <v>177</v>
      </c>
      <c r="D20" t="n">
        <v>71</v>
      </c>
      <c r="E20" t="n">
        <v>243</v>
      </c>
      <c r="F20" t="n">
        <v>92</v>
      </c>
      <c r="G20" t="n">
        <v>0</v>
      </c>
      <c r="H20" t="n">
        <v>0</v>
      </c>
      <c r="I20" t="n">
        <v>132</v>
      </c>
      <c r="J20" t="n">
        <v>76</v>
      </c>
      <c r="K20" t="n">
        <v>552</v>
      </c>
      <c r="L20" t="n">
        <v>239</v>
      </c>
      <c r="M20" t="n">
        <v>37.9</v>
      </c>
      <c r="N20" t="n">
        <v>43.3</v>
      </c>
    </row>
    <row r="21">
      <c r="A21" t="inlineStr">
        <is>
          <t>Pursat</t>
        </is>
      </c>
      <c r="B21" t="n">
        <v>11</v>
      </c>
      <c r="C21" t="n">
        <v>693</v>
      </c>
      <c r="D21" t="n">
        <v>321</v>
      </c>
      <c r="E21" t="n">
        <v>713</v>
      </c>
      <c r="F21" t="n">
        <v>364</v>
      </c>
      <c r="G21" t="n">
        <v>0</v>
      </c>
      <c r="H21" t="n">
        <v>0</v>
      </c>
      <c r="I21" t="n">
        <v>0</v>
      </c>
      <c r="J21" t="n">
        <v>0</v>
      </c>
      <c r="K21" t="n">
        <v>1406</v>
      </c>
      <c r="L21" t="n">
        <v>685</v>
      </c>
      <c r="M21" t="n">
        <v>51.1</v>
      </c>
      <c r="N21" t="n">
        <v>48.7</v>
      </c>
    </row>
    <row r="22">
      <c r="A22" t="inlineStr">
        <is>
          <t>Ratanak Kiri</t>
        </is>
      </c>
      <c r="B22" t="n">
        <v>13</v>
      </c>
      <c r="C22" t="n">
        <v>993</v>
      </c>
      <c r="D22" t="n">
        <v>467</v>
      </c>
      <c r="E22" t="n">
        <v>1498</v>
      </c>
      <c r="F22" t="n">
        <v>734</v>
      </c>
      <c r="G22" t="n">
        <v>319</v>
      </c>
      <c r="H22" t="n">
        <v>135</v>
      </c>
      <c r="I22" t="n">
        <v>161</v>
      </c>
      <c r="J22" t="n">
        <v>71</v>
      </c>
      <c r="K22" t="n">
        <v>2971</v>
      </c>
      <c r="L22" t="n">
        <v>1407</v>
      </c>
      <c r="M22" t="n">
        <v>49</v>
      </c>
      <c r="N22" t="n">
        <v>47.4</v>
      </c>
    </row>
    <row r="23">
      <c r="A23" t="inlineStr">
        <is>
          <t>Siemreap</t>
        </is>
      </c>
      <c r="B23" t="n">
        <v>83</v>
      </c>
      <c r="C23" t="n">
        <v>5723</v>
      </c>
      <c r="D23" t="n">
        <v>2961</v>
      </c>
      <c r="E23" t="n">
        <v>4863</v>
      </c>
      <c r="F23" t="n">
        <v>2435</v>
      </c>
      <c r="G23" t="n">
        <v>1233</v>
      </c>
      <c r="H23" t="n">
        <v>625</v>
      </c>
      <c r="I23" t="n">
        <v>685</v>
      </c>
      <c r="J23" t="n">
        <v>297</v>
      </c>
      <c r="K23" t="n">
        <v>12504</v>
      </c>
      <c r="L23" t="n">
        <v>6318</v>
      </c>
      <c r="M23" t="n">
        <v>50.1</v>
      </c>
      <c r="N23" t="n">
        <v>50.5</v>
      </c>
    </row>
    <row r="24">
      <c r="A24" t="inlineStr">
        <is>
          <t>Stung Treng</t>
        </is>
      </c>
      <c r="B24" t="n">
        <v>11</v>
      </c>
      <c r="C24" t="n">
        <v>466</v>
      </c>
      <c r="D24" t="n">
        <v>245</v>
      </c>
      <c r="E24" t="n">
        <v>320</v>
      </c>
      <c r="F24" t="n">
        <v>145</v>
      </c>
      <c r="G24" t="n">
        <v>73</v>
      </c>
      <c r="H24" t="n">
        <v>40</v>
      </c>
      <c r="I24" t="n">
        <v>4</v>
      </c>
      <c r="J24" t="n">
        <v>2</v>
      </c>
      <c r="K24" t="n">
        <v>863</v>
      </c>
      <c r="L24" t="n">
        <v>432</v>
      </c>
      <c r="M24" t="n">
        <v>45.3</v>
      </c>
      <c r="N24" t="n">
        <v>50.1</v>
      </c>
    </row>
    <row r="25">
      <c r="A25" t="inlineStr">
        <is>
          <t>Svay Rieng</t>
        </is>
      </c>
      <c r="B25" t="n">
        <v>13</v>
      </c>
      <c r="C25" t="n">
        <v>380</v>
      </c>
      <c r="D25" t="n">
        <v>189</v>
      </c>
      <c r="E25" t="n">
        <v>473</v>
      </c>
      <c r="F25" t="n">
        <v>255</v>
      </c>
      <c r="G25" t="n">
        <v>0</v>
      </c>
      <c r="H25" t="n">
        <v>0</v>
      </c>
      <c r="I25" t="n">
        <v>0</v>
      </c>
      <c r="J25" t="n">
        <v>0</v>
      </c>
      <c r="K25" t="n">
        <v>853</v>
      </c>
      <c r="L25" t="n">
        <v>444</v>
      </c>
      <c r="M25" t="n">
        <v>53.9</v>
      </c>
      <c r="N25" t="n">
        <v>52.1</v>
      </c>
    </row>
    <row r="26">
      <c r="A26" t="inlineStr">
        <is>
          <t>Takeo</t>
        </is>
      </c>
      <c r="B26" t="n">
        <v>40</v>
      </c>
      <c r="C26" t="n">
        <v>1180</v>
      </c>
      <c r="D26" t="n">
        <v>565</v>
      </c>
      <c r="E26" t="n">
        <v>1105</v>
      </c>
      <c r="F26" t="n">
        <v>527</v>
      </c>
      <c r="G26" t="n">
        <v>702</v>
      </c>
      <c r="H26" t="n">
        <v>329</v>
      </c>
      <c r="I26" t="n">
        <v>570</v>
      </c>
      <c r="J26" t="n">
        <v>266</v>
      </c>
      <c r="K26" t="n">
        <v>3557</v>
      </c>
      <c r="L26" t="n">
        <v>1687</v>
      </c>
      <c r="M26" t="n">
        <v>47.7</v>
      </c>
      <c r="N26" t="n">
        <v>47.4</v>
      </c>
    </row>
    <row r="27">
      <c r="A27" t="inlineStr">
        <is>
          <t>Tbaung Khmum</t>
        </is>
      </c>
      <c r="B27" t="n">
        <v>31</v>
      </c>
      <c r="C27" t="n">
        <v>820</v>
      </c>
      <c r="D27" t="n">
        <v>391</v>
      </c>
      <c r="E27" t="n">
        <v>2066</v>
      </c>
      <c r="F27" t="n">
        <v>1043</v>
      </c>
      <c r="G27" t="n">
        <v>1095</v>
      </c>
      <c r="H27" t="n">
        <v>848</v>
      </c>
      <c r="I27" t="n">
        <v>384</v>
      </c>
      <c r="J27" t="n">
        <v>302</v>
      </c>
      <c r="K27" t="n">
        <v>4365</v>
      </c>
      <c r="L27" t="n">
        <v>2584</v>
      </c>
      <c r="M27" t="n">
        <v>50.5</v>
      </c>
      <c r="N27" t="n">
        <v>59.2</v>
      </c>
    </row>
    <row r="28">
      <c r="A28" t="inlineStr">
        <is>
          <t>Whole Kingdom</t>
        </is>
      </c>
      <c r="B28" t="n">
        <v>1426</v>
      </c>
      <c r="C28" t="n">
        <v>56004</v>
      </c>
      <c r="D28" t="n">
        <v>27831</v>
      </c>
      <c r="E28" t="n">
        <v>137637</v>
      </c>
      <c r="F28" t="n">
        <v>67994</v>
      </c>
      <c r="G28" t="n">
        <v>36087</v>
      </c>
      <c r="H28" t="n">
        <v>18546</v>
      </c>
      <c r="I28" t="n">
        <v>23841</v>
      </c>
      <c r="J28" t="n">
        <v>12209</v>
      </c>
      <c r="K28" t="n">
        <v>253569</v>
      </c>
      <c r="L28" t="n">
        <v>126580</v>
      </c>
      <c r="M28" t="n">
        <v>49.4</v>
      </c>
      <c r="N28" t="n">
        <v>49.9</v>
      </c>
    </row>
    <row r="29">
      <c r="A29" t="inlineStr">
        <is>
          <t>- Urban Area</t>
        </is>
      </c>
      <c r="B29" t="n">
        <v>1131</v>
      </c>
      <c r="C29" t="n">
        <v>45250</v>
      </c>
      <c r="D29" t="n">
        <v>22271</v>
      </c>
      <c r="E29" t="n">
        <v>115350</v>
      </c>
      <c r="F29" t="n">
        <v>56699</v>
      </c>
      <c r="G29" t="n">
        <v>31540</v>
      </c>
      <c r="H29" t="n">
        <v>15924</v>
      </c>
      <c r="I29" t="n">
        <v>21864</v>
      </c>
      <c r="J29" t="n">
        <v>11134</v>
      </c>
      <c r="K29" t="n">
        <v>214004</v>
      </c>
      <c r="L29" t="n">
        <v>106028</v>
      </c>
      <c r="M29" t="n">
        <v>49.2</v>
      </c>
      <c r="N29" t="n">
        <v>49.5</v>
      </c>
    </row>
    <row r="30">
      <c r="A30" t="inlineStr">
        <is>
          <t>- Rural Area</t>
        </is>
      </c>
      <c r="B30" t="n">
        <v>295</v>
      </c>
      <c r="C30" t="n">
        <v>10754</v>
      </c>
      <c r="D30" t="n">
        <v>5560</v>
      </c>
      <c r="E30" t="n">
        <v>22287</v>
      </c>
      <c r="F30" t="n">
        <v>11295</v>
      </c>
      <c r="G30" t="n">
        <v>4547</v>
      </c>
      <c r="H30" t="n">
        <v>2622</v>
      </c>
      <c r="I30" t="n">
        <v>1977</v>
      </c>
      <c r="J30" t="n">
        <v>1075</v>
      </c>
      <c r="K30" t="n">
        <v>39565</v>
      </c>
      <c r="L30" t="n">
        <v>20552</v>
      </c>
      <c r="M30" t="n">
        <v>50.7</v>
      </c>
      <c r="N30" t="n">
        <v>51.9</v>
      </c>
    </row>
  </sheetData>
  <mergeCells count="8">
    <mergeCell ref="C1:D1"/>
    <mergeCell ref="G1:H1"/>
    <mergeCell ref="E1:F1"/>
    <mergeCell ref="K1:L1"/>
    <mergeCell ref="B1:B2"/>
    <mergeCell ref="M1:N1"/>
    <mergeCell ref="I1:J1"/>
    <mergeCell ref="A1: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B9BD5"/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18" customWidth="1" min="1" max="1"/>
    <col width="9.5" customWidth="1" min="2" max="2"/>
    <col width="9.83203125" customWidth="1" min="4" max="4"/>
    <col width="9.5" customWidth="1" min="5" max="5"/>
    <col width="9.33203125" customWidth="1" min="6" max="6"/>
    <col width="8.83203125" customWidth="1" min="7" max="7"/>
    <col width="9.33203125" customWidth="1" min="9" max="9"/>
    <col width="9.83203125" customWidth="1" min="10" max="10"/>
    <col width="10" customWidth="1" min="12" max="12"/>
    <col width="9.83203125" customWidth="1" min="13" max="13"/>
    <col width="10.1640625" customWidth="1" min="14" max="14"/>
    <col width="10.5" customWidth="1" min="15" max="15"/>
    <col width="10.1640625" customWidth="1" min="16" max="16"/>
  </cols>
  <sheetData>
    <row r="1">
      <c r="A1" t="inlineStr">
        <is>
          <t>Province</t>
        </is>
      </c>
      <c r="B1" t="inlineStr">
        <is>
          <t>Grade 1</t>
        </is>
      </c>
      <c r="D1" t="inlineStr">
        <is>
          <t>Primary Enrollment</t>
        </is>
      </c>
      <c r="F1" t="inlineStr">
        <is>
          <t>New Grade 7</t>
        </is>
      </c>
      <c r="H1" t="inlineStr">
        <is>
          <t>L.Sec. Enrollment</t>
        </is>
      </c>
      <c r="J1" t="inlineStr">
        <is>
          <t>New Grade 10</t>
        </is>
      </c>
      <c r="L1" t="inlineStr">
        <is>
          <t>U. Sec. Enrollment</t>
        </is>
      </c>
      <c r="N1" t="inlineStr">
        <is>
          <t>%Over-age Enrollment in</t>
        </is>
      </c>
    </row>
    <row r="2">
      <c r="B2" t="inlineStr">
        <is>
          <t>Total</t>
        </is>
      </c>
      <c r="C2" t="inlineStr">
        <is>
          <t>Aged 6</t>
        </is>
      </c>
      <c r="D2" t="inlineStr">
        <is>
          <t>Total</t>
        </is>
      </c>
      <c r="E2" t="inlineStr">
        <is>
          <t>Aged 11+</t>
        </is>
      </c>
      <c r="F2" t="inlineStr">
        <is>
          <t>Total</t>
        </is>
      </c>
      <c r="G2" t="inlineStr">
        <is>
          <t>Aged 12</t>
        </is>
      </c>
      <c r="H2" t="inlineStr">
        <is>
          <t>Total</t>
        </is>
      </c>
      <c r="I2" t="inlineStr">
        <is>
          <t>Aged 14+</t>
        </is>
      </c>
      <c r="J2" t="inlineStr">
        <is>
          <t>Total</t>
        </is>
      </c>
      <c r="K2" t="inlineStr">
        <is>
          <t>Aged 15</t>
        </is>
      </c>
      <c r="L2" t="inlineStr">
        <is>
          <t>Total</t>
        </is>
      </c>
      <c r="M2" t="inlineStr">
        <is>
          <t>Age 17+</t>
        </is>
      </c>
      <c r="N2" t="inlineStr">
        <is>
          <t>Primary</t>
        </is>
      </c>
      <c r="O2" t="inlineStr">
        <is>
          <t>L.Sec.</t>
        </is>
      </c>
      <c r="P2" t="inlineStr">
        <is>
          <t>U.sec.</t>
        </is>
      </c>
    </row>
    <row r="3">
      <c r="A3" t="inlineStr">
        <is>
          <t>Banteay Meanchey</t>
        </is>
      </c>
      <c r="B3" t="n">
        <v>2959</v>
      </c>
      <c r="C3" t="n">
        <v>1772</v>
      </c>
      <c r="D3" t="n">
        <v>14259</v>
      </c>
      <c r="E3" t="n">
        <v>1745</v>
      </c>
      <c r="F3" t="n">
        <v>1357</v>
      </c>
      <c r="G3" t="n">
        <v>832</v>
      </c>
      <c r="H3" t="n">
        <v>3398</v>
      </c>
      <c r="I3" t="n">
        <v>615</v>
      </c>
      <c r="J3" t="n">
        <v>664</v>
      </c>
      <c r="K3" t="n">
        <v>421</v>
      </c>
      <c r="L3" t="n">
        <v>1642</v>
      </c>
      <c r="M3" t="n">
        <v>0</v>
      </c>
      <c r="N3" t="n">
        <v>12.2</v>
      </c>
      <c r="O3" t="n">
        <v>18.1</v>
      </c>
      <c r="P3" t="n">
        <v>0</v>
      </c>
    </row>
    <row r="4">
      <c r="A4" t="inlineStr">
        <is>
          <t>Battambang</t>
        </is>
      </c>
      <c r="B4" t="n">
        <v>892</v>
      </c>
      <c r="C4" t="n">
        <v>446</v>
      </c>
      <c r="D4" t="n">
        <v>3966</v>
      </c>
      <c r="E4" t="n">
        <v>318</v>
      </c>
      <c r="F4" t="n">
        <v>594</v>
      </c>
      <c r="G4" t="n">
        <v>401</v>
      </c>
      <c r="H4" t="n">
        <v>1488</v>
      </c>
      <c r="I4" t="n">
        <v>181</v>
      </c>
      <c r="J4" t="n">
        <v>600</v>
      </c>
      <c r="K4" t="n">
        <v>388</v>
      </c>
      <c r="L4" t="n">
        <v>1468</v>
      </c>
      <c r="M4" t="n">
        <v>59</v>
      </c>
      <c r="N4" t="n">
        <v>8</v>
      </c>
      <c r="O4" t="n">
        <v>12.2</v>
      </c>
      <c r="P4" t="n">
        <v>4</v>
      </c>
    </row>
    <row r="5">
      <c r="A5" t="inlineStr">
        <is>
          <t>Kampong Cham</t>
        </is>
      </c>
      <c r="B5" t="n">
        <v>481</v>
      </c>
      <c r="C5" t="n">
        <v>168</v>
      </c>
      <c r="D5" t="n">
        <v>2598</v>
      </c>
      <c r="E5" t="n">
        <v>629</v>
      </c>
      <c r="F5" t="n">
        <v>196</v>
      </c>
      <c r="G5" t="n">
        <v>136</v>
      </c>
      <c r="H5" t="n">
        <v>491</v>
      </c>
      <c r="I5" t="n">
        <v>65</v>
      </c>
      <c r="J5" t="n">
        <v>102</v>
      </c>
      <c r="K5" t="n">
        <v>75</v>
      </c>
      <c r="L5" t="n">
        <v>219</v>
      </c>
      <c r="M5" t="n">
        <v>0</v>
      </c>
      <c r="N5" t="n">
        <v>24.2</v>
      </c>
      <c r="O5" t="n">
        <v>13.2</v>
      </c>
      <c r="P5" t="n">
        <v>0</v>
      </c>
    </row>
    <row r="6">
      <c r="A6" t="inlineStr">
        <is>
          <t>Kampong Chhnang</t>
        </is>
      </c>
      <c r="B6" t="n">
        <v>503</v>
      </c>
      <c r="C6" t="n">
        <v>420</v>
      </c>
      <c r="D6" t="n">
        <v>2041</v>
      </c>
      <c r="E6" t="n">
        <v>94</v>
      </c>
      <c r="F6" t="n">
        <v>224</v>
      </c>
      <c r="G6" t="n">
        <v>121</v>
      </c>
      <c r="H6" t="n">
        <v>547</v>
      </c>
      <c r="I6" t="n">
        <v>120</v>
      </c>
      <c r="J6" t="n">
        <v>129</v>
      </c>
      <c r="K6" t="n">
        <v>67</v>
      </c>
      <c r="L6" t="n">
        <v>344</v>
      </c>
      <c r="M6" t="n">
        <v>0</v>
      </c>
      <c r="N6" t="n">
        <v>4.6</v>
      </c>
      <c r="O6" t="n">
        <v>21.9</v>
      </c>
      <c r="P6" t="n">
        <v>0</v>
      </c>
    </row>
    <row r="7">
      <c r="A7" t="inlineStr">
        <is>
          <t>Kampong Speu</t>
        </is>
      </c>
      <c r="B7" t="n">
        <v>1400</v>
      </c>
      <c r="C7" t="n">
        <v>574</v>
      </c>
      <c r="D7" t="n">
        <v>4514</v>
      </c>
      <c r="E7" t="n">
        <v>599</v>
      </c>
      <c r="F7" t="n">
        <v>341</v>
      </c>
      <c r="G7" t="n">
        <v>129</v>
      </c>
      <c r="H7" t="n">
        <v>689</v>
      </c>
      <c r="I7" t="n">
        <v>187</v>
      </c>
      <c r="J7" t="n">
        <v>107</v>
      </c>
      <c r="K7" t="n">
        <v>43</v>
      </c>
      <c r="L7" t="n">
        <v>200</v>
      </c>
      <c r="M7" t="n">
        <v>5</v>
      </c>
      <c r="N7" t="n">
        <v>13.3</v>
      </c>
      <c r="O7" t="n">
        <v>27.1</v>
      </c>
      <c r="P7" t="n">
        <v>2.5</v>
      </c>
    </row>
    <row r="8">
      <c r="A8" t="inlineStr">
        <is>
          <t>Kampong Thom</t>
        </is>
      </c>
      <c r="B8" t="n">
        <v>682</v>
      </c>
      <c r="C8" t="n">
        <v>519</v>
      </c>
      <c r="D8" t="n">
        <v>1675</v>
      </c>
      <c r="E8" t="n">
        <v>307</v>
      </c>
      <c r="F8" t="n">
        <v>133</v>
      </c>
      <c r="G8" t="n">
        <v>60</v>
      </c>
      <c r="H8" t="n">
        <v>239</v>
      </c>
      <c r="I8" t="n">
        <v>60</v>
      </c>
      <c r="J8" t="n">
        <v>60</v>
      </c>
      <c r="K8" t="n">
        <v>19</v>
      </c>
      <c r="L8" t="n">
        <v>106</v>
      </c>
      <c r="M8" t="n">
        <v>17</v>
      </c>
      <c r="N8" t="n">
        <v>18.3</v>
      </c>
      <c r="O8" t="n">
        <v>25.1</v>
      </c>
      <c r="P8" t="n">
        <v>16</v>
      </c>
    </row>
    <row r="9">
      <c r="A9" t="inlineStr">
        <is>
          <t>Kampot</t>
        </is>
      </c>
      <c r="B9" t="n">
        <v>1889</v>
      </c>
      <c r="C9" t="n">
        <v>474</v>
      </c>
      <c r="D9" t="n">
        <v>6818</v>
      </c>
      <c r="E9" t="n">
        <v>2713</v>
      </c>
      <c r="F9" t="n">
        <v>612</v>
      </c>
      <c r="G9" t="n">
        <v>350</v>
      </c>
      <c r="H9" t="n">
        <v>1609</v>
      </c>
      <c r="I9" t="n">
        <v>343</v>
      </c>
      <c r="J9" t="n">
        <v>401</v>
      </c>
      <c r="K9" t="n">
        <v>287</v>
      </c>
      <c r="L9" t="n">
        <v>1225</v>
      </c>
      <c r="M9" t="n">
        <v>0</v>
      </c>
      <c r="N9" t="n">
        <v>39.8</v>
      </c>
      <c r="O9" t="n">
        <v>21.3</v>
      </c>
      <c r="P9" t="n">
        <v>0</v>
      </c>
    </row>
    <row r="10">
      <c r="A10" t="inlineStr">
        <is>
          <t>Kandal</t>
        </is>
      </c>
      <c r="B10" t="n">
        <v>1382</v>
      </c>
      <c r="C10" t="n">
        <v>498</v>
      </c>
      <c r="D10" t="n">
        <v>5593</v>
      </c>
      <c r="E10" t="n">
        <v>1196</v>
      </c>
      <c r="F10" t="n">
        <v>921</v>
      </c>
      <c r="G10" t="n">
        <v>492</v>
      </c>
      <c r="H10" t="n">
        <v>1731</v>
      </c>
      <c r="I10" t="n">
        <v>230</v>
      </c>
      <c r="J10" t="n">
        <v>514</v>
      </c>
      <c r="K10" t="n">
        <v>342</v>
      </c>
      <c r="L10" t="n">
        <v>1147</v>
      </c>
      <c r="M10" t="n">
        <v>45</v>
      </c>
      <c r="N10" t="n">
        <v>21.4</v>
      </c>
      <c r="O10" t="n">
        <v>13.3</v>
      </c>
      <c r="P10" t="n">
        <v>3.9</v>
      </c>
    </row>
    <row r="11">
      <c r="A11" t="inlineStr">
        <is>
          <t>Kep</t>
        </is>
      </c>
      <c r="B11" t="n">
        <v>278</v>
      </c>
      <c r="C11" t="n">
        <v>0</v>
      </c>
      <c r="D11" t="n">
        <v>781</v>
      </c>
      <c r="E11" t="n">
        <v>663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84.90000000000001</v>
      </c>
      <c r="O11" t="n">
        <v>0</v>
      </c>
      <c r="P11" t="n">
        <v>0</v>
      </c>
    </row>
    <row r="12">
      <c r="A12" t="inlineStr">
        <is>
          <t>Koh Kong</t>
        </is>
      </c>
      <c r="B12" t="n">
        <v>776</v>
      </c>
      <c r="C12" t="n">
        <v>411</v>
      </c>
      <c r="D12" t="n">
        <v>2563</v>
      </c>
      <c r="E12" t="n">
        <v>443</v>
      </c>
      <c r="F12" t="n">
        <v>161</v>
      </c>
      <c r="G12" t="n">
        <v>113</v>
      </c>
      <c r="H12" t="n">
        <v>374</v>
      </c>
      <c r="I12" t="n">
        <v>60</v>
      </c>
      <c r="J12" t="n">
        <v>20</v>
      </c>
      <c r="K12" t="n">
        <v>14</v>
      </c>
      <c r="L12" t="n">
        <v>20</v>
      </c>
      <c r="M12" t="n">
        <v>0</v>
      </c>
      <c r="N12" t="n">
        <v>17.3</v>
      </c>
      <c r="O12" t="n">
        <v>16</v>
      </c>
      <c r="P12" t="n">
        <v>0</v>
      </c>
    </row>
    <row r="13">
      <c r="A13" t="inlineStr">
        <is>
          <t>Kratie</t>
        </is>
      </c>
      <c r="B13" t="n">
        <v>162</v>
      </c>
      <c r="C13" t="n">
        <v>31</v>
      </c>
      <c r="D13" t="n">
        <v>397</v>
      </c>
      <c r="E13" t="n">
        <v>26</v>
      </c>
      <c r="F13" t="n">
        <v>19</v>
      </c>
      <c r="G13" t="n">
        <v>19</v>
      </c>
      <c r="H13" t="n">
        <v>66</v>
      </c>
      <c r="I13" t="n">
        <v>7</v>
      </c>
      <c r="J13" t="n">
        <v>21</v>
      </c>
      <c r="K13" t="n">
        <v>13</v>
      </c>
      <c r="L13" t="n">
        <v>45</v>
      </c>
      <c r="M13" t="n">
        <v>0</v>
      </c>
      <c r="N13" t="n">
        <v>6.5</v>
      </c>
      <c r="O13" t="n">
        <v>10.6</v>
      </c>
      <c r="P13" t="n">
        <v>0</v>
      </c>
    </row>
    <row r="14">
      <c r="A14" t="inlineStr">
        <is>
          <t>Mondul Kiri</t>
        </is>
      </c>
      <c r="B14" t="n">
        <v>65</v>
      </c>
      <c r="C14" t="n">
        <v>41</v>
      </c>
      <c r="D14" t="n">
        <v>219</v>
      </c>
      <c r="E14" t="n">
        <v>11</v>
      </c>
      <c r="F14" t="n">
        <v>10</v>
      </c>
      <c r="G14" t="n">
        <v>3</v>
      </c>
      <c r="H14" t="n">
        <v>10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5</v>
      </c>
      <c r="O14" t="n">
        <v>20</v>
      </c>
      <c r="P14" t="n">
        <v>0</v>
      </c>
    </row>
    <row r="15">
      <c r="A15" t="inlineStr">
        <is>
          <t>Otdar Meanchey</t>
        </is>
      </c>
      <c r="B15" t="n">
        <v>250</v>
      </c>
      <c r="C15" t="n">
        <v>142</v>
      </c>
      <c r="D15" t="n">
        <v>1043</v>
      </c>
      <c r="E15" t="n">
        <v>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3.2</v>
      </c>
      <c r="O15" t="n">
        <v>0</v>
      </c>
      <c r="P15" t="n">
        <v>0</v>
      </c>
    </row>
    <row r="16">
      <c r="A16" t="inlineStr">
        <is>
          <t>Pailin</t>
        </is>
      </c>
      <c r="B16" t="n">
        <v>502</v>
      </c>
      <c r="C16" t="n">
        <v>329</v>
      </c>
      <c r="D16" t="n">
        <v>1726</v>
      </c>
      <c r="E16" t="n">
        <v>114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6.6</v>
      </c>
      <c r="O16" t="n">
        <v>0</v>
      </c>
      <c r="P16" t="n">
        <v>0</v>
      </c>
    </row>
    <row r="17">
      <c r="A17" t="inlineStr">
        <is>
          <t>Phnom Penh</t>
        </is>
      </c>
      <c r="B17" t="n">
        <v>15150</v>
      </c>
      <c r="C17" t="n">
        <v>10334</v>
      </c>
      <c r="D17" t="n">
        <v>74042</v>
      </c>
      <c r="E17" t="n">
        <v>5589</v>
      </c>
      <c r="F17" t="n">
        <v>8600</v>
      </c>
      <c r="G17" t="n">
        <v>5812</v>
      </c>
      <c r="H17" t="n">
        <v>20812</v>
      </c>
      <c r="I17" t="n">
        <v>2438</v>
      </c>
      <c r="J17" t="n">
        <v>5950</v>
      </c>
      <c r="K17" t="n">
        <v>4061</v>
      </c>
      <c r="L17" t="n">
        <v>14684</v>
      </c>
      <c r="M17" t="n">
        <v>23</v>
      </c>
      <c r="N17" t="n">
        <v>7.5</v>
      </c>
      <c r="O17" t="n">
        <v>11.7</v>
      </c>
      <c r="P17" t="n">
        <v>0.2</v>
      </c>
    </row>
    <row r="18">
      <c r="A18" t="inlineStr">
        <is>
          <t>Preah Sihanouk</t>
        </is>
      </c>
      <c r="B18" t="n">
        <v>1051</v>
      </c>
      <c r="C18" t="n">
        <v>502</v>
      </c>
      <c r="D18" t="n">
        <v>3964</v>
      </c>
      <c r="E18" t="n">
        <v>343</v>
      </c>
      <c r="F18" t="n">
        <v>457</v>
      </c>
      <c r="G18" t="n">
        <v>328</v>
      </c>
      <c r="H18" t="n">
        <v>1211</v>
      </c>
      <c r="I18" t="n">
        <v>139</v>
      </c>
      <c r="J18" t="n">
        <v>323</v>
      </c>
      <c r="K18" t="n">
        <v>248</v>
      </c>
      <c r="L18" t="n">
        <v>805</v>
      </c>
      <c r="M18" t="n">
        <v>0</v>
      </c>
      <c r="N18" t="n">
        <v>8.699999999999999</v>
      </c>
      <c r="O18" t="n">
        <v>11.5</v>
      </c>
      <c r="P18" t="n">
        <v>0</v>
      </c>
    </row>
    <row r="19">
      <c r="A19" t="inlineStr">
        <is>
          <t>Preah Vihear</t>
        </is>
      </c>
      <c r="B19" t="n">
        <v>37</v>
      </c>
      <c r="C19" t="n">
        <v>13</v>
      </c>
      <c r="D19" t="n">
        <v>157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3.2</v>
      </c>
      <c r="O19" t="n">
        <v>0</v>
      </c>
      <c r="P19" t="n">
        <v>0</v>
      </c>
    </row>
    <row r="20">
      <c r="A20" t="inlineStr">
        <is>
          <t>Prey Veng</t>
        </is>
      </c>
      <c r="B20" t="n">
        <v>88</v>
      </c>
      <c r="C20" t="n">
        <v>28</v>
      </c>
      <c r="D20" t="n">
        <v>243</v>
      </c>
      <c r="E20" t="n">
        <v>19</v>
      </c>
      <c r="F20" t="n">
        <v>0</v>
      </c>
      <c r="G20" t="n">
        <v>0</v>
      </c>
      <c r="H20" t="n">
        <v>0</v>
      </c>
      <c r="I20" t="n">
        <v>0</v>
      </c>
      <c r="J20" t="n">
        <v>42</v>
      </c>
      <c r="K20" t="n">
        <v>38</v>
      </c>
      <c r="L20" t="n">
        <v>132</v>
      </c>
      <c r="M20" t="n">
        <v>0</v>
      </c>
      <c r="N20" t="n">
        <v>7.8</v>
      </c>
      <c r="O20" t="n">
        <v>0</v>
      </c>
      <c r="P20" t="n">
        <v>0</v>
      </c>
    </row>
    <row r="21">
      <c r="A21" t="inlineStr">
        <is>
          <t>Pursat</t>
        </is>
      </c>
      <c r="B21" t="n">
        <v>326</v>
      </c>
      <c r="C21" t="n">
        <v>61</v>
      </c>
      <c r="D21" t="n">
        <v>713</v>
      </c>
      <c r="E21" t="n">
        <v>221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31</v>
      </c>
      <c r="O21" t="n">
        <v>0</v>
      </c>
      <c r="P21" t="n">
        <v>0</v>
      </c>
    </row>
    <row r="22">
      <c r="A22" t="inlineStr">
        <is>
          <t>Ratanak Kiri</t>
        </is>
      </c>
      <c r="B22" t="n">
        <v>288</v>
      </c>
      <c r="C22" t="n">
        <v>254</v>
      </c>
      <c r="D22" t="n">
        <v>1498</v>
      </c>
      <c r="E22" t="n">
        <v>88</v>
      </c>
      <c r="F22" t="n">
        <v>135</v>
      </c>
      <c r="G22" t="n">
        <v>81</v>
      </c>
      <c r="H22" t="n">
        <v>319</v>
      </c>
      <c r="I22" t="n">
        <v>60</v>
      </c>
      <c r="J22" t="n">
        <v>71</v>
      </c>
      <c r="K22" t="n">
        <v>61</v>
      </c>
      <c r="L22" t="n">
        <v>161</v>
      </c>
      <c r="M22" t="n">
        <v>0</v>
      </c>
      <c r="N22" t="n">
        <v>5.9</v>
      </c>
      <c r="O22" t="n">
        <v>18.8</v>
      </c>
      <c r="P22" t="n">
        <v>0</v>
      </c>
    </row>
    <row r="23">
      <c r="A23" t="inlineStr">
        <is>
          <t>Siemreap</t>
        </is>
      </c>
      <c r="B23" t="n">
        <v>1265</v>
      </c>
      <c r="C23" t="n">
        <v>646</v>
      </c>
      <c r="D23" t="n">
        <v>4863</v>
      </c>
      <c r="E23" t="n">
        <v>260</v>
      </c>
      <c r="F23" t="n">
        <v>508</v>
      </c>
      <c r="G23" t="n">
        <v>387</v>
      </c>
      <c r="H23" t="n">
        <v>1233</v>
      </c>
      <c r="I23" t="n">
        <v>116</v>
      </c>
      <c r="J23" t="n">
        <v>252</v>
      </c>
      <c r="K23" t="n">
        <v>190</v>
      </c>
      <c r="L23" t="n">
        <v>685</v>
      </c>
      <c r="M23" t="n">
        <v>0</v>
      </c>
      <c r="N23" t="n">
        <v>5.3</v>
      </c>
      <c r="O23" t="n">
        <v>9.4</v>
      </c>
      <c r="P23" t="n">
        <v>0</v>
      </c>
    </row>
    <row r="24">
      <c r="A24" t="inlineStr">
        <is>
          <t>Stung Treng</t>
        </is>
      </c>
      <c r="B24" t="n">
        <v>55</v>
      </c>
      <c r="C24" t="n">
        <v>54</v>
      </c>
      <c r="D24" t="n">
        <v>320</v>
      </c>
      <c r="E24" t="n">
        <v>8</v>
      </c>
      <c r="F24" t="n">
        <v>29</v>
      </c>
      <c r="G24" t="n">
        <v>26</v>
      </c>
      <c r="H24" t="n">
        <v>73</v>
      </c>
      <c r="I24" t="n">
        <v>4</v>
      </c>
      <c r="J24" t="n">
        <v>0</v>
      </c>
      <c r="K24" t="n">
        <v>0</v>
      </c>
      <c r="L24" t="n">
        <v>4</v>
      </c>
      <c r="M24" t="n">
        <v>0</v>
      </c>
      <c r="N24" t="n">
        <v>2.5</v>
      </c>
      <c r="O24" t="n">
        <v>5.5</v>
      </c>
      <c r="P24" t="n">
        <v>0</v>
      </c>
    </row>
    <row r="25">
      <c r="A25" t="inlineStr">
        <is>
          <t>Svay Rieng</t>
        </is>
      </c>
      <c r="B25" t="n">
        <v>166</v>
      </c>
      <c r="C25" t="n">
        <v>151</v>
      </c>
      <c r="D25" t="n">
        <v>473</v>
      </c>
      <c r="E25" t="n">
        <v>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2.5</v>
      </c>
      <c r="O25" t="n">
        <v>0</v>
      </c>
      <c r="P25" t="n">
        <v>0</v>
      </c>
    </row>
    <row r="26">
      <c r="A26" t="inlineStr">
        <is>
          <t>Takeo</t>
        </is>
      </c>
      <c r="B26" t="n">
        <v>321</v>
      </c>
      <c r="C26" t="n">
        <v>204</v>
      </c>
      <c r="D26" t="n">
        <v>1105</v>
      </c>
      <c r="E26" t="n">
        <v>74</v>
      </c>
      <c r="F26" t="n">
        <v>290</v>
      </c>
      <c r="G26" t="n">
        <v>183</v>
      </c>
      <c r="H26" t="n">
        <v>702</v>
      </c>
      <c r="I26" t="n">
        <v>101</v>
      </c>
      <c r="J26" t="n">
        <v>217</v>
      </c>
      <c r="K26" t="n">
        <v>157</v>
      </c>
      <c r="L26" t="n">
        <v>570</v>
      </c>
      <c r="M26" t="n">
        <v>0</v>
      </c>
      <c r="N26" t="n">
        <v>6.7</v>
      </c>
      <c r="O26" t="n">
        <v>14.4</v>
      </c>
      <c r="P26" t="n">
        <v>0</v>
      </c>
    </row>
    <row r="27">
      <c r="A27" t="inlineStr">
        <is>
          <t>Tbaung Khmum</t>
        </is>
      </c>
      <c r="B27" t="n">
        <v>447</v>
      </c>
      <c r="C27" t="n">
        <v>235</v>
      </c>
      <c r="D27" t="n">
        <v>2066</v>
      </c>
      <c r="E27" t="n">
        <v>415</v>
      </c>
      <c r="F27" t="n">
        <v>441</v>
      </c>
      <c r="G27" t="n">
        <v>164</v>
      </c>
      <c r="H27" t="n">
        <v>1095</v>
      </c>
      <c r="I27" t="n">
        <v>362</v>
      </c>
      <c r="J27" t="n">
        <v>213</v>
      </c>
      <c r="K27" t="n">
        <v>94</v>
      </c>
      <c r="L27" t="n">
        <v>384</v>
      </c>
      <c r="M27" t="n">
        <v>0</v>
      </c>
      <c r="N27" t="n">
        <v>20.1</v>
      </c>
      <c r="O27" t="n">
        <v>33.1</v>
      </c>
      <c r="P27" t="n">
        <v>0</v>
      </c>
    </row>
    <row r="28">
      <c r="A28" t="inlineStr">
        <is>
          <t>Whole Kingdom</t>
        </is>
      </c>
      <c r="B28" t="n">
        <v>31415</v>
      </c>
      <c r="C28" t="n">
        <v>18307</v>
      </c>
      <c r="D28" t="n">
        <v>137637</v>
      </c>
      <c r="E28" t="n">
        <v>15925</v>
      </c>
      <c r="F28" t="n">
        <v>15028</v>
      </c>
      <c r="G28" t="n">
        <v>9637</v>
      </c>
      <c r="H28" t="n">
        <v>36087</v>
      </c>
      <c r="I28" t="n">
        <v>5090</v>
      </c>
      <c r="J28" t="n">
        <v>9686</v>
      </c>
      <c r="K28" t="n">
        <v>6518</v>
      </c>
      <c r="L28" t="n">
        <v>23841</v>
      </c>
      <c r="M28" t="n">
        <v>149</v>
      </c>
      <c r="N28" t="n">
        <v>11.6</v>
      </c>
      <c r="O28" t="n">
        <v>14.1</v>
      </c>
      <c r="P28" t="n">
        <v>0.6</v>
      </c>
    </row>
    <row r="29">
      <c r="A29" t="inlineStr">
        <is>
          <t>- Urban Area</t>
        </is>
      </c>
      <c r="B29" t="n">
        <v>25231</v>
      </c>
      <c r="C29" t="n">
        <v>15898</v>
      </c>
      <c r="D29" t="n">
        <v>115350</v>
      </c>
      <c r="E29" t="n">
        <v>10223</v>
      </c>
      <c r="F29" t="n">
        <v>12826</v>
      </c>
      <c r="G29" t="n">
        <v>8714</v>
      </c>
      <c r="H29" t="n">
        <v>31540</v>
      </c>
      <c r="I29" t="n">
        <v>3947</v>
      </c>
      <c r="J29" t="n">
        <v>8718</v>
      </c>
      <c r="K29" t="n">
        <v>6020</v>
      </c>
      <c r="L29" t="n">
        <v>21864</v>
      </c>
      <c r="M29" t="n">
        <v>82</v>
      </c>
      <c r="N29" t="n">
        <v>8.9</v>
      </c>
      <c r="O29" t="n">
        <v>12.5</v>
      </c>
      <c r="P29" t="n">
        <v>0.4</v>
      </c>
    </row>
    <row r="30">
      <c r="A30" t="inlineStr">
        <is>
          <t>- Rural Area</t>
        </is>
      </c>
      <c r="B30" t="n">
        <v>6184</v>
      </c>
      <c r="C30" t="n">
        <v>2409</v>
      </c>
      <c r="D30" t="n">
        <v>22287</v>
      </c>
      <c r="E30" t="n">
        <v>5702</v>
      </c>
      <c r="F30" t="n">
        <v>2202</v>
      </c>
      <c r="G30" t="n">
        <v>923</v>
      </c>
      <c r="H30" t="n">
        <v>4547</v>
      </c>
      <c r="I30" t="n">
        <v>1143</v>
      </c>
      <c r="J30" t="n">
        <v>968</v>
      </c>
      <c r="K30" t="n">
        <v>498</v>
      </c>
      <c r="L30" t="n">
        <v>1977</v>
      </c>
      <c r="M30" t="n">
        <v>67</v>
      </c>
      <c r="N30" t="n">
        <v>25.6</v>
      </c>
      <c r="O30" t="n">
        <v>25.1</v>
      </c>
      <c r="P30" t="n">
        <v>3.4</v>
      </c>
    </row>
  </sheetData>
  <mergeCells count="8">
    <mergeCell ref="D1:E1"/>
    <mergeCell ref="H1:I1"/>
    <mergeCell ref="L1:M1"/>
    <mergeCell ref="J1:K1"/>
    <mergeCell ref="N1:P1"/>
    <mergeCell ref="B1:C1"/>
    <mergeCell ref="F1:G1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B9BD5"/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19.5" customWidth="1" min="1" max="1"/>
    <col width="9.5" customWidth="1" min="2" max="2"/>
    <col width="9.83203125" customWidth="1" min="3" max="3"/>
    <col width="9.5" customWidth="1" min="4" max="4"/>
    <col width="8.83203125" customWidth="1" min="5" max="5"/>
    <col width="9.5" customWidth="1" min="6" max="6"/>
    <col width="8.6640625" customWidth="1" min="9" max="9"/>
    <col width="9.5" customWidth="1" min="10" max="10"/>
    <col width="9.83203125" customWidth="1" min="12" max="12"/>
    <col width="9.5" customWidth="1" min="13" max="13"/>
    <col width="10.5" customWidth="1" min="14" max="14"/>
    <col width="10.1640625" customWidth="1" min="15" max="15"/>
  </cols>
  <sheetData>
    <row r="1">
      <c r="A1" t="inlineStr">
        <is>
          <t>Province</t>
        </is>
      </c>
      <c r="B1" t="inlineStr">
        <is>
          <t>Grade 1</t>
        </is>
      </c>
      <c r="D1" t="inlineStr">
        <is>
          <t>Primary Enrollment</t>
        </is>
      </c>
      <c r="F1" t="inlineStr">
        <is>
          <t>New Grade 7</t>
        </is>
      </c>
      <c r="H1" t="inlineStr">
        <is>
          <t>L.Sec. Enrollment</t>
        </is>
      </c>
      <c r="J1" t="inlineStr">
        <is>
          <t>New Grade 10</t>
        </is>
      </c>
      <c r="L1" t="inlineStr">
        <is>
          <t>U. Sec. Enrollment</t>
        </is>
      </c>
      <c r="N1" t="inlineStr">
        <is>
          <t>%Over-age Enrollment in</t>
        </is>
      </c>
    </row>
    <row r="2">
      <c r="B2" t="inlineStr">
        <is>
          <t>Total</t>
        </is>
      </c>
      <c r="C2" t="inlineStr">
        <is>
          <t>Aged 6</t>
        </is>
      </c>
      <c r="D2" t="inlineStr">
        <is>
          <t>Total</t>
        </is>
      </c>
      <c r="E2" t="inlineStr">
        <is>
          <t>Aged 11+</t>
        </is>
      </c>
      <c r="F2" t="inlineStr">
        <is>
          <t>Total</t>
        </is>
      </c>
      <c r="G2" t="inlineStr">
        <is>
          <t>Aged 12</t>
        </is>
      </c>
      <c r="H2" t="inlineStr">
        <is>
          <t>Total</t>
        </is>
      </c>
      <c r="I2" t="inlineStr">
        <is>
          <t>Aged 14+</t>
        </is>
      </c>
      <c r="J2" t="inlineStr">
        <is>
          <t>Total</t>
        </is>
      </c>
      <c r="K2" t="inlineStr">
        <is>
          <t>Aged 15</t>
        </is>
      </c>
      <c r="L2" t="inlineStr">
        <is>
          <t>Total</t>
        </is>
      </c>
      <c r="M2" t="inlineStr">
        <is>
          <t>Age 17+</t>
        </is>
      </c>
      <c r="N2" t="inlineStr">
        <is>
          <t>Primary</t>
        </is>
      </c>
      <c r="O2" t="inlineStr">
        <is>
          <t>L.Sec.</t>
        </is>
      </c>
      <c r="P2" t="inlineStr">
        <is>
          <t>U.sec.</t>
        </is>
      </c>
    </row>
    <row r="3">
      <c r="A3" t="inlineStr">
        <is>
          <t>Banteay Meanchey</t>
        </is>
      </c>
      <c r="B3" t="n">
        <v>1414</v>
      </c>
      <c r="C3" t="n">
        <v>876</v>
      </c>
      <c r="D3" t="n">
        <v>6901</v>
      </c>
      <c r="E3" t="n">
        <v>738</v>
      </c>
      <c r="F3" t="n">
        <v>756</v>
      </c>
      <c r="G3" t="n">
        <v>484</v>
      </c>
      <c r="H3" t="n">
        <v>1729</v>
      </c>
      <c r="I3" t="n">
        <v>255</v>
      </c>
      <c r="J3" t="n">
        <v>331</v>
      </c>
      <c r="K3" t="n">
        <v>213</v>
      </c>
      <c r="L3" t="n">
        <v>825</v>
      </c>
      <c r="M3" t="n">
        <v>0</v>
      </c>
      <c r="N3" t="n">
        <v>10.7</v>
      </c>
      <c r="O3" t="n">
        <v>14.7</v>
      </c>
      <c r="P3" t="n">
        <v>0</v>
      </c>
    </row>
    <row r="4">
      <c r="A4" t="inlineStr">
        <is>
          <t>Battambang</t>
        </is>
      </c>
      <c r="B4" t="n">
        <v>424</v>
      </c>
      <c r="C4" t="n">
        <v>223</v>
      </c>
      <c r="D4" t="n">
        <v>1859</v>
      </c>
      <c r="E4" t="n">
        <v>121</v>
      </c>
      <c r="F4" t="n">
        <v>305</v>
      </c>
      <c r="G4" t="n">
        <v>209</v>
      </c>
      <c r="H4" t="n">
        <v>741</v>
      </c>
      <c r="I4" t="n">
        <v>79</v>
      </c>
      <c r="J4" t="n">
        <v>324</v>
      </c>
      <c r="K4" t="n">
        <v>208</v>
      </c>
      <c r="L4" t="n">
        <v>765</v>
      </c>
      <c r="M4" t="n">
        <v>37</v>
      </c>
      <c r="N4" t="n">
        <v>6.5</v>
      </c>
      <c r="O4" t="n">
        <v>10.7</v>
      </c>
      <c r="P4" t="n">
        <v>4.8</v>
      </c>
    </row>
    <row r="5">
      <c r="A5" t="inlineStr">
        <is>
          <t>Kampong Cham</t>
        </is>
      </c>
      <c r="B5" t="n">
        <v>239</v>
      </c>
      <c r="C5" t="n">
        <v>78</v>
      </c>
      <c r="D5" t="n">
        <v>1215</v>
      </c>
      <c r="E5" t="n">
        <v>307</v>
      </c>
      <c r="F5" t="n">
        <v>99</v>
      </c>
      <c r="G5" t="n">
        <v>59</v>
      </c>
      <c r="H5" t="n">
        <v>251</v>
      </c>
      <c r="I5" t="n">
        <v>29</v>
      </c>
      <c r="J5" t="n">
        <v>46</v>
      </c>
      <c r="K5" t="n">
        <v>33</v>
      </c>
      <c r="L5" t="n">
        <v>105</v>
      </c>
      <c r="M5" t="n">
        <v>0</v>
      </c>
      <c r="N5" t="n">
        <v>25.3</v>
      </c>
      <c r="O5" t="n">
        <v>11.6</v>
      </c>
      <c r="P5" t="n">
        <v>0</v>
      </c>
    </row>
    <row r="6">
      <c r="A6" t="inlineStr">
        <is>
          <t>Kampong Chhnang</t>
        </is>
      </c>
      <c r="B6" t="n">
        <v>235</v>
      </c>
      <c r="C6" t="n">
        <v>197</v>
      </c>
      <c r="D6" t="n">
        <v>969</v>
      </c>
      <c r="E6" t="n">
        <v>36</v>
      </c>
      <c r="F6" t="n">
        <v>92</v>
      </c>
      <c r="G6" t="n">
        <v>46</v>
      </c>
      <c r="H6" t="n">
        <v>217</v>
      </c>
      <c r="I6" t="n">
        <v>40</v>
      </c>
      <c r="J6" t="n">
        <v>44</v>
      </c>
      <c r="K6" t="n">
        <v>25</v>
      </c>
      <c r="L6" t="n">
        <v>126</v>
      </c>
      <c r="M6" t="n">
        <v>0</v>
      </c>
      <c r="N6" t="n">
        <v>3.7</v>
      </c>
      <c r="O6" t="n">
        <v>18.4</v>
      </c>
      <c r="P6" t="n">
        <v>0</v>
      </c>
    </row>
    <row r="7">
      <c r="A7" t="inlineStr">
        <is>
          <t>Kampong Speu</t>
        </is>
      </c>
      <c r="B7" t="n">
        <v>726</v>
      </c>
      <c r="C7" t="n">
        <v>315</v>
      </c>
      <c r="D7" t="n">
        <v>2275</v>
      </c>
      <c r="E7" t="n">
        <v>293</v>
      </c>
      <c r="F7" t="n">
        <v>199</v>
      </c>
      <c r="G7" t="n">
        <v>85</v>
      </c>
      <c r="H7" t="n">
        <v>374</v>
      </c>
      <c r="I7" t="n">
        <v>93</v>
      </c>
      <c r="J7" t="n">
        <v>62</v>
      </c>
      <c r="K7" t="n">
        <v>27</v>
      </c>
      <c r="L7" t="n">
        <v>120</v>
      </c>
      <c r="M7" t="n">
        <v>1</v>
      </c>
      <c r="N7" t="n">
        <v>12.9</v>
      </c>
      <c r="O7" t="n">
        <v>24.9</v>
      </c>
      <c r="P7" t="n">
        <v>0.8</v>
      </c>
    </row>
    <row r="8">
      <c r="A8" t="inlineStr">
        <is>
          <t>Kampong Thom</t>
        </is>
      </c>
      <c r="B8" t="n">
        <v>324</v>
      </c>
      <c r="C8" t="n">
        <v>243</v>
      </c>
      <c r="D8" t="n">
        <v>832</v>
      </c>
      <c r="E8" t="n">
        <v>176</v>
      </c>
      <c r="F8" t="n">
        <v>59</v>
      </c>
      <c r="G8" t="n">
        <v>28</v>
      </c>
      <c r="H8" t="n">
        <v>103</v>
      </c>
      <c r="I8" t="n">
        <v>24</v>
      </c>
      <c r="J8" t="n">
        <v>26</v>
      </c>
      <c r="K8" t="n">
        <v>9</v>
      </c>
      <c r="L8" t="n">
        <v>51</v>
      </c>
      <c r="M8" t="n">
        <v>4</v>
      </c>
      <c r="N8" t="n">
        <v>21.2</v>
      </c>
      <c r="O8" t="n">
        <v>23.3</v>
      </c>
      <c r="P8" t="n">
        <v>7.8</v>
      </c>
    </row>
    <row r="9">
      <c r="A9" t="inlineStr">
        <is>
          <t>Kampot</t>
        </is>
      </c>
      <c r="B9" t="n">
        <v>949</v>
      </c>
      <c r="C9" t="n">
        <v>223</v>
      </c>
      <c r="D9" t="n">
        <v>3562</v>
      </c>
      <c r="E9" t="n">
        <v>1497</v>
      </c>
      <c r="F9" t="n">
        <v>318</v>
      </c>
      <c r="G9" t="n">
        <v>193</v>
      </c>
      <c r="H9" t="n">
        <v>850</v>
      </c>
      <c r="I9" t="n">
        <v>179</v>
      </c>
      <c r="J9" t="n">
        <v>205</v>
      </c>
      <c r="K9" t="n">
        <v>149</v>
      </c>
      <c r="L9" t="n">
        <v>612</v>
      </c>
      <c r="M9" t="n">
        <v>0</v>
      </c>
      <c r="N9" t="n">
        <v>42</v>
      </c>
      <c r="O9" t="n">
        <v>21.1</v>
      </c>
      <c r="P9" t="n">
        <v>0</v>
      </c>
    </row>
    <row r="10">
      <c r="A10" t="inlineStr">
        <is>
          <t>Kandal</t>
        </is>
      </c>
      <c r="B10" t="n">
        <v>761</v>
      </c>
      <c r="C10" t="n">
        <v>242</v>
      </c>
      <c r="D10" t="n">
        <v>2957</v>
      </c>
      <c r="E10" t="n">
        <v>757</v>
      </c>
      <c r="F10" t="n">
        <v>448</v>
      </c>
      <c r="G10" t="n">
        <v>279</v>
      </c>
      <c r="H10" t="n">
        <v>974</v>
      </c>
      <c r="I10" t="n">
        <v>156</v>
      </c>
      <c r="J10" t="n">
        <v>249</v>
      </c>
      <c r="K10" t="n">
        <v>177</v>
      </c>
      <c r="L10" t="n">
        <v>617</v>
      </c>
      <c r="M10" t="n">
        <v>0</v>
      </c>
      <c r="N10" t="n">
        <v>25.6</v>
      </c>
      <c r="O10" t="n">
        <v>16</v>
      </c>
      <c r="P10" t="n">
        <v>0</v>
      </c>
    </row>
    <row r="11">
      <c r="A11" t="inlineStr">
        <is>
          <t>Kep</t>
        </is>
      </c>
      <c r="B11" t="n">
        <v>150</v>
      </c>
      <c r="C11" t="n">
        <v>0</v>
      </c>
      <c r="D11" t="n">
        <v>446</v>
      </c>
      <c r="E11" t="n">
        <v>361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80.90000000000001</v>
      </c>
      <c r="O11" t="n">
        <v>0</v>
      </c>
      <c r="P11" t="n">
        <v>0</v>
      </c>
    </row>
    <row r="12">
      <c r="A12" t="inlineStr">
        <is>
          <t>Koh Kong</t>
        </is>
      </c>
      <c r="B12" t="n">
        <v>381</v>
      </c>
      <c r="C12" t="n">
        <v>197</v>
      </c>
      <c r="D12" t="n">
        <v>1281</v>
      </c>
      <c r="E12" t="n">
        <v>229</v>
      </c>
      <c r="F12" t="n">
        <v>103</v>
      </c>
      <c r="G12" t="n">
        <v>77</v>
      </c>
      <c r="H12" t="n">
        <v>199</v>
      </c>
      <c r="I12" t="n">
        <v>21</v>
      </c>
      <c r="J12" t="n">
        <v>8</v>
      </c>
      <c r="K12" t="n">
        <v>6</v>
      </c>
      <c r="L12" t="n">
        <v>8</v>
      </c>
      <c r="M12" t="n">
        <v>0</v>
      </c>
      <c r="N12" t="n">
        <v>17.9</v>
      </c>
      <c r="O12" t="n">
        <v>10.6</v>
      </c>
      <c r="P12" t="n">
        <v>0</v>
      </c>
    </row>
    <row r="13">
      <c r="A13" t="inlineStr">
        <is>
          <t>Kratie</t>
        </is>
      </c>
      <c r="B13" t="n">
        <v>97</v>
      </c>
      <c r="C13" t="n">
        <v>15</v>
      </c>
      <c r="D13" t="n">
        <v>253</v>
      </c>
      <c r="E13" t="n">
        <v>15</v>
      </c>
      <c r="F13" t="n">
        <v>11</v>
      </c>
      <c r="G13" t="n">
        <v>11</v>
      </c>
      <c r="H13" t="n">
        <v>31</v>
      </c>
      <c r="I13" t="n">
        <v>4</v>
      </c>
      <c r="J13" t="n">
        <v>11</v>
      </c>
      <c r="K13" t="n">
        <v>7</v>
      </c>
      <c r="L13" t="n">
        <v>24</v>
      </c>
      <c r="M13" t="n">
        <v>0</v>
      </c>
      <c r="N13" t="n">
        <v>5.9</v>
      </c>
      <c r="O13" t="n">
        <v>12.9</v>
      </c>
      <c r="P13" t="n">
        <v>0</v>
      </c>
    </row>
    <row r="14">
      <c r="A14" t="inlineStr">
        <is>
          <t>Mondul Kiri</t>
        </is>
      </c>
      <c r="B14" t="n">
        <v>27</v>
      </c>
      <c r="C14" t="n">
        <v>18</v>
      </c>
      <c r="D14" t="n">
        <v>95</v>
      </c>
      <c r="E14" t="n">
        <v>5</v>
      </c>
      <c r="F14" t="n">
        <v>5</v>
      </c>
      <c r="G14" t="n">
        <v>2</v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5.3</v>
      </c>
      <c r="O14" t="n">
        <v>20</v>
      </c>
      <c r="P14" t="n">
        <v>0</v>
      </c>
    </row>
    <row r="15">
      <c r="A15" t="inlineStr">
        <is>
          <t>Otdar Meanchey</t>
        </is>
      </c>
      <c r="B15" t="n">
        <v>116</v>
      </c>
      <c r="C15" t="n">
        <v>69</v>
      </c>
      <c r="D15" t="n">
        <v>473</v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2.7</v>
      </c>
      <c r="O15" t="n">
        <v>0</v>
      </c>
      <c r="P15" t="n">
        <v>0</v>
      </c>
    </row>
    <row r="16">
      <c r="A16" t="inlineStr">
        <is>
          <t>Pailin</t>
        </is>
      </c>
      <c r="B16" t="n">
        <v>236</v>
      </c>
      <c r="C16" t="n">
        <v>157</v>
      </c>
      <c r="D16" t="n">
        <v>849</v>
      </c>
      <c r="E16" t="n">
        <v>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5.8</v>
      </c>
      <c r="O16" t="n">
        <v>0</v>
      </c>
      <c r="P16" t="n">
        <v>0</v>
      </c>
    </row>
    <row r="17">
      <c r="A17" t="inlineStr">
        <is>
          <t>Phnom Penh</t>
        </is>
      </c>
      <c r="B17" t="n">
        <v>7352</v>
      </c>
      <c r="C17" t="n">
        <v>5069</v>
      </c>
      <c r="D17" t="n">
        <v>36496</v>
      </c>
      <c r="E17" t="n">
        <v>2549</v>
      </c>
      <c r="F17" t="n">
        <v>4220</v>
      </c>
      <c r="G17" t="n">
        <v>2911</v>
      </c>
      <c r="H17" t="n">
        <v>10519</v>
      </c>
      <c r="I17" t="n">
        <v>1159</v>
      </c>
      <c r="J17" t="n">
        <v>3032</v>
      </c>
      <c r="K17" t="n">
        <v>2074</v>
      </c>
      <c r="L17" t="n">
        <v>7568</v>
      </c>
      <c r="M17" t="n">
        <v>3</v>
      </c>
      <c r="N17" t="n">
        <v>7</v>
      </c>
      <c r="O17" t="n">
        <v>11</v>
      </c>
      <c r="P17" t="n">
        <v>0</v>
      </c>
    </row>
    <row r="18">
      <c r="A18" t="inlineStr">
        <is>
          <t>Preah Sihanouk</t>
        </is>
      </c>
      <c r="B18" t="n">
        <v>490</v>
      </c>
      <c r="C18" t="n">
        <v>243</v>
      </c>
      <c r="D18" t="n">
        <v>1866</v>
      </c>
      <c r="E18" t="n">
        <v>131</v>
      </c>
      <c r="F18" t="n">
        <v>215</v>
      </c>
      <c r="G18" t="n">
        <v>166</v>
      </c>
      <c r="H18" t="n">
        <v>576</v>
      </c>
      <c r="I18" t="n">
        <v>48</v>
      </c>
      <c r="J18" t="n">
        <v>157</v>
      </c>
      <c r="K18" t="n">
        <v>122</v>
      </c>
      <c r="L18" t="n">
        <v>374</v>
      </c>
      <c r="M18" t="n">
        <v>0</v>
      </c>
      <c r="N18" t="n">
        <v>7</v>
      </c>
      <c r="O18" t="n">
        <v>8.300000000000001</v>
      </c>
      <c r="P18" t="n">
        <v>0</v>
      </c>
    </row>
    <row r="19">
      <c r="A19" t="inlineStr">
        <is>
          <t>Preah Vihear</t>
        </is>
      </c>
      <c r="B19" t="n">
        <v>18</v>
      </c>
      <c r="C19" t="n">
        <v>9</v>
      </c>
      <c r="D19" t="n">
        <v>70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Prey Veng</t>
        </is>
      </c>
      <c r="B20" t="n">
        <v>30</v>
      </c>
      <c r="C20" t="n">
        <v>11</v>
      </c>
      <c r="D20" t="n">
        <v>92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23</v>
      </c>
      <c r="K20" t="n">
        <v>21</v>
      </c>
      <c r="L20" t="n">
        <v>76</v>
      </c>
      <c r="M20" t="n">
        <v>0</v>
      </c>
      <c r="N20" t="n">
        <v>4.3</v>
      </c>
      <c r="O20" t="n">
        <v>0</v>
      </c>
      <c r="P20" t="n">
        <v>0</v>
      </c>
    </row>
    <row r="21">
      <c r="A21" t="inlineStr">
        <is>
          <t>Pursat</t>
        </is>
      </c>
      <c r="B21" t="n">
        <v>159</v>
      </c>
      <c r="C21" t="n">
        <v>29</v>
      </c>
      <c r="D21" t="n">
        <v>364</v>
      </c>
      <c r="E21" t="n">
        <v>110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30.2</v>
      </c>
      <c r="O21" t="n">
        <v>0</v>
      </c>
      <c r="P21" t="n">
        <v>0</v>
      </c>
    </row>
    <row r="22">
      <c r="A22" t="inlineStr">
        <is>
          <t>Ratanak Kiri</t>
        </is>
      </c>
      <c r="B22" t="n">
        <v>165</v>
      </c>
      <c r="C22" t="n">
        <v>147</v>
      </c>
      <c r="D22" t="n">
        <v>734</v>
      </c>
      <c r="E22" t="n">
        <v>22</v>
      </c>
      <c r="F22" t="n">
        <v>63</v>
      </c>
      <c r="G22" t="n">
        <v>42</v>
      </c>
      <c r="H22" t="n">
        <v>135</v>
      </c>
      <c r="I22" t="n">
        <v>13</v>
      </c>
      <c r="J22" t="n">
        <v>28</v>
      </c>
      <c r="K22" t="n">
        <v>26</v>
      </c>
      <c r="L22" t="n">
        <v>71</v>
      </c>
      <c r="M22" t="n">
        <v>0</v>
      </c>
      <c r="N22" t="n">
        <v>3</v>
      </c>
      <c r="O22" t="n">
        <v>9.6</v>
      </c>
      <c r="P22" t="n">
        <v>0</v>
      </c>
    </row>
    <row r="23">
      <c r="A23" t="inlineStr">
        <is>
          <t>Siemreap</t>
        </is>
      </c>
      <c r="B23" t="n">
        <v>626</v>
      </c>
      <c r="C23" t="n">
        <v>322</v>
      </c>
      <c r="D23" t="n">
        <v>2435</v>
      </c>
      <c r="E23" t="n">
        <v>120</v>
      </c>
      <c r="F23" t="n">
        <v>257</v>
      </c>
      <c r="G23" t="n">
        <v>200</v>
      </c>
      <c r="H23" t="n">
        <v>625</v>
      </c>
      <c r="I23" t="n">
        <v>46</v>
      </c>
      <c r="J23" t="n">
        <v>114</v>
      </c>
      <c r="K23" t="n">
        <v>89</v>
      </c>
      <c r="L23" t="n">
        <v>297</v>
      </c>
      <c r="M23" t="n">
        <v>0</v>
      </c>
      <c r="N23" t="n">
        <v>4.9</v>
      </c>
      <c r="O23" t="n">
        <v>7.4</v>
      </c>
      <c r="P23" t="n">
        <v>0</v>
      </c>
    </row>
    <row r="24">
      <c r="A24" t="inlineStr">
        <is>
          <t>Stung Treng</t>
        </is>
      </c>
      <c r="B24" t="n">
        <v>22</v>
      </c>
      <c r="C24" t="n">
        <v>21</v>
      </c>
      <c r="D24" t="n">
        <v>145</v>
      </c>
      <c r="E24" t="n">
        <v>2</v>
      </c>
      <c r="F24" t="n">
        <v>13</v>
      </c>
      <c r="G24" t="n">
        <v>12</v>
      </c>
      <c r="H24" t="n">
        <v>40</v>
      </c>
      <c r="I24" t="n">
        <v>2</v>
      </c>
      <c r="J24" t="n">
        <v>0</v>
      </c>
      <c r="K24" t="n">
        <v>0</v>
      </c>
      <c r="L24" t="n">
        <v>2</v>
      </c>
      <c r="M24" t="n">
        <v>0</v>
      </c>
      <c r="N24" t="n">
        <v>1.4</v>
      </c>
      <c r="O24" t="n">
        <v>5</v>
      </c>
      <c r="P24" t="n">
        <v>0</v>
      </c>
    </row>
    <row r="25">
      <c r="A25" t="inlineStr">
        <is>
          <t>Svay Rieng</t>
        </is>
      </c>
      <c r="B25" t="n">
        <v>95</v>
      </c>
      <c r="C25" t="n">
        <v>89</v>
      </c>
      <c r="D25" t="n">
        <v>255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1.2</v>
      </c>
      <c r="O25" t="n">
        <v>0</v>
      </c>
      <c r="P25" t="n">
        <v>0</v>
      </c>
    </row>
    <row r="26">
      <c r="A26" t="inlineStr">
        <is>
          <t>Takeo</t>
        </is>
      </c>
      <c r="B26" t="n">
        <v>145</v>
      </c>
      <c r="C26" t="n">
        <v>94</v>
      </c>
      <c r="D26" t="n">
        <v>527</v>
      </c>
      <c r="E26" t="n">
        <v>18</v>
      </c>
      <c r="F26" t="n">
        <v>148</v>
      </c>
      <c r="G26" t="n">
        <v>100</v>
      </c>
      <c r="H26" t="n">
        <v>329</v>
      </c>
      <c r="I26" t="n">
        <v>39</v>
      </c>
      <c r="J26" t="n">
        <v>104</v>
      </c>
      <c r="K26" t="n">
        <v>77</v>
      </c>
      <c r="L26" t="n">
        <v>266</v>
      </c>
      <c r="M26" t="n">
        <v>0</v>
      </c>
      <c r="N26" t="n">
        <v>3.4</v>
      </c>
      <c r="O26" t="n">
        <v>11.9</v>
      </c>
      <c r="P26" t="n">
        <v>0</v>
      </c>
    </row>
    <row r="27">
      <c r="A27" t="inlineStr">
        <is>
          <t>Tbaung Khmum</t>
        </is>
      </c>
      <c r="B27" t="n">
        <v>223</v>
      </c>
      <c r="C27" t="n">
        <v>106</v>
      </c>
      <c r="D27" t="n">
        <v>1043</v>
      </c>
      <c r="E27" t="n">
        <v>248</v>
      </c>
      <c r="F27" t="n">
        <v>319</v>
      </c>
      <c r="G27" t="n">
        <v>114</v>
      </c>
      <c r="H27" t="n">
        <v>848</v>
      </c>
      <c r="I27" t="n">
        <v>261</v>
      </c>
      <c r="J27" t="n">
        <v>162</v>
      </c>
      <c r="K27" t="n">
        <v>77</v>
      </c>
      <c r="L27" t="n">
        <v>302</v>
      </c>
      <c r="M27" t="n">
        <v>0</v>
      </c>
      <c r="N27" t="n">
        <v>23.8</v>
      </c>
      <c r="O27" t="n">
        <v>30.8</v>
      </c>
      <c r="P27" t="n">
        <v>0</v>
      </c>
    </row>
    <row r="28">
      <c r="A28" t="inlineStr">
        <is>
          <t>Whole Kingdom</t>
        </is>
      </c>
      <c r="B28" t="n">
        <v>15404</v>
      </c>
      <c r="C28" t="n">
        <v>8993</v>
      </c>
      <c r="D28" t="n">
        <v>67994</v>
      </c>
      <c r="E28" t="n">
        <v>7804</v>
      </c>
      <c r="F28" t="n">
        <v>7630</v>
      </c>
      <c r="G28" t="n">
        <v>5018</v>
      </c>
      <c r="H28" t="n">
        <v>18546</v>
      </c>
      <c r="I28" t="n">
        <v>2449</v>
      </c>
      <c r="J28" t="n">
        <v>4926</v>
      </c>
      <c r="K28" t="n">
        <v>3340</v>
      </c>
      <c r="L28" t="n">
        <v>12209</v>
      </c>
      <c r="M28" t="n">
        <v>45</v>
      </c>
      <c r="N28" t="n">
        <v>11.5</v>
      </c>
      <c r="O28" t="n">
        <v>13.2</v>
      </c>
      <c r="P28" t="n">
        <v>0.4</v>
      </c>
    </row>
    <row r="29">
      <c r="A29" t="inlineStr">
        <is>
          <t>- Urban Area</t>
        </is>
      </c>
      <c r="B29" t="n">
        <v>12284</v>
      </c>
      <c r="C29" t="n">
        <v>7788</v>
      </c>
      <c r="D29" t="n">
        <v>56699</v>
      </c>
      <c r="E29" t="n">
        <v>4692</v>
      </c>
      <c r="F29" t="n">
        <v>6464</v>
      </c>
      <c r="G29" t="n">
        <v>4507</v>
      </c>
      <c r="H29" t="n">
        <v>15924</v>
      </c>
      <c r="I29" t="n">
        <v>1770</v>
      </c>
      <c r="J29" t="n">
        <v>4416</v>
      </c>
      <c r="K29" t="n">
        <v>3067</v>
      </c>
      <c r="L29" t="n">
        <v>11134</v>
      </c>
      <c r="M29" t="n">
        <v>40</v>
      </c>
      <c r="N29" t="n">
        <v>8.300000000000001</v>
      </c>
      <c r="O29" t="n">
        <v>11.1</v>
      </c>
      <c r="P29" t="n">
        <v>0.4</v>
      </c>
    </row>
    <row r="30">
      <c r="A30" t="inlineStr">
        <is>
          <t>- Rural Area</t>
        </is>
      </c>
      <c r="B30" t="n">
        <v>3120</v>
      </c>
      <c r="C30" t="n">
        <v>1205</v>
      </c>
      <c r="D30" t="n">
        <v>11295</v>
      </c>
      <c r="E30" t="n">
        <v>3112</v>
      </c>
      <c r="F30" t="n">
        <v>1166</v>
      </c>
      <c r="G30" t="n">
        <v>511</v>
      </c>
      <c r="H30" t="n">
        <v>2622</v>
      </c>
      <c r="I30" t="n">
        <v>679</v>
      </c>
      <c r="J30" t="n">
        <v>510</v>
      </c>
      <c r="K30" t="n">
        <v>273</v>
      </c>
      <c r="L30" t="n">
        <v>1075</v>
      </c>
      <c r="M30" t="n">
        <v>5</v>
      </c>
      <c r="N30" t="n">
        <v>27.6</v>
      </c>
      <c r="O30" t="n">
        <v>25.9</v>
      </c>
      <c r="P30" t="n">
        <v>0.5</v>
      </c>
    </row>
  </sheetData>
  <mergeCells count="8">
    <mergeCell ref="D1:E1"/>
    <mergeCell ref="H1:I1"/>
    <mergeCell ref="L1:M1"/>
    <mergeCell ref="J1:K1"/>
    <mergeCell ref="N1:P1"/>
    <mergeCell ref="B1:C1"/>
    <mergeCell ref="F1:G1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B9BD5"/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21.1640625" customWidth="1" min="1" max="1"/>
    <col width="11.83203125" customWidth="1" min="2" max="2"/>
    <col width="11.5" customWidth="1" min="3" max="3"/>
    <col width="11.83203125" customWidth="1" min="4" max="4"/>
    <col width="12.1640625" customWidth="1" min="11" max="11"/>
    <col width="12" customWidth="1" min="12" max="12"/>
  </cols>
  <sheetData>
    <row r="1">
      <c r="A1" t="inlineStr">
        <is>
          <t>Province</t>
        </is>
      </c>
      <c r="B1" t="inlineStr">
        <is>
          <t>3 year</t>
        </is>
      </c>
      <c r="E1" t="inlineStr">
        <is>
          <t>4 Year</t>
        </is>
      </c>
      <c r="H1" t="inlineStr">
        <is>
          <t>5 Year</t>
        </is>
      </c>
      <c r="K1" t="inlineStr">
        <is>
          <t>3 - 5 Year</t>
        </is>
      </c>
    </row>
    <row r="2">
      <c r="B2" t="inlineStr">
        <is>
          <t>Total</t>
        </is>
      </c>
      <c r="C2" t="inlineStr">
        <is>
          <t>Girl</t>
        </is>
      </c>
      <c r="D2" t="inlineStr">
        <is>
          <t>Boy</t>
        </is>
      </c>
      <c r="E2" t="inlineStr">
        <is>
          <t>Total</t>
        </is>
      </c>
      <c r="F2" t="inlineStr">
        <is>
          <t>Girl</t>
        </is>
      </c>
      <c r="G2" t="inlineStr">
        <is>
          <t>Boy</t>
        </is>
      </c>
      <c r="H2" t="inlineStr">
        <is>
          <t>Total</t>
        </is>
      </c>
      <c r="I2" t="inlineStr">
        <is>
          <t>Girl</t>
        </is>
      </c>
      <c r="J2" t="inlineStr">
        <is>
          <t>Boy</t>
        </is>
      </c>
      <c r="K2" t="inlineStr">
        <is>
          <t>Total</t>
        </is>
      </c>
      <c r="L2" t="inlineStr">
        <is>
          <t>Girl</t>
        </is>
      </c>
      <c r="M2" t="inlineStr">
        <is>
          <t>Boy</t>
        </is>
      </c>
    </row>
    <row r="3">
      <c r="A3" t="inlineStr">
        <is>
          <t>Banteay Meanchey</t>
        </is>
      </c>
      <c r="B3" t="n">
        <v>2.8</v>
      </c>
      <c r="C3" t="n">
        <v>3</v>
      </c>
      <c r="D3" t="n">
        <v>2.6</v>
      </c>
      <c r="E3" t="n">
        <v>6.8</v>
      </c>
      <c r="F3" t="n">
        <v>7</v>
      </c>
      <c r="G3" t="n">
        <v>6.6</v>
      </c>
      <c r="H3" t="n">
        <v>9.699999999999999</v>
      </c>
      <c r="I3" t="n">
        <v>9.6</v>
      </c>
      <c r="J3" t="n">
        <v>9.699999999999999</v>
      </c>
      <c r="K3" t="n">
        <v>6.4</v>
      </c>
      <c r="L3" t="n">
        <v>6.5</v>
      </c>
      <c r="M3" t="n">
        <v>6.3</v>
      </c>
    </row>
    <row r="4">
      <c r="A4" t="inlineStr">
        <is>
          <t>Battambang</t>
        </is>
      </c>
      <c r="B4" t="n">
        <v>1.3</v>
      </c>
      <c r="C4" t="n">
        <v>1.4</v>
      </c>
      <c r="D4" t="n">
        <v>1.2</v>
      </c>
      <c r="E4" t="n">
        <v>2.1</v>
      </c>
      <c r="F4" t="n">
        <v>2</v>
      </c>
      <c r="G4" t="n">
        <v>2.1</v>
      </c>
      <c r="H4" t="n">
        <v>2.6</v>
      </c>
      <c r="I4" t="n">
        <v>2.6</v>
      </c>
      <c r="J4" t="n">
        <v>2.6</v>
      </c>
      <c r="K4" t="n">
        <v>2</v>
      </c>
      <c r="L4" t="n">
        <v>2</v>
      </c>
      <c r="M4" t="n">
        <v>2</v>
      </c>
    </row>
    <row r="5">
      <c r="A5" t="inlineStr">
        <is>
          <t>Kampong Cham</t>
        </is>
      </c>
      <c r="B5" t="n">
        <v>1.5</v>
      </c>
      <c r="C5" t="n">
        <v>1.6</v>
      </c>
      <c r="D5" t="n">
        <v>1.4</v>
      </c>
      <c r="E5" t="n">
        <v>0.6</v>
      </c>
      <c r="F5" t="n">
        <v>0.6</v>
      </c>
      <c r="G5" t="n">
        <v>0.6</v>
      </c>
      <c r="H5" t="n">
        <v>0.8</v>
      </c>
      <c r="I5" t="n">
        <v>0.7</v>
      </c>
      <c r="J5" t="n">
        <v>0.8</v>
      </c>
      <c r="K5" t="n">
        <v>0.9</v>
      </c>
      <c r="L5" t="n">
        <v>1</v>
      </c>
      <c r="M5" t="n">
        <v>0.9</v>
      </c>
    </row>
    <row r="6">
      <c r="A6" t="inlineStr">
        <is>
          <t>Kampong Chhnang</t>
        </is>
      </c>
      <c r="B6" t="n">
        <v>1.6</v>
      </c>
      <c r="C6" t="n">
        <v>1.5</v>
      </c>
      <c r="D6" t="n">
        <v>1.8</v>
      </c>
      <c r="E6" t="n">
        <v>3</v>
      </c>
      <c r="F6" t="n">
        <v>2.8</v>
      </c>
      <c r="G6" t="n">
        <v>3.1</v>
      </c>
      <c r="H6" t="n">
        <v>4.9</v>
      </c>
      <c r="I6" t="n">
        <v>5.1</v>
      </c>
      <c r="J6" t="n">
        <v>4.8</v>
      </c>
      <c r="K6" t="n">
        <v>3.1</v>
      </c>
      <c r="L6" t="n">
        <v>3.1</v>
      </c>
      <c r="M6" t="n">
        <v>3.2</v>
      </c>
    </row>
    <row r="7">
      <c r="A7" t="inlineStr">
        <is>
          <t>Kampong Speu</t>
        </is>
      </c>
      <c r="B7" t="n">
        <v>2.2</v>
      </c>
      <c r="C7" t="n">
        <v>2.2</v>
      </c>
      <c r="D7" t="n">
        <v>2.2</v>
      </c>
      <c r="E7" t="n">
        <v>4.2</v>
      </c>
      <c r="F7" t="n">
        <v>4.5</v>
      </c>
      <c r="G7" t="n">
        <v>3.9</v>
      </c>
      <c r="H7" t="n">
        <v>6.2</v>
      </c>
      <c r="I7" t="n">
        <v>6.8</v>
      </c>
      <c r="J7" t="n">
        <v>5.6</v>
      </c>
      <c r="K7" t="n">
        <v>4.2</v>
      </c>
      <c r="L7" t="n">
        <v>4.5</v>
      </c>
      <c r="M7" t="n">
        <v>3.9</v>
      </c>
    </row>
    <row r="8">
      <c r="A8" t="inlineStr">
        <is>
          <t>Kampong Thom</t>
        </is>
      </c>
      <c r="B8" t="n">
        <v>0.5</v>
      </c>
      <c r="C8" t="n">
        <v>0.5</v>
      </c>
      <c r="D8" t="n">
        <v>0.6</v>
      </c>
      <c r="E8" t="n">
        <v>2</v>
      </c>
      <c r="F8" t="n">
        <v>2</v>
      </c>
      <c r="G8" t="n">
        <v>2</v>
      </c>
      <c r="H8" t="n">
        <v>1.7</v>
      </c>
      <c r="I8" t="n">
        <v>1.8</v>
      </c>
      <c r="J8" t="n">
        <v>1.7</v>
      </c>
      <c r="K8" t="n">
        <v>1.4</v>
      </c>
      <c r="L8" t="n">
        <v>1.4</v>
      </c>
      <c r="M8" t="n">
        <v>1.4</v>
      </c>
    </row>
    <row r="9">
      <c r="A9" t="inlineStr">
        <is>
          <t>Kampot</t>
        </is>
      </c>
      <c r="B9" t="n">
        <v>2.4</v>
      </c>
      <c r="C9" t="n">
        <v>2.3</v>
      </c>
      <c r="D9" t="n">
        <v>2.5</v>
      </c>
      <c r="E9" t="n">
        <v>3</v>
      </c>
      <c r="F9" t="n">
        <v>2.8</v>
      </c>
      <c r="G9" t="n">
        <v>3.2</v>
      </c>
      <c r="H9" t="n">
        <v>3.8</v>
      </c>
      <c r="I9" t="n">
        <v>3.9</v>
      </c>
      <c r="J9" t="n">
        <v>3.8</v>
      </c>
      <c r="K9" t="n">
        <v>3.1</v>
      </c>
      <c r="L9" t="n">
        <v>3</v>
      </c>
      <c r="M9" t="n">
        <v>3.1</v>
      </c>
    </row>
    <row r="10">
      <c r="A10" t="inlineStr">
        <is>
          <t>Kandal</t>
        </is>
      </c>
      <c r="B10" t="n">
        <v>1.6</v>
      </c>
      <c r="C10" t="n">
        <v>1.7</v>
      </c>
      <c r="D10" t="n">
        <v>1.6</v>
      </c>
      <c r="E10" t="n">
        <v>2.9</v>
      </c>
      <c r="F10" t="n">
        <v>3.1</v>
      </c>
      <c r="G10" t="n">
        <v>2.7</v>
      </c>
      <c r="H10" t="n">
        <v>3.7</v>
      </c>
      <c r="I10" t="n">
        <v>4</v>
      </c>
      <c r="J10" t="n">
        <v>3.4</v>
      </c>
      <c r="K10" t="n">
        <v>2.7</v>
      </c>
      <c r="L10" t="n">
        <v>2.9</v>
      </c>
      <c r="M10" t="n">
        <v>2.5</v>
      </c>
    </row>
    <row r="11">
      <c r="A11" t="inlineStr">
        <is>
          <t>Kep</t>
        </is>
      </c>
      <c r="B11" t="n">
        <v>0.8</v>
      </c>
      <c r="C11" t="n">
        <v>1.2</v>
      </c>
      <c r="D11" t="n">
        <v>0.4</v>
      </c>
      <c r="E11" t="n">
        <v>2</v>
      </c>
      <c r="F11" t="n">
        <v>2.4</v>
      </c>
      <c r="G11" t="n">
        <v>1.6</v>
      </c>
      <c r="H11" t="n">
        <v>11.9</v>
      </c>
      <c r="I11" t="n">
        <v>14.8</v>
      </c>
      <c r="J11" t="n">
        <v>9.300000000000001</v>
      </c>
      <c r="K11" t="n">
        <v>4.9</v>
      </c>
      <c r="L11" t="n">
        <v>6.1</v>
      </c>
      <c r="M11" t="n">
        <v>3.8</v>
      </c>
    </row>
    <row r="12">
      <c r="A12" t="inlineStr">
        <is>
          <t>Koh Kong</t>
        </is>
      </c>
      <c r="B12" t="n">
        <v>6.7</v>
      </c>
      <c r="C12" t="n">
        <v>8.4</v>
      </c>
      <c r="D12" t="n">
        <v>5</v>
      </c>
      <c r="E12" t="n">
        <v>5.7</v>
      </c>
      <c r="F12" t="n">
        <v>5.8</v>
      </c>
      <c r="G12" t="n">
        <v>5.5</v>
      </c>
      <c r="H12" t="n">
        <v>18.6</v>
      </c>
      <c r="I12" t="n">
        <v>19.5</v>
      </c>
      <c r="J12" t="n">
        <v>17.7</v>
      </c>
      <c r="K12" t="n">
        <v>10.2</v>
      </c>
      <c r="L12" t="n">
        <v>11.2</v>
      </c>
      <c r="M12" t="n">
        <v>9.300000000000001</v>
      </c>
    </row>
    <row r="13">
      <c r="A13" t="inlineStr">
        <is>
          <t>Kratie</t>
        </is>
      </c>
      <c r="B13" t="n">
        <v>1.1</v>
      </c>
      <c r="C13" t="n">
        <v>1</v>
      </c>
      <c r="D13" t="n">
        <v>1.2</v>
      </c>
      <c r="E13" t="n">
        <v>0.5</v>
      </c>
      <c r="F13" t="n">
        <v>0.6</v>
      </c>
      <c r="G13" t="n">
        <v>0.4</v>
      </c>
      <c r="H13" t="n">
        <v>0.4</v>
      </c>
      <c r="I13" t="n">
        <v>0.3</v>
      </c>
      <c r="J13" t="n">
        <v>0.5</v>
      </c>
      <c r="K13" t="n">
        <v>0.7</v>
      </c>
      <c r="L13" t="n">
        <v>0.6</v>
      </c>
      <c r="M13" t="n">
        <v>0.7</v>
      </c>
    </row>
    <row r="14">
      <c r="A14" t="inlineStr">
        <is>
          <t>Mondul Kiri</t>
        </is>
      </c>
      <c r="B14" t="n">
        <v>2.4</v>
      </c>
      <c r="C14" t="n">
        <v>2.6</v>
      </c>
      <c r="D14" t="n">
        <v>2.2</v>
      </c>
      <c r="E14" t="n">
        <v>2.5</v>
      </c>
      <c r="F14" t="n">
        <v>2.7</v>
      </c>
      <c r="G14" t="n">
        <v>2.3</v>
      </c>
      <c r="H14" t="n">
        <v>2.7</v>
      </c>
      <c r="I14" t="n">
        <v>2.3</v>
      </c>
      <c r="J14" t="n">
        <v>3</v>
      </c>
      <c r="K14" t="n">
        <v>2.5</v>
      </c>
      <c r="L14" t="n">
        <v>2.5</v>
      </c>
      <c r="M14" t="n">
        <v>2.5</v>
      </c>
    </row>
    <row r="15">
      <c r="A15" t="inlineStr">
        <is>
          <t>Otdar Meanchey</t>
        </is>
      </c>
      <c r="B15" t="n">
        <v>0.5</v>
      </c>
      <c r="C15" t="n">
        <v>0.5</v>
      </c>
      <c r="D15" t="n">
        <v>0.5</v>
      </c>
      <c r="E15" t="n">
        <v>1.2</v>
      </c>
      <c r="F15" t="n">
        <v>1.2</v>
      </c>
      <c r="G15" t="n">
        <v>1.2</v>
      </c>
      <c r="H15" t="n">
        <v>3.5</v>
      </c>
      <c r="I15" t="n">
        <v>3.5</v>
      </c>
      <c r="J15" t="n">
        <v>3.6</v>
      </c>
      <c r="K15" t="n">
        <v>1.8</v>
      </c>
      <c r="L15" t="n">
        <v>1.7</v>
      </c>
      <c r="M15" t="n">
        <v>1.8</v>
      </c>
    </row>
    <row r="16">
      <c r="A16" t="inlineStr">
        <is>
          <t>Pailin</t>
        </is>
      </c>
      <c r="B16" t="n">
        <v>4.8</v>
      </c>
      <c r="C16" t="n">
        <v>4</v>
      </c>
      <c r="D16" t="n">
        <v>5.6</v>
      </c>
      <c r="E16" t="n">
        <v>11.2</v>
      </c>
      <c r="F16" t="n">
        <v>11.2</v>
      </c>
      <c r="G16" t="n">
        <v>11.2</v>
      </c>
      <c r="H16" t="n">
        <v>10.7</v>
      </c>
      <c r="I16" t="n">
        <v>9.6</v>
      </c>
      <c r="J16" t="n">
        <v>11.6</v>
      </c>
      <c r="K16" t="n">
        <v>8.800000000000001</v>
      </c>
      <c r="L16" t="n">
        <v>8.199999999999999</v>
      </c>
      <c r="M16" t="n">
        <v>9.4</v>
      </c>
    </row>
    <row r="17">
      <c r="A17" t="inlineStr">
        <is>
          <t>Phnom Penh</t>
        </is>
      </c>
      <c r="B17" t="n">
        <v>17.2</v>
      </c>
      <c r="C17" t="n">
        <v>17.6</v>
      </c>
      <c r="D17" t="n">
        <v>16.7</v>
      </c>
      <c r="E17" t="n">
        <v>23.4</v>
      </c>
      <c r="F17" t="n">
        <v>24.3</v>
      </c>
      <c r="G17" t="n">
        <v>22.5</v>
      </c>
      <c r="H17" t="n">
        <v>35.6</v>
      </c>
      <c r="I17" t="n">
        <v>36.5</v>
      </c>
      <c r="J17" t="n">
        <v>34.8</v>
      </c>
      <c r="K17" t="n">
        <v>24.8</v>
      </c>
      <c r="L17" t="n">
        <v>25.6</v>
      </c>
      <c r="M17" t="n">
        <v>24.2</v>
      </c>
    </row>
    <row r="18">
      <c r="A18" t="inlineStr">
        <is>
          <t>Preah Sihanouk</t>
        </is>
      </c>
      <c r="B18" t="n">
        <v>5.4</v>
      </c>
      <c r="C18" t="n">
        <v>5</v>
      </c>
      <c r="D18" t="n">
        <v>5.8</v>
      </c>
      <c r="E18" t="n">
        <v>10.1</v>
      </c>
      <c r="F18" t="n">
        <v>9.4</v>
      </c>
      <c r="G18" t="n">
        <v>10.7</v>
      </c>
      <c r="H18" t="n">
        <v>18</v>
      </c>
      <c r="I18" t="n">
        <v>16.8</v>
      </c>
      <c r="J18" t="n">
        <v>19.1</v>
      </c>
      <c r="K18" t="n">
        <v>11</v>
      </c>
      <c r="L18" t="n">
        <v>10.2</v>
      </c>
      <c r="M18" t="n">
        <v>11.7</v>
      </c>
    </row>
    <row r="19">
      <c r="A19" t="inlineStr">
        <is>
          <t>Preah Vihear</t>
        </is>
      </c>
      <c r="B19" t="n">
        <v>0.3</v>
      </c>
      <c r="C19" t="n">
        <v>0.4</v>
      </c>
      <c r="D19" t="n">
        <v>0.2</v>
      </c>
      <c r="E19" t="n">
        <v>0.6</v>
      </c>
      <c r="F19" t="n">
        <v>0.7</v>
      </c>
      <c r="G19" t="n">
        <v>0.5</v>
      </c>
      <c r="H19" t="n">
        <v>0.3</v>
      </c>
      <c r="I19" t="n">
        <v>0.3</v>
      </c>
      <c r="J19" t="n">
        <v>0.3</v>
      </c>
      <c r="K19" t="n">
        <v>0.4</v>
      </c>
      <c r="L19" t="n">
        <v>0.5</v>
      </c>
      <c r="M19" t="n">
        <v>0.3</v>
      </c>
    </row>
    <row r="20">
      <c r="A20" t="inlineStr">
        <is>
          <t>Prey Veng</t>
        </is>
      </c>
      <c r="B20" t="n">
        <v>0.1</v>
      </c>
      <c r="C20" t="n">
        <v>0</v>
      </c>
      <c r="D20" t="n">
        <v>0.1</v>
      </c>
      <c r="E20" t="n">
        <v>0.4</v>
      </c>
      <c r="F20" t="n">
        <v>0.4</v>
      </c>
      <c r="G20" t="n">
        <v>0.4</v>
      </c>
      <c r="H20" t="n">
        <v>0.3</v>
      </c>
      <c r="I20" t="n">
        <v>0.3</v>
      </c>
      <c r="J20" t="n">
        <v>0.4</v>
      </c>
      <c r="K20" t="n">
        <v>0.3</v>
      </c>
      <c r="L20" t="n">
        <v>0.2</v>
      </c>
      <c r="M20" t="n">
        <v>0.3</v>
      </c>
    </row>
    <row r="21">
      <c r="A21" t="inlineStr">
        <is>
          <t>Pursat</t>
        </is>
      </c>
      <c r="B21" t="n">
        <v>1.1</v>
      </c>
      <c r="C21" t="n">
        <v>1.3</v>
      </c>
      <c r="D21" t="n">
        <v>0.9</v>
      </c>
      <c r="E21" t="n">
        <v>1.4</v>
      </c>
      <c r="F21" t="n">
        <v>1.4</v>
      </c>
      <c r="G21" t="n">
        <v>1.3</v>
      </c>
      <c r="H21" t="n">
        <v>2.2</v>
      </c>
      <c r="I21" t="n">
        <v>2.2</v>
      </c>
      <c r="J21" t="n">
        <v>2.2</v>
      </c>
      <c r="K21" t="n">
        <v>1.5</v>
      </c>
      <c r="L21" t="n">
        <v>1.6</v>
      </c>
      <c r="M21" t="n">
        <v>1.4</v>
      </c>
    </row>
    <row r="22">
      <c r="A22" t="inlineStr">
        <is>
          <t>Ratanak Kiri</t>
        </is>
      </c>
      <c r="B22" t="n">
        <v>3.5</v>
      </c>
      <c r="C22" t="n">
        <v>3.7</v>
      </c>
      <c r="D22" t="n">
        <v>3.3</v>
      </c>
      <c r="E22" t="n">
        <v>6.5</v>
      </c>
      <c r="F22" t="n">
        <v>6.4</v>
      </c>
      <c r="G22" t="n">
        <v>6.7</v>
      </c>
      <c r="H22" t="n">
        <v>7.7</v>
      </c>
      <c r="I22" t="n">
        <v>6.8</v>
      </c>
      <c r="J22" t="n">
        <v>8.4</v>
      </c>
      <c r="K22" t="n">
        <v>5.9</v>
      </c>
      <c r="L22" t="n">
        <v>5.7</v>
      </c>
      <c r="M22" t="n">
        <v>6.2</v>
      </c>
    </row>
    <row r="23">
      <c r="A23" t="inlineStr">
        <is>
          <t>Siemreap</t>
        </is>
      </c>
      <c r="B23" t="n">
        <v>5.1</v>
      </c>
      <c r="C23" t="n">
        <v>5.4</v>
      </c>
      <c r="D23" t="n">
        <v>4.8</v>
      </c>
      <c r="E23" t="n">
        <v>6</v>
      </c>
      <c r="F23" t="n">
        <v>6.3</v>
      </c>
      <c r="G23" t="n">
        <v>5.8</v>
      </c>
      <c r="H23" t="n">
        <v>5.8</v>
      </c>
      <c r="I23" t="n">
        <v>6.6</v>
      </c>
      <c r="J23" t="n">
        <v>5.1</v>
      </c>
      <c r="K23" t="n">
        <v>5.6</v>
      </c>
      <c r="L23" t="n">
        <v>6.1</v>
      </c>
      <c r="M23" t="n">
        <v>5.2</v>
      </c>
    </row>
    <row r="24">
      <c r="A24" t="inlineStr">
        <is>
          <t>Stung Treng</t>
        </is>
      </c>
      <c r="B24" t="n">
        <v>2.4</v>
      </c>
      <c r="C24" t="n">
        <v>2.2</v>
      </c>
      <c r="D24" t="n">
        <v>2.5</v>
      </c>
      <c r="E24" t="n">
        <v>5.3</v>
      </c>
      <c r="F24" t="n">
        <v>6.1</v>
      </c>
      <c r="G24" t="n">
        <v>4.4</v>
      </c>
      <c r="H24" t="n">
        <v>4.8</v>
      </c>
      <c r="I24" t="n">
        <v>5.1</v>
      </c>
      <c r="J24" t="n">
        <v>4.4</v>
      </c>
      <c r="K24" t="n">
        <v>4.1</v>
      </c>
      <c r="L24" t="n">
        <v>4.5</v>
      </c>
      <c r="M24" t="n">
        <v>3.8</v>
      </c>
    </row>
    <row r="25">
      <c r="A25" t="inlineStr">
        <is>
          <t>Svay Rieng</t>
        </is>
      </c>
      <c r="B25" t="n">
        <v>0.4</v>
      </c>
      <c r="C25" t="n">
        <v>0.3</v>
      </c>
      <c r="D25" t="n">
        <v>0.5</v>
      </c>
      <c r="E25" t="n">
        <v>0.5</v>
      </c>
      <c r="F25" t="n">
        <v>0.6</v>
      </c>
      <c r="G25" t="n">
        <v>0.5</v>
      </c>
      <c r="H25" t="n">
        <v>2.9</v>
      </c>
      <c r="I25" t="n">
        <v>2.9</v>
      </c>
      <c r="J25" t="n">
        <v>2.8</v>
      </c>
      <c r="K25" t="n">
        <v>1.3</v>
      </c>
      <c r="L25" t="n">
        <v>1.3</v>
      </c>
      <c r="M25" t="n">
        <v>1.3</v>
      </c>
    </row>
    <row r="26">
      <c r="A26" t="inlineStr">
        <is>
          <t>Takeo</t>
        </is>
      </c>
      <c r="B26" t="n">
        <v>0.9</v>
      </c>
      <c r="C26" t="n">
        <v>1</v>
      </c>
      <c r="D26" t="n">
        <v>0.9</v>
      </c>
      <c r="E26" t="n">
        <v>2.7</v>
      </c>
      <c r="F26" t="n">
        <v>2.8</v>
      </c>
      <c r="G26" t="n">
        <v>2.6</v>
      </c>
      <c r="H26" t="n">
        <v>3</v>
      </c>
      <c r="I26" t="n">
        <v>2.7</v>
      </c>
      <c r="J26" t="n">
        <v>3.2</v>
      </c>
      <c r="K26" t="n">
        <v>2.2</v>
      </c>
      <c r="L26" t="n">
        <v>2.2</v>
      </c>
      <c r="M26" t="n">
        <v>2.2</v>
      </c>
    </row>
    <row r="27">
      <c r="A27" t="inlineStr">
        <is>
          <t>Tbaung Khmum</t>
        </is>
      </c>
      <c r="B27" t="n">
        <v>1.2</v>
      </c>
      <c r="C27" t="n">
        <v>1.3</v>
      </c>
      <c r="D27" t="n">
        <v>1.1</v>
      </c>
      <c r="E27" t="n">
        <v>2.6</v>
      </c>
      <c r="F27" t="n">
        <v>2.6</v>
      </c>
      <c r="G27" t="n">
        <v>2.7</v>
      </c>
      <c r="H27" t="n">
        <v>1.6</v>
      </c>
      <c r="I27" t="n">
        <v>1.6</v>
      </c>
      <c r="J27" t="n">
        <v>1.6</v>
      </c>
      <c r="K27" t="n">
        <v>1.8</v>
      </c>
      <c r="L27" t="n">
        <v>1.8</v>
      </c>
      <c r="M27" t="n">
        <v>1.8</v>
      </c>
    </row>
    <row r="28">
      <c r="A28" t="inlineStr">
        <is>
          <t>Whole Kingdom</t>
        </is>
      </c>
      <c r="B28" t="n">
        <v>3.5</v>
      </c>
      <c r="C28" t="n">
        <v>3.6</v>
      </c>
      <c r="D28" t="n">
        <v>3.4</v>
      </c>
      <c r="E28" t="n">
        <v>5</v>
      </c>
      <c r="F28" t="n">
        <v>5.2</v>
      </c>
      <c r="G28" t="n">
        <v>4.9</v>
      </c>
      <c r="H28" t="n">
        <v>6.9</v>
      </c>
      <c r="I28" t="n">
        <v>7</v>
      </c>
      <c r="J28" t="n">
        <v>6.8</v>
      </c>
      <c r="K28" t="n">
        <v>5.1</v>
      </c>
      <c r="L28" t="n">
        <v>5.2</v>
      </c>
      <c r="M28" t="n">
        <v>5</v>
      </c>
    </row>
    <row r="29">
      <c r="A29" t="inlineStr">
        <is>
          <t>- Urban Area</t>
        </is>
      </c>
      <c r="B29" t="n">
        <v>13.7</v>
      </c>
      <c r="C29" t="n">
        <v>14</v>
      </c>
      <c r="D29" t="n">
        <v>13.4</v>
      </c>
      <c r="E29" t="n">
        <v>19.1</v>
      </c>
      <c r="F29" t="n">
        <v>19.6</v>
      </c>
      <c r="G29" t="n">
        <v>18.7</v>
      </c>
      <c r="H29" t="n">
        <v>26.7</v>
      </c>
      <c r="I29" t="n">
        <v>27.2</v>
      </c>
      <c r="J29" t="n">
        <v>26.2</v>
      </c>
      <c r="K29" t="n">
        <v>19.6</v>
      </c>
      <c r="L29" t="n">
        <v>20</v>
      </c>
      <c r="M29" t="n">
        <v>19.2</v>
      </c>
    </row>
    <row r="30">
      <c r="A30" t="inlineStr">
        <is>
          <t>- Rural Area</t>
        </is>
      </c>
      <c r="B30" t="n">
        <v>0.6</v>
      </c>
      <c r="C30" t="n">
        <v>0.6</v>
      </c>
      <c r="D30" t="n">
        <v>0.5</v>
      </c>
      <c r="E30" t="n">
        <v>1.1</v>
      </c>
      <c r="F30" t="n">
        <v>1.2</v>
      </c>
      <c r="G30" t="n">
        <v>1.1</v>
      </c>
      <c r="H30" t="n">
        <v>1.6</v>
      </c>
      <c r="I30" t="n">
        <v>1.7</v>
      </c>
      <c r="J30" t="n">
        <v>1.5</v>
      </c>
      <c r="K30" t="n">
        <v>1.1</v>
      </c>
      <c r="L30" t="n">
        <v>1.2</v>
      </c>
      <c r="M30" t="n">
        <v>1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B9BD5"/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2.5" customWidth="1" min="1" max="1"/>
    <col width="14" customWidth="1" min="2" max="2"/>
    <col width="14.1640625" customWidth="1" min="5" max="5"/>
    <col width="14" customWidth="1" min="6" max="6"/>
    <col width="14.1640625" customWidth="1" min="8" max="8"/>
    <col width="14" customWidth="1" min="10" max="10"/>
    <col width="14.1640625" customWidth="1" min="11" max="11"/>
  </cols>
  <sheetData>
    <row r="1">
      <c r="A1" t="inlineStr">
        <is>
          <t>Province</t>
        </is>
      </c>
      <c r="B1" t="inlineStr">
        <is>
          <t>&lt; 3 Year</t>
        </is>
      </c>
      <c r="D1" t="inlineStr">
        <is>
          <t>Age 3</t>
        </is>
      </c>
      <c r="F1" t="inlineStr">
        <is>
          <t>Age 4</t>
        </is>
      </c>
      <c r="H1" t="inlineStr">
        <is>
          <t>Age 5</t>
        </is>
      </c>
      <c r="J1" t="inlineStr">
        <is>
          <t>Age 6</t>
        </is>
      </c>
    </row>
    <row r="2">
      <c r="B2" t="inlineStr">
        <is>
          <t>Total</t>
        </is>
      </c>
      <c r="C2" t="inlineStr">
        <is>
          <t>Girl</t>
        </is>
      </c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Girl</t>
        </is>
      </c>
      <c r="H2" t="inlineStr">
        <is>
          <t>Total</t>
        </is>
      </c>
      <c r="I2" t="inlineStr">
        <is>
          <t>Girl</t>
        </is>
      </c>
      <c r="J2" t="inlineStr">
        <is>
          <t>Total</t>
        </is>
      </c>
      <c r="K2" t="inlineStr">
        <is>
          <t>Girl</t>
        </is>
      </c>
    </row>
    <row r="3">
      <c r="A3" t="inlineStr">
        <is>
          <t>Banteay Meanchey</t>
        </is>
      </c>
      <c r="B3" t="n">
        <v>273</v>
      </c>
      <c r="C3" t="n">
        <v>134</v>
      </c>
      <c r="D3" t="n">
        <v>482</v>
      </c>
      <c r="E3" t="n">
        <v>254</v>
      </c>
      <c r="F3" t="n">
        <v>1147</v>
      </c>
      <c r="G3" t="n">
        <v>582</v>
      </c>
      <c r="H3" t="n">
        <v>1598</v>
      </c>
      <c r="I3" t="n">
        <v>775</v>
      </c>
      <c r="J3" t="n">
        <v>517</v>
      </c>
      <c r="K3" t="n">
        <v>258</v>
      </c>
    </row>
    <row r="4">
      <c r="A4" t="inlineStr">
        <is>
          <t>Battambang</t>
        </is>
      </c>
      <c r="B4" t="n">
        <v>181</v>
      </c>
      <c r="C4" t="n">
        <v>85</v>
      </c>
      <c r="D4" t="n">
        <v>343</v>
      </c>
      <c r="E4" t="n">
        <v>174</v>
      </c>
      <c r="F4" t="n">
        <v>521</v>
      </c>
      <c r="G4" t="n">
        <v>246</v>
      </c>
      <c r="H4" t="n">
        <v>644</v>
      </c>
      <c r="I4" t="n">
        <v>306</v>
      </c>
      <c r="J4" t="n">
        <v>381</v>
      </c>
      <c r="K4" t="n">
        <v>197</v>
      </c>
    </row>
    <row r="5">
      <c r="A5" t="inlineStr">
        <is>
          <t>Kampong Cham</t>
        </is>
      </c>
      <c r="B5" t="n">
        <v>902</v>
      </c>
      <c r="C5" t="n">
        <v>510</v>
      </c>
      <c r="D5" t="n">
        <v>285</v>
      </c>
      <c r="E5" t="n">
        <v>152</v>
      </c>
      <c r="F5" t="n">
        <v>111</v>
      </c>
      <c r="G5" t="n">
        <v>51</v>
      </c>
      <c r="H5" t="n">
        <v>143</v>
      </c>
      <c r="I5" t="n">
        <v>63</v>
      </c>
      <c r="J5" t="n">
        <v>21</v>
      </c>
      <c r="K5" t="n">
        <v>10</v>
      </c>
    </row>
    <row r="6">
      <c r="A6" t="inlineStr">
        <is>
          <t>Kampong Chhnang</t>
        </is>
      </c>
      <c r="B6" t="n">
        <v>3</v>
      </c>
      <c r="C6" t="n">
        <v>1</v>
      </c>
      <c r="D6" t="n">
        <v>208</v>
      </c>
      <c r="E6" t="n">
        <v>93</v>
      </c>
      <c r="F6" t="n">
        <v>361</v>
      </c>
      <c r="G6" t="n">
        <v>168</v>
      </c>
      <c r="H6" t="n">
        <v>579</v>
      </c>
      <c r="I6" t="n">
        <v>291</v>
      </c>
      <c r="J6" t="n">
        <v>173</v>
      </c>
      <c r="K6" t="n">
        <v>75</v>
      </c>
    </row>
    <row r="7">
      <c r="A7" t="inlineStr">
        <is>
          <t>Kampong Speu</t>
        </is>
      </c>
      <c r="B7" t="n">
        <v>87</v>
      </c>
      <c r="C7" t="n">
        <v>42</v>
      </c>
      <c r="D7" t="n">
        <v>378</v>
      </c>
      <c r="E7" t="n">
        <v>187</v>
      </c>
      <c r="F7" t="n">
        <v>718</v>
      </c>
      <c r="G7" t="n">
        <v>381</v>
      </c>
      <c r="H7" t="n">
        <v>1055</v>
      </c>
      <c r="I7" t="n">
        <v>568</v>
      </c>
      <c r="J7" t="n">
        <v>619</v>
      </c>
      <c r="K7" t="n">
        <v>325</v>
      </c>
    </row>
    <row r="8">
      <c r="A8" t="inlineStr">
        <is>
          <t>Kampong Thom</t>
        </is>
      </c>
      <c r="B8" t="n">
        <v>5</v>
      </c>
      <c r="C8" t="n">
        <v>3</v>
      </c>
      <c r="D8" t="n">
        <v>79</v>
      </c>
      <c r="E8" t="n">
        <v>35</v>
      </c>
      <c r="F8" t="n">
        <v>294</v>
      </c>
      <c r="G8" t="n">
        <v>145</v>
      </c>
      <c r="H8" t="n">
        <v>254</v>
      </c>
      <c r="I8" t="n">
        <v>126</v>
      </c>
      <c r="J8" t="n">
        <v>6</v>
      </c>
      <c r="K8" t="n">
        <v>3</v>
      </c>
    </row>
    <row r="9">
      <c r="A9" t="inlineStr">
        <is>
          <t>Kampot</t>
        </is>
      </c>
      <c r="B9" t="n">
        <v>83</v>
      </c>
      <c r="C9" t="n">
        <v>33</v>
      </c>
      <c r="D9" t="n">
        <v>301</v>
      </c>
      <c r="E9" t="n">
        <v>140</v>
      </c>
      <c r="F9" t="n">
        <v>378</v>
      </c>
      <c r="G9" t="n">
        <v>172</v>
      </c>
      <c r="H9" t="n">
        <v>485</v>
      </c>
      <c r="I9" t="n">
        <v>240</v>
      </c>
      <c r="J9" t="n">
        <v>5</v>
      </c>
      <c r="K9" t="n">
        <v>1</v>
      </c>
    </row>
    <row r="10">
      <c r="A10" t="inlineStr">
        <is>
          <t>Kandal</t>
        </is>
      </c>
      <c r="B10" t="n">
        <v>265</v>
      </c>
      <c r="C10" t="n">
        <v>130</v>
      </c>
      <c r="D10" t="n">
        <v>414</v>
      </c>
      <c r="E10" t="n">
        <v>215</v>
      </c>
      <c r="F10" t="n">
        <v>700</v>
      </c>
      <c r="G10" t="n">
        <v>364</v>
      </c>
      <c r="H10" t="n">
        <v>864</v>
      </c>
      <c r="I10" t="n">
        <v>453</v>
      </c>
      <c r="J10" t="n">
        <v>688</v>
      </c>
      <c r="K10" t="n">
        <v>369</v>
      </c>
    </row>
    <row r="11">
      <c r="A11" t="inlineStr">
        <is>
          <t>Kep</t>
        </is>
      </c>
      <c r="B11" t="n">
        <v>0</v>
      </c>
      <c r="C11" t="n">
        <v>0</v>
      </c>
      <c r="D11" t="n">
        <v>8</v>
      </c>
      <c r="E11" t="n">
        <v>6</v>
      </c>
      <c r="F11" t="n">
        <v>21</v>
      </c>
      <c r="G11" t="n">
        <v>12</v>
      </c>
      <c r="H11" t="n">
        <v>128</v>
      </c>
      <c r="I11" t="n">
        <v>76</v>
      </c>
      <c r="J11" t="n">
        <v>8</v>
      </c>
      <c r="K11" t="n">
        <v>5</v>
      </c>
    </row>
    <row r="12">
      <c r="A12" t="inlineStr">
        <is>
          <t>Koh Kong</t>
        </is>
      </c>
      <c r="B12" t="n">
        <v>28</v>
      </c>
      <c r="C12" t="n">
        <v>11</v>
      </c>
      <c r="D12" t="n">
        <v>240</v>
      </c>
      <c r="E12" t="n">
        <v>147</v>
      </c>
      <c r="F12" t="n">
        <v>197</v>
      </c>
      <c r="G12" t="n">
        <v>98</v>
      </c>
      <c r="H12" t="n">
        <v>633</v>
      </c>
      <c r="I12" t="n">
        <v>320</v>
      </c>
      <c r="J12" t="n">
        <v>78</v>
      </c>
      <c r="K12" t="n">
        <v>37</v>
      </c>
    </row>
    <row r="13">
      <c r="A13" t="inlineStr">
        <is>
          <t>Kratie</t>
        </is>
      </c>
      <c r="B13" t="n">
        <v>10</v>
      </c>
      <c r="C13" t="n">
        <v>0</v>
      </c>
      <c r="D13" t="n">
        <v>104</v>
      </c>
      <c r="E13" t="n">
        <v>45</v>
      </c>
      <c r="F13" t="n">
        <v>47</v>
      </c>
      <c r="G13" t="n">
        <v>27</v>
      </c>
      <c r="H13" t="n">
        <v>37</v>
      </c>
      <c r="I13" t="n">
        <v>15</v>
      </c>
      <c r="J13" t="n">
        <v>0</v>
      </c>
      <c r="K13" t="n">
        <v>0</v>
      </c>
    </row>
    <row r="14">
      <c r="A14" t="inlineStr">
        <is>
          <t>Mondul Kiri</t>
        </is>
      </c>
      <c r="B14" t="n">
        <v>10</v>
      </c>
      <c r="C14" t="n">
        <v>8</v>
      </c>
      <c r="D14" t="n">
        <v>53</v>
      </c>
      <c r="E14" t="n">
        <v>28</v>
      </c>
      <c r="F14" t="n">
        <v>55</v>
      </c>
      <c r="G14" t="n">
        <v>29</v>
      </c>
      <c r="H14" t="n">
        <v>59</v>
      </c>
      <c r="I14" t="n">
        <v>25</v>
      </c>
      <c r="J14" t="n">
        <v>0</v>
      </c>
      <c r="K14" t="n">
        <v>0</v>
      </c>
    </row>
    <row r="15">
      <c r="A15" t="inlineStr">
        <is>
          <t>Otdar Meanchey</t>
        </is>
      </c>
      <c r="B15" t="n">
        <v>0</v>
      </c>
      <c r="C15" t="n">
        <v>0</v>
      </c>
      <c r="D15" t="n">
        <v>29</v>
      </c>
      <c r="E15" t="n">
        <v>13</v>
      </c>
      <c r="F15" t="n">
        <v>73</v>
      </c>
      <c r="G15" t="n">
        <v>36</v>
      </c>
      <c r="H15" t="n">
        <v>213</v>
      </c>
      <c r="I15" t="n">
        <v>102</v>
      </c>
      <c r="J15" t="n">
        <v>3</v>
      </c>
      <c r="K15" t="n">
        <v>1</v>
      </c>
    </row>
    <row r="16">
      <c r="A16" t="inlineStr">
        <is>
          <t>Pailin</t>
        </is>
      </c>
      <c r="B16" t="n">
        <v>0</v>
      </c>
      <c r="C16" t="n">
        <v>0</v>
      </c>
      <c r="D16" t="n">
        <v>128</v>
      </c>
      <c r="E16" t="n">
        <v>52</v>
      </c>
      <c r="F16" t="n">
        <v>279</v>
      </c>
      <c r="G16" t="n">
        <v>136</v>
      </c>
      <c r="H16" t="n">
        <v>256</v>
      </c>
      <c r="I16" t="n">
        <v>112</v>
      </c>
      <c r="J16" t="n">
        <v>11</v>
      </c>
      <c r="K16" t="n">
        <v>7</v>
      </c>
    </row>
    <row r="17">
      <c r="A17" t="inlineStr">
        <is>
          <t>Phnom Penh</t>
        </is>
      </c>
      <c r="B17" t="n">
        <v>857</v>
      </c>
      <c r="C17" t="n">
        <v>415</v>
      </c>
      <c r="D17" t="n">
        <v>5773</v>
      </c>
      <c r="E17" t="n">
        <v>2867</v>
      </c>
      <c r="F17" t="n">
        <v>7071</v>
      </c>
      <c r="G17" t="n">
        <v>3547</v>
      </c>
      <c r="H17" t="n">
        <v>9878</v>
      </c>
      <c r="I17" t="n">
        <v>4868</v>
      </c>
      <c r="J17" t="n">
        <v>692</v>
      </c>
      <c r="K17" t="n">
        <v>291</v>
      </c>
    </row>
    <row r="18">
      <c r="A18" t="inlineStr">
        <is>
          <t>Preah Sihanouk</t>
        </is>
      </c>
      <c r="B18" t="n">
        <v>43</v>
      </c>
      <c r="C18" t="n">
        <v>22</v>
      </c>
      <c r="D18" t="n">
        <v>382</v>
      </c>
      <c r="E18" t="n">
        <v>166</v>
      </c>
      <c r="F18" t="n">
        <v>546</v>
      </c>
      <c r="G18" t="n">
        <v>249</v>
      </c>
      <c r="H18" t="n">
        <v>939</v>
      </c>
      <c r="I18" t="n">
        <v>425</v>
      </c>
      <c r="J18" t="n">
        <v>72</v>
      </c>
      <c r="K18" t="n">
        <v>31</v>
      </c>
    </row>
    <row r="19">
      <c r="A19" t="inlineStr">
        <is>
          <t>Preah Vihear</t>
        </is>
      </c>
      <c r="B19" t="n">
        <v>4</v>
      </c>
      <c r="C19" t="n">
        <v>2</v>
      </c>
      <c r="D19" t="n">
        <v>13</v>
      </c>
      <c r="E19" t="n">
        <v>9</v>
      </c>
      <c r="F19" t="n">
        <v>28</v>
      </c>
      <c r="G19" t="n">
        <v>17</v>
      </c>
      <c r="H19" t="n">
        <v>15</v>
      </c>
      <c r="I19" t="n">
        <v>7</v>
      </c>
      <c r="J19" t="n">
        <v>0</v>
      </c>
      <c r="K19" t="n">
        <v>0</v>
      </c>
    </row>
    <row r="20">
      <c r="A20" t="inlineStr">
        <is>
          <t>Prey Veng</t>
        </is>
      </c>
      <c r="B20" t="n">
        <v>21</v>
      </c>
      <c r="C20" t="n">
        <v>8</v>
      </c>
      <c r="D20" t="n">
        <v>17</v>
      </c>
      <c r="E20" t="n">
        <v>3</v>
      </c>
      <c r="F20" t="n">
        <v>78</v>
      </c>
      <c r="G20" t="n">
        <v>36</v>
      </c>
      <c r="H20" t="n">
        <v>61</v>
      </c>
      <c r="I20" t="n">
        <v>24</v>
      </c>
      <c r="J20" t="n">
        <v>0</v>
      </c>
      <c r="K20" t="n">
        <v>0</v>
      </c>
    </row>
    <row r="21">
      <c r="A21" t="inlineStr">
        <is>
          <t>Pursat</t>
        </is>
      </c>
      <c r="B21" t="n">
        <v>0</v>
      </c>
      <c r="C21" t="n">
        <v>0</v>
      </c>
      <c r="D21" t="n">
        <v>104</v>
      </c>
      <c r="E21" t="n">
        <v>60</v>
      </c>
      <c r="F21" t="n">
        <v>132</v>
      </c>
      <c r="G21" t="n">
        <v>66</v>
      </c>
      <c r="H21" t="n">
        <v>206</v>
      </c>
      <c r="I21" t="n">
        <v>99</v>
      </c>
      <c r="J21" t="n">
        <v>251</v>
      </c>
      <c r="K21" t="n">
        <v>96</v>
      </c>
    </row>
    <row r="22">
      <c r="A22" t="inlineStr">
        <is>
          <t>Ratanak Kiri</t>
        </is>
      </c>
      <c r="B22" t="n">
        <v>82</v>
      </c>
      <c r="C22" t="n">
        <v>41</v>
      </c>
      <c r="D22" t="n">
        <v>156</v>
      </c>
      <c r="E22" t="n">
        <v>82</v>
      </c>
      <c r="F22" t="n">
        <v>300</v>
      </c>
      <c r="G22" t="n">
        <v>145</v>
      </c>
      <c r="H22" t="n">
        <v>359</v>
      </c>
      <c r="I22" t="n">
        <v>159</v>
      </c>
      <c r="J22" t="n">
        <v>96</v>
      </c>
      <c r="K22" t="n">
        <v>40</v>
      </c>
    </row>
    <row r="23">
      <c r="A23" t="inlineStr">
        <is>
          <t>Siemreap</t>
        </is>
      </c>
      <c r="B23" t="n">
        <v>97</v>
      </c>
      <c r="C23" t="n">
        <v>43</v>
      </c>
      <c r="D23" t="n">
        <v>1381</v>
      </c>
      <c r="E23" t="n">
        <v>705</v>
      </c>
      <c r="F23" t="n">
        <v>1570</v>
      </c>
      <c r="G23" t="n">
        <v>792</v>
      </c>
      <c r="H23" t="n">
        <v>1482</v>
      </c>
      <c r="I23" t="n">
        <v>807</v>
      </c>
      <c r="J23" t="n">
        <v>1193</v>
      </c>
      <c r="K23" t="n">
        <v>614</v>
      </c>
    </row>
    <row r="24">
      <c r="A24" t="inlineStr">
        <is>
          <t>Stung Treng</t>
        </is>
      </c>
      <c r="B24" t="n">
        <v>57</v>
      </c>
      <c r="C24" t="n">
        <v>25</v>
      </c>
      <c r="D24" t="n">
        <v>78</v>
      </c>
      <c r="E24" t="n">
        <v>36</v>
      </c>
      <c r="F24" t="n">
        <v>173</v>
      </c>
      <c r="G24" t="n">
        <v>100</v>
      </c>
      <c r="H24" t="n">
        <v>158</v>
      </c>
      <c r="I24" t="n">
        <v>84</v>
      </c>
      <c r="J24" t="n">
        <v>0</v>
      </c>
      <c r="K24" t="n">
        <v>0</v>
      </c>
    </row>
    <row r="25">
      <c r="A25" t="inlineStr">
        <is>
          <t>Svay Rieng</t>
        </is>
      </c>
      <c r="B25" t="n">
        <v>23</v>
      </c>
      <c r="C25" t="n">
        <v>11</v>
      </c>
      <c r="D25" t="n">
        <v>41</v>
      </c>
      <c r="E25" t="n">
        <v>15</v>
      </c>
      <c r="F25" t="n">
        <v>49</v>
      </c>
      <c r="G25" t="n">
        <v>27</v>
      </c>
      <c r="H25" t="n">
        <v>267</v>
      </c>
      <c r="I25" t="n">
        <v>136</v>
      </c>
      <c r="J25" t="n">
        <v>0</v>
      </c>
      <c r="K25" t="n">
        <v>0</v>
      </c>
    </row>
    <row r="26">
      <c r="A26" t="inlineStr">
        <is>
          <t>Takeo</t>
        </is>
      </c>
      <c r="B26" t="n">
        <v>14</v>
      </c>
      <c r="C26" t="n">
        <v>7</v>
      </c>
      <c r="D26" t="n">
        <v>159</v>
      </c>
      <c r="E26" t="n">
        <v>81</v>
      </c>
      <c r="F26" t="n">
        <v>458</v>
      </c>
      <c r="G26" t="n">
        <v>233</v>
      </c>
      <c r="H26" t="n">
        <v>514</v>
      </c>
      <c r="I26" t="n">
        <v>227</v>
      </c>
      <c r="J26" t="n">
        <v>35</v>
      </c>
      <c r="K26" t="n">
        <v>17</v>
      </c>
    </row>
    <row r="27">
      <c r="A27" t="inlineStr">
        <is>
          <t>Tbaung Khmum</t>
        </is>
      </c>
      <c r="B27" t="n">
        <v>3</v>
      </c>
      <c r="C27" t="n">
        <v>1</v>
      </c>
      <c r="D27" t="n">
        <v>133</v>
      </c>
      <c r="E27" t="n">
        <v>67</v>
      </c>
      <c r="F27" t="n">
        <v>404</v>
      </c>
      <c r="G27" t="n">
        <v>194</v>
      </c>
      <c r="H27" t="n">
        <v>245</v>
      </c>
      <c r="I27" t="n">
        <v>120</v>
      </c>
      <c r="J27" t="n">
        <v>35</v>
      </c>
      <c r="K27" t="n">
        <v>9</v>
      </c>
    </row>
    <row r="28">
      <c r="A28" t="inlineStr">
        <is>
          <t>Whole Kingdom</t>
        </is>
      </c>
      <c r="B28" t="n">
        <v>3048</v>
      </c>
      <c r="C28" t="n">
        <v>1532</v>
      </c>
      <c r="D28" t="n">
        <v>11289</v>
      </c>
      <c r="E28" t="n">
        <v>5632</v>
      </c>
      <c r="F28" t="n">
        <v>15711</v>
      </c>
      <c r="G28" t="n">
        <v>7853</v>
      </c>
      <c r="H28" t="n">
        <v>21072</v>
      </c>
      <c r="I28" t="n">
        <v>10428</v>
      </c>
      <c r="J28" t="n">
        <v>4884</v>
      </c>
      <c r="K28" t="n">
        <v>2386</v>
      </c>
    </row>
    <row r="29">
      <c r="A29" t="inlineStr">
        <is>
          <t>- Urban Area</t>
        </is>
      </c>
      <c r="B29" t="n">
        <v>1855</v>
      </c>
      <c r="C29" t="n">
        <v>882</v>
      </c>
      <c r="D29" t="n">
        <v>9845</v>
      </c>
      <c r="E29" t="n">
        <v>4874</v>
      </c>
      <c r="F29" t="n">
        <v>12927</v>
      </c>
      <c r="G29" t="n">
        <v>6406</v>
      </c>
      <c r="H29" t="n">
        <v>17250</v>
      </c>
      <c r="I29" t="n">
        <v>8484</v>
      </c>
      <c r="J29" t="n">
        <v>3373</v>
      </c>
      <c r="K29" t="n">
        <v>1625</v>
      </c>
    </row>
    <row r="30">
      <c r="A30" t="inlineStr">
        <is>
          <t>- Rural Area</t>
        </is>
      </c>
      <c r="B30" t="n">
        <v>1193</v>
      </c>
      <c r="C30" t="n">
        <v>650</v>
      </c>
      <c r="D30" t="n">
        <v>1444</v>
      </c>
      <c r="E30" t="n">
        <v>758</v>
      </c>
      <c r="F30" t="n">
        <v>2784</v>
      </c>
      <c r="G30" t="n">
        <v>1447</v>
      </c>
      <c r="H30" t="n">
        <v>3822</v>
      </c>
      <c r="I30" t="n">
        <v>1944</v>
      </c>
      <c r="J30" t="n">
        <v>1511</v>
      </c>
      <c r="K30" t="n">
        <v>761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5B9BD5"/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2" customWidth="1" min="1" max="1"/>
    <col width="14.1640625" customWidth="1" min="2" max="2"/>
    <col width="14" customWidth="1" min="3" max="3"/>
    <col width="14.1640625" customWidth="1" min="4" max="4"/>
    <col width="14" customWidth="1" min="6" max="6"/>
    <col width="14.1640625" customWidth="1" min="7" max="7"/>
    <col width="14.5" customWidth="1" min="10" max="10"/>
  </cols>
  <sheetData>
    <row r="1">
      <c r="A1" t="inlineStr">
        <is>
          <t>Province</t>
        </is>
      </c>
      <c r="B1" t="inlineStr">
        <is>
          <t>Lowest Step</t>
        </is>
      </c>
      <c r="D1" t="inlineStr">
        <is>
          <t>Medium Step</t>
        </is>
      </c>
      <c r="F1" t="inlineStr">
        <is>
          <t>Highest Step</t>
        </is>
      </c>
      <c r="H1" t="inlineStr">
        <is>
          <t>Mixed Step</t>
        </is>
      </c>
      <c r="J1" t="inlineStr">
        <is>
          <t>Total</t>
        </is>
      </c>
    </row>
    <row r="2">
      <c r="B2" t="inlineStr">
        <is>
          <t>Total</t>
        </is>
      </c>
      <c r="C2" t="inlineStr">
        <is>
          <t>Girl</t>
        </is>
      </c>
      <c r="D2" t="inlineStr">
        <is>
          <t>Total</t>
        </is>
      </c>
      <c r="E2" t="inlineStr">
        <is>
          <t>Girl</t>
        </is>
      </c>
      <c r="F2" t="inlineStr">
        <is>
          <t>Total</t>
        </is>
      </c>
      <c r="G2" t="inlineStr">
        <is>
          <t>Girl</t>
        </is>
      </c>
      <c r="H2" t="inlineStr">
        <is>
          <t>Total</t>
        </is>
      </c>
      <c r="I2" t="inlineStr">
        <is>
          <t>Girl</t>
        </is>
      </c>
      <c r="J2" t="inlineStr">
        <is>
          <t>Total</t>
        </is>
      </c>
      <c r="K2" t="inlineStr">
        <is>
          <t>Girl</t>
        </is>
      </c>
    </row>
    <row r="3">
      <c r="A3" t="inlineStr">
        <is>
          <t>Banteay Meanchey</t>
        </is>
      </c>
      <c r="B3" t="n">
        <v>508</v>
      </c>
      <c r="C3" t="n">
        <v>299</v>
      </c>
      <c r="D3" t="n">
        <v>469</v>
      </c>
      <c r="E3" t="n">
        <v>234</v>
      </c>
      <c r="F3" t="n">
        <v>749</v>
      </c>
      <c r="G3" t="n">
        <v>347</v>
      </c>
      <c r="H3" t="n">
        <v>2291</v>
      </c>
      <c r="I3" t="n">
        <v>1123</v>
      </c>
      <c r="J3" t="n">
        <v>4017</v>
      </c>
      <c r="K3" t="n">
        <v>2003</v>
      </c>
    </row>
    <row r="4">
      <c r="A4" t="inlineStr">
        <is>
          <t>Battambang</t>
        </is>
      </c>
      <c r="B4" t="n">
        <v>381</v>
      </c>
      <c r="C4" t="n">
        <v>191</v>
      </c>
      <c r="D4" t="n">
        <v>339</v>
      </c>
      <c r="E4" t="n">
        <v>166</v>
      </c>
      <c r="F4" t="n">
        <v>497</v>
      </c>
      <c r="G4" t="n">
        <v>232</v>
      </c>
      <c r="H4" t="n">
        <v>853</v>
      </c>
      <c r="I4" t="n">
        <v>419</v>
      </c>
      <c r="J4" t="n">
        <v>2070</v>
      </c>
      <c r="K4" t="n">
        <v>1008</v>
      </c>
    </row>
    <row r="5">
      <c r="A5" t="inlineStr">
        <is>
          <t>Kampong Cham</t>
        </is>
      </c>
      <c r="B5" t="n">
        <v>321</v>
      </c>
      <c r="C5" t="n">
        <v>172</v>
      </c>
      <c r="D5" t="n">
        <v>82</v>
      </c>
      <c r="E5" t="n">
        <v>37</v>
      </c>
      <c r="F5" t="n">
        <v>114</v>
      </c>
      <c r="G5" t="n">
        <v>48</v>
      </c>
      <c r="H5" t="n">
        <v>945</v>
      </c>
      <c r="I5" t="n">
        <v>529</v>
      </c>
      <c r="J5" t="n">
        <v>1462</v>
      </c>
      <c r="K5" t="n">
        <v>786</v>
      </c>
    </row>
    <row r="6">
      <c r="A6" t="inlineStr">
        <is>
          <t>Kampong Chhnang</t>
        </is>
      </c>
      <c r="B6" t="n">
        <v>228</v>
      </c>
      <c r="C6" t="n">
        <v>109</v>
      </c>
      <c r="D6" t="n">
        <v>362</v>
      </c>
      <c r="E6" t="n">
        <v>175</v>
      </c>
      <c r="F6" t="n">
        <v>499</v>
      </c>
      <c r="G6" t="n">
        <v>236</v>
      </c>
      <c r="H6" t="n">
        <v>235</v>
      </c>
      <c r="I6" t="n">
        <v>108</v>
      </c>
      <c r="J6" t="n">
        <v>1324</v>
      </c>
      <c r="K6" t="n">
        <v>628</v>
      </c>
    </row>
    <row r="7">
      <c r="A7" t="inlineStr">
        <is>
          <t>Kampong Speu</t>
        </is>
      </c>
      <c r="B7" t="n">
        <v>429</v>
      </c>
      <c r="C7" t="n">
        <v>214</v>
      </c>
      <c r="D7" t="n">
        <v>610</v>
      </c>
      <c r="E7" t="n">
        <v>322</v>
      </c>
      <c r="F7" t="n">
        <v>899</v>
      </c>
      <c r="G7" t="n">
        <v>482</v>
      </c>
      <c r="H7" t="n">
        <v>919</v>
      </c>
      <c r="I7" t="n">
        <v>485</v>
      </c>
      <c r="J7" t="n">
        <v>2857</v>
      </c>
      <c r="K7" t="n">
        <v>1503</v>
      </c>
    </row>
    <row r="8">
      <c r="A8" t="inlineStr">
        <is>
          <t>Kampong Thom</t>
        </is>
      </c>
      <c r="B8" t="n">
        <v>68</v>
      </c>
      <c r="C8" t="n">
        <v>30</v>
      </c>
      <c r="D8" t="n">
        <v>250</v>
      </c>
      <c r="E8" t="n">
        <v>120</v>
      </c>
      <c r="F8" t="n">
        <v>225</v>
      </c>
      <c r="G8" t="n">
        <v>111</v>
      </c>
      <c r="H8" t="n">
        <v>95</v>
      </c>
      <c r="I8" t="n">
        <v>51</v>
      </c>
      <c r="J8" t="n">
        <v>638</v>
      </c>
      <c r="K8" t="n">
        <v>312</v>
      </c>
    </row>
    <row r="9">
      <c r="A9" t="inlineStr">
        <is>
          <t>Kampot</t>
        </is>
      </c>
      <c r="B9" t="n">
        <v>317</v>
      </c>
      <c r="C9" t="n">
        <v>143</v>
      </c>
      <c r="D9" t="n">
        <v>339</v>
      </c>
      <c r="E9" t="n">
        <v>156</v>
      </c>
      <c r="F9" t="n">
        <v>481</v>
      </c>
      <c r="G9" t="n">
        <v>240</v>
      </c>
      <c r="H9" t="n">
        <v>115</v>
      </c>
      <c r="I9" t="n">
        <v>47</v>
      </c>
      <c r="J9" t="n">
        <v>1252</v>
      </c>
      <c r="K9" t="n">
        <v>586</v>
      </c>
    </row>
    <row r="10">
      <c r="A10" t="inlineStr">
        <is>
          <t>Kandal</t>
        </is>
      </c>
      <c r="B10" t="n">
        <v>382</v>
      </c>
      <c r="C10" t="n">
        <v>201</v>
      </c>
      <c r="D10" t="n">
        <v>448</v>
      </c>
      <c r="E10" t="n">
        <v>235</v>
      </c>
      <c r="F10" t="n">
        <v>532</v>
      </c>
      <c r="G10" t="n">
        <v>255</v>
      </c>
      <c r="H10" t="n">
        <v>1569</v>
      </c>
      <c r="I10" t="n">
        <v>840</v>
      </c>
      <c r="J10" t="n">
        <v>2931</v>
      </c>
      <c r="K10" t="n">
        <v>1531</v>
      </c>
    </row>
    <row r="11">
      <c r="A11" t="inlineStr">
        <is>
          <t>Kep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165</v>
      </c>
      <c r="I11" t="n">
        <v>99</v>
      </c>
      <c r="J11" t="n">
        <v>165</v>
      </c>
      <c r="K11" t="n">
        <v>99</v>
      </c>
    </row>
    <row r="12">
      <c r="A12" t="inlineStr">
        <is>
          <t>Koh Kong</t>
        </is>
      </c>
      <c r="B12" t="n">
        <v>205</v>
      </c>
      <c r="C12" t="n">
        <v>120</v>
      </c>
      <c r="D12" t="n">
        <v>115</v>
      </c>
      <c r="E12" t="n">
        <v>50</v>
      </c>
      <c r="F12" t="n">
        <v>443</v>
      </c>
      <c r="G12" t="n">
        <v>204</v>
      </c>
      <c r="H12" t="n">
        <v>413</v>
      </c>
      <c r="I12" t="n">
        <v>239</v>
      </c>
      <c r="J12" t="n">
        <v>1176</v>
      </c>
      <c r="K12" t="n">
        <v>613</v>
      </c>
    </row>
    <row r="13">
      <c r="A13" t="inlineStr">
        <is>
          <t>Kratie</t>
        </is>
      </c>
      <c r="B13" t="n">
        <v>86</v>
      </c>
      <c r="C13" t="n">
        <v>30</v>
      </c>
      <c r="D13" t="n">
        <v>75</v>
      </c>
      <c r="E13" t="n">
        <v>42</v>
      </c>
      <c r="F13" t="n">
        <v>37</v>
      </c>
      <c r="G13" t="n">
        <v>15</v>
      </c>
      <c r="H13" t="n">
        <v>0</v>
      </c>
      <c r="I13" t="n">
        <v>0</v>
      </c>
      <c r="J13" t="n">
        <v>198</v>
      </c>
      <c r="K13" t="n">
        <v>87</v>
      </c>
    </row>
    <row r="14">
      <c r="A14" t="inlineStr">
        <is>
          <t>Mondul Kiri</t>
        </is>
      </c>
      <c r="B14" t="n">
        <v>61</v>
      </c>
      <c r="C14" t="n">
        <v>35</v>
      </c>
      <c r="D14" t="n">
        <v>43</v>
      </c>
      <c r="E14" t="n">
        <v>23</v>
      </c>
      <c r="F14" t="n">
        <v>52</v>
      </c>
      <c r="G14" t="n">
        <v>23</v>
      </c>
      <c r="H14" t="n">
        <v>21</v>
      </c>
      <c r="I14" t="n">
        <v>9</v>
      </c>
      <c r="J14" t="n">
        <v>177</v>
      </c>
      <c r="K14" t="n">
        <v>90</v>
      </c>
    </row>
    <row r="15">
      <c r="A15" t="inlineStr">
        <is>
          <t>Otdar Meanchey</t>
        </is>
      </c>
      <c r="B15" t="n">
        <v>24</v>
      </c>
      <c r="C15" t="n">
        <v>11</v>
      </c>
      <c r="D15" t="n">
        <v>99</v>
      </c>
      <c r="E15" t="n">
        <v>45</v>
      </c>
      <c r="F15" t="n">
        <v>161</v>
      </c>
      <c r="G15" t="n">
        <v>74</v>
      </c>
      <c r="H15" t="n">
        <v>34</v>
      </c>
      <c r="I15" t="n">
        <v>22</v>
      </c>
      <c r="J15" t="n">
        <v>318</v>
      </c>
      <c r="K15" t="n">
        <v>152</v>
      </c>
    </row>
    <row r="16">
      <c r="A16" t="inlineStr">
        <is>
          <t>Pailin</t>
        </is>
      </c>
      <c r="B16" t="n">
        <v>139</v>
      </c>
      <c r="C16" t="n">
        <v>59</v>
      </c>
      <c r="D16" t="n">
        <v>265</v>
      </c>
      <c r="E16" t="n">
        <v>128</v>
      </c>
      <c r="F16" t="n">
        <v>218</v>
      </c>
      <c r="G16" t="n">
        <v>90</v>
      </c>
      <c r="H16" t="n">
        <v>52</v>
      </c>
      <c r="I16" t="n">
        <v>30</v>
      </c>
      <c r="J16" t="n">
        <v>674</v>
      </c>
      <c r="K16" t="n">
        <v>307</v>
      </c>
    </row>
    <row r="17">
      <c r="A17" t="inlineStr">
        <is>
          <t>Phnom Penh</t>
        </is>
      </c>
      <c r="B17" t="n">
        <v>5763</v>
      </c>
      <c r="C17" t="n">
        <v>2849</v>
      </c>
      <c r="D17" t="n">
        <v>6028</v>
      </c>
      <c r="E17" t="n">
        <v>3026</v>
      </c>
      <c r="F17" t="n">
        <v>8660</v>
      </c>
      <c r="G17" t="n">
        <v>4281</v>
      </c>
      <c r="H17" t="n">
        <v>3820</v>
      </c>
      <c r="I17" t="n">
        <v>1832</v>
      </c>
      <c r="J17" t="n">
        <v>24271</v>
      </c>
      <c r="K17" t="n">
        <v>11988</v>
      </c>
    </row>
    <row r="18">
      <c r="A18" t="inlineStr">
        <is>
          <t>Preah Sihanouk</t>
        </is>
      </c>
      <c r="B18" t="n">
        <v>379</v>
      </c>
      <c r="C18" t="n">
        <v>161</v>
      </c>
      <c r="D18" t="n">
        <v>464</v>
      </c>
      <c r="E18" t="n">
        <v>209</v>
      </c>
      <c r="F18" t="n">
        <v>810</v>
      </c>
      <c r="G18" t="n">
        <v>372</v>
      </c>
      <c r="H18" t="n">
        <v>329</v>
      </c>
      <c r="I18" t="n">
        <v>151</v>
      </c>
      <c r="J18" t="n">
        <v>1982</v>
      </c>
      <c r="K18" t="n">
        <v>893</v>
      </c>
    </row>
    <row r="19">
      <c r="A19" t="inlineStr">
        <is>
          <t>Preah Vihear</t>
        </is>
      </c>
      <c r="B19" t="n">
        <v>13</v>
      </c>
      <c r="C19" t="n">
        <v>9</v>
      </c>
      <c r="D19" t="n">
        <v>21</v>
      </c>
      <c r="E19" t="n">
        <v>13</v>
      </c>
      <c r="F19" t="n">
        <v>11</v>
      </c>
      <c r="G19" t="n">
        <v>7</v>
      </c>
      <c r="H19" t="n">
        <v>15</v>
      </c>
      <c r="I19" t="n">
        <v>6</v>
      </c>
      <c r="J19" t="n">
        <v>60</v>
      </c>
      <c r="K19" t="n">
        <v>35</v>
      </c>
    </row>
    <row r="20">
      <c r="A20" t="inlineStr">
        <is>
          <t>Prey Veng</t>
        </is>
      </c>
      <c r="B20" t="n">
        <v>38</v>
      </c>
      <c r="C20" t="n">
        <v>11</v>
      </c>
      <c r="D20" t="n">
        <v>78</v>
      </c>
      <c r="E20" t="n">
        <v>36</v>
      </c>
      <c r="F20" t="n">
        <v>61</v>
      </c>
      <c r="G20" t="n">
        <v>24</v>
      </c>
      <c r="H20" t="n">
        <v>0</v>
      </c>
      <c r="I20" t="n">
        <v>0</v>
      </c>
      <c r="J20" t="n">
        <v>177</v>
      </c>
      <c r="K20" t="n">
        <v>71</v>
      </c>
    </row>
    <row r="21">
      <c r="A21" t="inlineStr">
        <is>
          <t>Pursat</t>
        </is>
      </c>
      <c r="B21" t="n">
        <v>0</v>
      </c>
      <c r="C21" t="n">
        <v>0</v>
      </c>
      <c r="D21" t="n">
        <v>43</v>
      </c>
      <c r="E21" t="n">
        <v>26</v>
      </c>
      <c r="F21" t="n">
        <v>54</v>
      </c>
      <c r="G21" t="n">
        <v>30</v>
      </c>
      <c r="H21" t="n">
        <v>596</v>
      </c>
      <c r="I21" t="n">
        <v>265</v>
      </c>
      <c r="J21" t="n">
        <v>693</v>
      </c>
      <c r="K21" t="n">
        <v>321</v>
      </c>
    </row>
    <row r="22">
      <c r="A22" t="inlineStr">
        <is>
          <t>Ratanak Kiri</t>
        </is>
      </c>
      <c r="B22" t="n">
        <v>237</v>
      </c>
      <c r="C22" t="n">
        <v>123</v>
      </c>
      <c r="D22" t="n">
        <v>279</v>
      </c>
      <c r="E22" t="n">
        <v>137</v>
      </c>
      <c r="F22" t="n">
        <v>336</v>
      </c>
      <c r="G22" t="n">
        <v>148</v>
      </c>
      <c r="H22" t="n">
        <v>141</v>
      </c>
      <c r="I22" t="n">
        <v>59</v>
      </c>
      <c r="J22" t="n">
        <v>993</v>
      </c>
      <c r="K22" t="n">
        <v>467</v>
      </c>
    </row>
    <row r="23">
      <c r="A23" t="inlineStr">
        <is>
          <t>Siemreap</t>
        </is>
      </c>
      <c r="B23" t="n">
        <v>1355</v>
      </c>
      <c r="C23" t="n">
        <v>676</v>
      </c>
      <c r="D23" t="n">
        <v>1353</v>
      </c>
      <c r="E23" t="n">
        <v>670</v>
      </c>
      <c r="F23" t="n">
        <v>1177</v>
      </c>
      <c r="G23" t="n">
        <v>643</v>
      </c>
      <c r="H23" t="n">
        <v>1838</v>
      </c>
      <c r="I23" t="n">
        <v>972</v>
      </c>
      <c r="J23" t="n">
        <v>5723</v>
      </c>
      <c r="K23" t="n">
        <v>2961</v>
      </c>
    </row>
    <row r="24">
      <c r="A24" t="inlineStr">
        <is>
          <t>Stung Treng</t>
        </is>
      </c>
      <c r="B24" t="n">
        <v>93</v>
      </c>
      <c r="C24" t="n">
        <v>39</v>
      </c>
      <c r="D24" t="n">
        <v>125</v>
      </c>
      <c r="E24" t="n">
        <v>72</v>
      </c>
      <c r="F24" t="n">
        <v>114</v>
      </c>
      <c r="G24" t="n">
        <v>65</v>
      </c>
      <c r="H24" t="n">
        <v>134</v>
      </c>
      <c r="I24" t="n">
        <v>69</v>
      </c>
      <c r="J24" t="n">
        <v>466</v>
      </c>
      <c r="K24" t="n">
        <v>245</v>
      </c>
    </row>
    <row r="25">
      <c r="A25" t="inlineStr">
        <is>
          <t>Svay Rieng</t>
        </is>
      </c>
      <c r="B25" t="n">
        <v>32</v>
      </c>
      <c r="C25" t="n">
        <v>9</v>
      </c>
      <c r="D25" t="n">
        <v>74</v>
      </c>
      <c r="E25" t="n">
        <v>42</v>
      </c>
      <c r="F25" t="n">
        <v>66</v>
      </c>
      <c r="G25" t="n">
        <v>33</v>
      </c>
      <c r="H25" t="n">
        <v>208</v>
      </c>
      <c r="I25" t="n">
        <v>105</v>
      </c>
      <c r="J25" t="n">
        <v>380</v>
      </c>
      <c r="K25" t="n">
        <v>189</v>
      </c>
    </row>
    <row r="26">
      <c r="A26" t="inlineStr">
        <is>
          <t>Takeo</t>
        </is>
      </c>
      <c r="B26" t="n">
        <v>92</v>
      </c>
      <c r="C26" t="n">
        <v>38</v>
      </c>
      <c r="D26" t="n">
        <v>330</v>
      </c>
      <c r="E26" t="n">
        <v>164</v>
      </c>
      <c r="F26" t="n">
        <v>418</v>
      </c>
      <c r="G26" t="n">
        <v>181</v>
      </c>
      <c r="H26" t="n">
        <v>340</v>
      </c>
      <c r="I26" t="n">
        <v>182</v>
      </c>
      <c r="J26" t="n">
        <v>1180</v>
      </c>
      <c r="K26" t="n">
        <v>565</v>
      </c>
    </row>
    <row r="27">
      <c r="A27" t="inlineStr">
        <is>
          <t>Tbaung Khmum</t>
        </is>
      </c>
      <c r="B27" t="n">
        <v>91</v>
      </c>
      <c r="C27" t="n">
        <v>46</v>
      </c>
      <c r="D27" t="n">
        <v>181</v>
      </c>
      <c r="E27" t="n">
        <v>86</v>
      </c>
      <c r="F27" t="n">
        <v>100</v>
      </c>
      <c r="G27" t="n">
        <v>50</v>
      </c>
      <c r="H27" t="n">
        <v>448</v>
      </c>
      <c r="I27" t="n">
        <v>209</v>
      </c>
      <c r="J27" t="n">
        <v>820</v>
      </c>
      <c r="K27" t="n">
        <v>391</v>
      </c>
    </row>
    <row r="28">
      <c r="A28" t="inlineStr">
        <is>
          <t>Whole Kingdom</t>
        </is>
      </c>
      <c r="B28" t="n">
        <v>11242</v>
      </c>
      <c r="C28" t="n">
        <v>5575</v>
      </c>
      <c r="D28" t="n">
        <v>12472</v>
      </c>
      <c r="E28" t="n">
        <v>6214</v>
      </c>
      <c r="F28" t="n">
        <v>16714</v>
      </c>
      <c r="G28" t="n">
        <v>8191</v>
      </c>
      <c r="H28" t="n">
        <v>15576</v>
      </c>
      <c r="I28" t="n">
        <v>7851</v>
      </c>
      <c r="J28" t="n">
        <v>56004</v>
      </c>
      <c r="K28" t="n">
        <v>27831</v>
      </c>
    </row>
    <row r="29">
      <c r="A29" t="inlineStr">
        <is>
          <t>- Urban Area</t>
        </is>
      </c>
      <c r="B29" t="n">
        <v>9972</v>
      </c>
      <c r="C29" t="n">
        <v>4926</v>
      </c>
      <c r="D29" t="n">
        <v>10576</v>
      </c>
      <c r="E29" t="n">
        <v>5224</v>
      </c>
      <c r="F29" t="n">
        <v>14254</v>
      </c>
      <c r="G29" t="n">
        <v>6987</v>
      </c>
      <c r="H29" t="n">
        <v>10448</v>
      </c>
      <c r="I29" t="n">
        <v>5134</v>
      </c>
      <c r="J29" t="n">
        <v>45250</v>
      </c>
      <c r="K29" t="n">
        <v>22271</v>
      </c>
    </row>
    <row r="30">
      <c r="A30" t="inlineStr">
        <is>
          <t>- Rural Area</t>
        </is>
      </c>
      <c r="B30" t="n">
        <v>1270</v>
      </c>
      <c r="C30" t="n">
        <v>649</v>
      </c>
      <c r="D30" t="n">
        <v>1896</v>
      </c>
      <c r="E30" t="n">
        <v>990</v>
      </c>
      <c r="F30" t="n">
        <v>2460</v>
      </c>
      <c r="G30" t="n">
        <v>1204</v>
      </c>
      <c r="H30" t="n">
        <v>5128</v>
      </c>
      <c r="I30" t="n">
        <v>2717</v>
      </c>
      <c r="J30" t="n">
        <v>10754</v>
      </c>
      <c r="K30" t="n">
        <v>5560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FC000"/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8.83203125" customWidth="1" min="1" max="1"/>
    <col width="7.5" customWidth="1" min="2" max="2"/>
    <col width="7.83203125" customWidth="1" min="3" max="3"/>
    <col width="8.1640625" customWidth="1" min="5" max="5"/>
    <col width="8.5" customWidth="1" min="6" max="6"/>
    <col width="7.83203125" customWidth="1" min="7" max="7"/>
    <col width="7.5" customWidth="1" min="9" max="9"/>
    <col width="7.83203125" customWidth="1" min="10" max="10"/>
    <col width="8.1640625" customWidth="1" min="11" max="11"/>
    <col width="7.83203125" customWidth="1" min="13" max="13"/>
    <col width="7.5" customWidth="1" min="16" max="16"/>
    <col width="8" customWidth="1" min="17" max="17"/>
    <col width="8.5" customWidth="1" min="18" max="18"/>
    <col width="7.5" customWidth="1" min="19" max="19"/>
  </cols>
  <sheetData>
    <row r="1">
      <c r="A1" t="inlineStr">
        <is>
          <t>Province</t>
        </is>
      </c>
      <c r="B1" t="inlineStr">
        <is>
          <t>Education Level of non-teaching Staff: Total</t>
        </is>
      </c>
      <c r="H1" t="inlineStr">
        <is>
          <t>Education Level of non-teaching Staff: Female</t>
        </is>
      </c>
      <c r="N1" t="inlineStr">
        <is>
          <t>Non-teaching Staff Without Pedagogical Training</t>
        </is>
      </c>
    </row>
    <row r="2">
      <c r="B2" t="inlineStr">
        <is>
          <t>Primary</t>
        </is>
      </c>
      <c r="C2" t="inlineStr">
        <is>
          <t>L.sec.</t>
        </is>
      </c>
      <c r="D2" t="inlineStr">
        <is>
          <t>U.Sec.</t>
        </is>
      </c>
      <c r="E2" t="inlineStr">
        <is>
          <t>Graduate</t>
        </is>
      </c>
      <c r="F2" t="inlineStr">
        <is>
          <t>Post
Graduate</t>
        </is>
      </c>
      <c r="G2" t="inlineStr">
        <is>
          <t>Ph_D</t>
        </is>
      </c>
      <c r="H2" t="inlineStr">
        <is>
          <t>Primary</t>
        </is>
      </c>
      <c r="I2" t="inlineStr">
        <is>
          <t>L.sec.</t>
        </is>
      </c>
      <c r="J2" t="inlineStr">
        <is>
          <t>U.Sec.</t>
        </is>
      </c>
      <c r="K2" t="inlineStr">
        <is>
          <t>Graduate</t>
        </is>
      </c>
      <c r="L2" t="inlineStr">
        <is>
          <t>Post
Graduate</t>
        </is>
      </c>
      <c r="M2" t="inlineStr">
        <is>
          <t>Ph_D</t>
        </is>
      </c>
      <c r="N2" t="inlineStr">
        <is>
          <t>Primary</t>
        </is>
      </c>
      <c r="O2" t="inlineStr">
        <is>
          <t>L.sec.</t>
        </is>
      </c>
      <c r="P2" t="inlineStr">
        <is>
          <t>U.Sec.</t>
        </is>
      </c>
      <c r="Q2" t="inlineStr">
        <is>
          <t>Graduate</t>
        </is>
      </c>
      <c r="R2" t="inlineStr">
        <is>
          <t>Post
Graduate</t>
        </is>
      </c>
      <c r="S2" t="inlineStr">
        <is>
          <t>Ph_D</t>
        </is>
      </c>
    </row>
    <row r="3">
      <c r="A3" t="inlineStr">
        <is>
          <t>Banteay Meanchey</t>
        </is>
      </c>
      <c r="B3" t="n">
        <v>13</v>
      </c>
      <c r="C3" t="n">
        <v>21</v>
      </c>
      <c r="D3" t="n">
        <v>86</v>
      </c>
      <c r="E3" t="n">
        <v>93</v>
      </c>
      <c r="F3" t="n">
        <v>18</v>
      </c>
      <c r="G3" t="n">
        <v>1</v>
      </c>
      <c r="H3" t="n">
        <v>12</v>
      </c>
      <c r="I3" t="n">
        <v>14</v>
      </c>
      <c r="J3" t="n">
        <v>51</v>
      </c>
      <c r="K3" t="n">
        <v>39</v>
      </c>
      <c r="L3" t="n">
        <v>1</v>
      </c>
      <c r="M3" t="n">
        <v>0</v>
      </c>
      <c r="N3" t="n">
        <v>7</v>
      </c>
      <c r="O3" t="n">
        <v>5</v>
      </c>
      <c r="P3" t="n">
        <v>6</v>
      </c>
      <c r="Q3" t="n">
        <v>11</v>
      </c>
      <c r="R3" t="n">
        <v>1</v>
      </c>
      <c r="S3" t="n">
        <v>0</v>
      </c>
    </row>
    <row r="4">
      <c r="A4" t="inlineStr">
        <is>
          <t>Battambang</t>
        </is>
      </c>
      <c r="B4" t="n">
        <v>14</v>
      </c>
      <c r="C4" t="n">
        <v>35</v>
      </c>
      <c r="D4" t="n">
        <v>41</v>
      </c>
      <c r="E4" t="n">
        <v>140</v>
      </c>
      <c r="F4" t="n">
        <v>23</v>
      </c>
      <c r="G4" t="n">
        <v>2</v>
      </c>
      <c r="H4" t="n">
        <v>9</v>
      </c>
      <c r="I4" t="n">
        <v>23</v>
      </c>
      <c r="J4" t="n">
        <v>14</v>
      </c>
      <c r="K4" t="n">
        <v>94</v>
      </c>
      <c r="L4" t="n">
        <v>7</v>
      </c>
      <c r="M4" t="n">
        <v>0</v>
      </c>
      <c r="N4" t="n">
        <v>2</v>
      </c>
      <c r="O4" t="n">
        <v>11</v>
      </c>
      <c r="P4" t="n">
        <v>15</v>
      </c>
      <c r="Q4" t="n">
        <v>28</v>
      </c>
      <c r="R4" t="n">
        <v>6</v>
      </c>
      <c r="S4" t="n">
        <v>1</v>
      </c>
    </row>
    <row r="5">
      <c r="A5" t="inlineStr">
        <is>
          <t>Kampong Cham</t>
        </is>
      </c>
      <c r="B5" t="n">
        <v>0</v>
      </c>
      <c r="C5" t="n">
        <v>2</v>
      </c>
      <c r="D5" t="n">
        <v>12</v>
      </c>
      <c r="E5" t="n">
        <v>38</v>
      </c>
      <c r="F5" t="n">
        <v>4</v>
      </c>
      <c r="G5" t="n">
        <v>0</v>
      </c>
      <c r="H5" t="n">
        <v>0</v>
      </c>
      <c r="I5" t="n">
        <v>0</v>
      </c>
      <c r="J5" t="n">
        <v>8</v>
      </c>
      <c r="K5" t="n">
        <v>15</v>
      </c>
      <c r="L5" t="n">
        <v>0</v>
      </c>
      <c r="M5" t="n">
        <v>0</v>
      </c>
      <c r="N5" t="n">
        <v>0</v>
      </c>
      <c r="O5" t="n">
        <v>0</v>
      </c>
      <c r="P5" t="n">
        <v>8</v>
      </c>
      <c r="Q5" t="n">
        <v>4</v>
      </c>
      <c r="R5" t="n">
        <v>2</v>
      </c>
      <c r="S5" t="n">
        <v>0</v>
      </c>
    </row>
    <row r="6">
      <c r="A6" t="inlineStr">
        <is>
          <t>Kampong Chhnang</t>
        </is>
      </c>
      <c r="B6" t="n">
        <v>5</v>
      </c>
      <c r="C6" t="n">
        <v>12</v>
      </c>
      <c r="D6" t="n">
        <v>20</v>
      </c>
      <c r="E6" t="n">
        <v>28</v>
      </c>
      <c r="F6" t="n">
        <v>10</v>
      </c>
      <c r="G6" t="n">
        <v>1</v>
      </c>
      <c r="H6" t="n">
        <v>4</v>
      </c>
      <c r="I6" t="n">
        <v>3</v>
      </c>
      <c r="J6" t="n">
        <v>11</v>
      </c>
      <c r="K6" t="n">
        <v>23</v>
      </c>
      <c r="L6" t="n">
        <v>1</v>
      </c>
      <c r="M6" t="n">
        <v>0</v>
      </c>
      <c r="N6" t="n">
        <v>4</v>
      </c>
      <c r="O6" t="n">
        <v>11</v>
      </c>
      <c r="P6" t="n">
        <v>11</v>
      </c>
      <c r="Q6" t="n">
        <v>7</v>
      </c>
      <c r="R6" t="n">
        <v>1</v>
      </c>
      <c r="S6" t="n">
        <v>0</v>
      </c>
    </row>
    <row r="7">
      <c r="A7" t="inlineStr">
        <is>
          <t>Kampong Speu</t>
        </is>
      </c>
      <c r="B7" t="n">
        <v>18</v>
      </c>
      <c r="C7" t="n">
        <v>28</v>
      </c>
      <c r="D7" t="n">
        <v>60</v>
      </c>
      <c r="E7" t="n">
        <v>40</v>
      </c>
      <c r="F7" t="n">
        <v>8</v>
      </c>
      <c r="G7" t="n">
        <v>1</v>
      </c>
      <c r="H7" t="n">
        <v>15</v>
      </c>
      <c r="I7" t="n">
        <v>2</v>
      </c>
      <c r="J7" t="n">
        <v>14</v>
      </c>
      <c r="K7" t="n">
        <v>24</v>
      </c>
      <c r="L7" t="n">
        <v>0</v>
      </c>
      <c r="M7" t="n">
        <v>0</v>
      </c>
      <c r="N7" t="n">
        <v>1</v>
      </c>
      <c r="O7" t="n">
        <v>1</v>
      </c>
      <c r="P7" t="n">
        <v>36</v>
      </c>
      <c r="Q7" t="n">
        <v>2</v>
      </c>
      <c r="R7" t="n">
        <v>0</v>
      </c>
      <c r="S7" t="n">
        <v>0</v>
      </c>
    </row>
    <row r="8">
      <c r="A8" t="inlineStr">
        <is>
          <t>Kampong Thom</t>
        </is>
      </c>
      <c r="B8" t="n">
        <v>9</v>
      </c>
      <c r="C8" t="n">
        <v>2</v>
      </c>
      <c r="D8" t="n">
        <v>1</v>
      </c>
      <c r="E8" t="n">
        <v>19</v>
      </c>
      <c r="F8" t="n">
        <v>4</v>
      </c>
      <c r="G8" t="n">
        <v>1</v>
      </c>
      <c r="H8" t="n">
        <v>6</v>
      </c>
      <c r="I8" t="n">
        <v>1</v>
      </c>
      <c r="J8" t="n">
        <v>1</v>
      </c>
      <c r="K8" t="n">
        <v>12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</row>
    <row r="9">
      <c r="A9" t="inlineStr">
        <is>
          <t>Kampot</t>
        </is>
      </c>
      <c r="B9" t="n">
        <v>11</v>
      </c>
      <c r="C9" t="n">
        <v>16</v>
      </c>
      <c r="D9" t="n">
        <v>17</v>
      </c>
      <c r="E9" t="n">
        <v>19</v>
      </c>
      <c r="F9" t="n">
        <v>3</v>
      </c>
      <c r="G9" t="n">
        <v>0</v>
      </c>
      <c r="H9" t="n">
        <v>4</v>
      </c>
      <c r="I9" t="n">
        <v>8</v>
      </c>
      <c r="J9" t="n">
        <v>9</v>
      </c>
      <c r="K9" t="n">
        <v>12</v>
      </c>
      <c r="L9" t="n">
        <v>1</v>
      </c>
      <c r="M9" t="n">
        <v>0</v>
      </c>
      <c r="N9" t="n">
        <v>0</v>
      </c>
      <c r="O9" t="n">
        <v>8</v>
      </c>
      <c r="P9" t="n">
        <v>6</v>
      </c>
      <c r="Q9" t="n">
        <v>8</v>
      </c>
      <c r="R9" t="n">
        <v>1</v>
      </c>
      <c r="S9" t="n">
        <v>0</v>
      </c>
    </row>
    <row r="10">
      <c r="A10" t="inlineStr">
        <is>
          <t>Kandal</t>
        </is>
      </c>
      <c r="B10" t="n">
        <v>19</v>
      </c>
      <c r="C10" t="n">
        <v>16</v>
      </c>
      <c r="D10" t="n">
        <v>96</v>
      </c>
      <c r="E10" t="n">
        <v>84</v>
      </c>
      <c r="F10" t="n">
        <v>11</v>
      </c>
      <c r="G10" t="n">
        <v>1</v>
      </c>
      <c r="H10" t="n">
        <v>11</v>
      </c>
      <c r="I10" t="n">
        <v>8</v>
      </c>
      <c r="J10" t="n">
        <v>58</v>
      </c>
      <c r="K10" t="n">
        <v>50</v>
      </c>
      <c r="L10" t="n">
        <v>1</v>
      </c>
      <c r="M10" t="n">
        <v>1</v>
      </c>
      <c r="N10" t="n">
        <v>1</v>
      </c>
      <c r="O10" t="n">
        <v>5</v>
      </c>
      <c r="P10" t="n">
        <v>8</v>
      </c>
      <c r="Q10" t="n">
        <v>10</v>
      </c>
      <c r="R10" t="n">
        <v>2</v>
      </c>
      <c r="S10" t="n">
        <v>0</v>
      </c>
    </row>
    <row r="11">
      <c r="A11" t="inlineStr">
        <is>
          <t>Kep</t>
        </is>
      </c>
      <c r="B11" t="n">
        <v>0</v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Koh Kong</t>
        </is>
      </c>
      <c r="B12" t="n">
        <v>4</v>
      </c>
      <c r="C12" t="n">
        <v>4</v>
      </c>
      <c r="D12" t="n">
        <v>6</v>
      </c>
      <c r="E12" t="n">
        <v>9</v>
      </c>
      <c r="F12" t="n">
        <v>0</v>
      </c>
      <c r="G12" t="n">
        <v>0</v>
      </c>
      <c r="H12" t="n">
        <v>3</v>
      </c>
      <c r="I12" t="n">
        <v>1</v>
      </c>
      <c r="J12" t="n">
        <v>3</v>
      </c>
      <c r="K12" t="n">
        <v>5</v>
      </c>
      <c r="L12" t="n">
        <v>0</v>
      </c>
      <c r="M12" t="n">
        <v>0</v>
      </c>
      <c r="N12" t="n">
        <v>1</v>
      </c>
      <c r="O12" t="n">
        <v>1</v>
      </c>
      <c r="P12" t="n">
        <v>3</v>
      </c>
      <c r="Q12" t="n">
        <v>4</v>
      </c>
      <c r="R12" t="n">
        <v>0</v>
      </c>
      <c r="S12" t="n">
        <v>0</v>
      </c>
    </row>
    <row r="13">
      <c r="A13" t="inlineStr">
        <is>
          <t>Kratie</t>
        </is>
      </c>
      <c r="B13" t="n">
        <v>5</v>
      </c>
      <c r="C13" t="n">
        <v>2</v>
      </c>
      <c r="D13" t="n">
        <v>1</v>
      </c>
      <c r="E13" t="n">
        <v>26</v>
      </c>
      <c r="F13" t="n">
        <v>1</v>
      </c>
      <c r="G13" t="n">
        <v>0</v>
      </c>
      <c r="H13" t="n">
        <v>5</v>
      </c>
      <c r="I13" t="n">
        <v>1</v>
      </c>
      <c r="J13" t="n">
        <v>0</v>
      </c>
      <c r="K13" t="n">
        <v>14</v>
      </c>
      <c r="L13" t="n">
        <v>0</v>
      </c>
      <c r="M13" t="n">
        <v>0</v>
      </c>
      <c r="N13" t="n">
        <v>2</v>
      </c>
      <c r="O13" t="n">
        <v>0</v>
      </c>
      <c r="P13" t="n">
        <v>1</v>
      </c>
      <c r="Q13" t="n">
        <v>14</v>
      </c>
      <c r="R13" t="n">
        <v>0</v>
      </c>
      <c r="S13" t="n">
        <v>0</v>
      </c>
    </row>
    <row r="14">
      <c r="A14" t="inlineStr">
        <is>
          <t>Mondul Kiri</t>
        </is>
      </c>
      <c r="B14" t="n">
        <v>6</v>
      </c>
      <c r="C14" t="n">
        <v>4</v>
      </c>
      <c r="D14" t="n">
        <v>4</v>
      </c>
      <c r="E14" t="n">
        <v>2</v>
      </c>
      <c r="F14" t="n">
        <v>0</v>
      </c>
      <c r="G14" t="n">
        <v>0</v>
      </c>
      <c r="H14" t="n">
        <v>5</v>
      </c>
      <c r="I14" t="n">
        <v>4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Otdar Meanchey</t>
        </is>
      </c>
      <c r="B15" t="n">
        <v>0</v>
      </c>
      <c r="C15" t="n">
        <v>0</v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Pailin</t>
        </is>
      </c>
      <c r="B16" t="n">
        <v>4</v>
      </c>
      <c r="C16" t="n">
        <v>1</v>
      </c>
      <c r="D16" t="n">
        <v>6</v>
      </c>
      <c r="E16" t="n">
        <v>7</v>
      </c>
      <c r="F16" t="n">
        <v>1</v>
      </c>
      <c r="G16" t="n">
        <v>0</v>
      </c>
      <c r="H16" t="n">
        <v>2</v>
      </c>
      <c r="I16" t="n">
        <v>0</v>
      </c>
      <c r="J16" t="n">
        <v>4</v>
      </c>
      <c r="K16" t="n">
        <v>3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</row>
    <row r="17">
      <c r="A17" t="inlineStr">
        <is>
          <t>Phnom Penh</t>
        </is>
      </c>
      <c r="B17" t="n">
        <v>538</v>
      </c>
      <c r="C17" t="n">
        <v>521</v>
      </c>
      <c r="D17" t="n">
        <v>923</v>
      </c>
      <c r="E17" t="n">
        <v>2835</v>
      </c>
      <c r="F17" t="n">
        <v>357</v>
      </c>
      <c r="G17" t="n">
        <v>22</v>
      </c>
      <c r="H17" t="n">
        <v>364</v>
      </c>
      <c r="I17" t="n">
        <v>265</v>
      </c>
      <c r="J17" t="n">
        <v>495</v>
      </c>
      <c r="K17" t="n">
        <v>1881</v>
      </c>
      <c r="L17" t="n">
        <v>107</v>
      </c>
      <c r="M17" t="n">
        <v>4</v>
      </c>
      <c r="N17" t="n">
        <v>194</v>
      </c>
      <c r="O17" t="n">
        <v>187</v>
      </c>
      <c r="P17" t="n">
        <v>226</v>
      </c>
      <c r="Q17" t="n">
        <v>797</v>
      </c>
      <c r="R17" t="n">
        <v>75</v>
      </c>
      <c r="S17" t="n">
        <v>3</v>
      </c>
    </row>
    <row r="18">
      <c r="A18" t="inlineStr">
        <is>
          <t>Preah Sihanouk</t>
        </is>
      </c>
      <c r="B18" t="n">
        <v>7</v>
      </c>
      <c r="C18" t="n">
        <v>4</v>
      </c>
      <c r="D18" t="n">
        <v>28</v>
      </c>
      <c r="E18" t="n">
        <v>84</v>
      </c>
      <c r="F18" t="n">
        <v>13</v>
      </c>
      <c r="G18" t="n">
        <v>1</v>
      </c>
      <c r="H18" t="n">
        <v>7</v>
      </c>
      <c r="I18" t="n">
        <v>2</v>
      </c>
      <c r="J18" t="n">
        <v>20</v>
      </c>
      <c r="K18" t="n">
        <v>57</v>
      </c>
      <c r="L18" t="n">
        <v>3</v>
      </c>
      <c r="M18" t="n">
        <v>1</v>
      </c>
      <c r="N18" t="n">
        <v>7</v>
      </c>
      <c r="O18" t="n">
        <v>2</v>
      </c>
      <c r="P18" t="n">
        <v>7</v>
      </c>
      <c r="Q18" t="n">
        <v>23</v>
      </c>
      <c r="R18" t="n">
        <v>1</v>
      </c>
      <c r="S18" t="n">
        <v>0</v>
      </c>
    </row>
    <row r="19">
      <c r="A19" t="inlineStr">
        <is>
          <t>Preah Vihear</t>
        </is>
      </c>
      <c r="B19" t="n">
        <v>1</v>
      </c>
      <c r="C19" t="n">
        <v>0</v>
      </c>
      <c r="D19" t="n">
        <v>1</v>
      </c>
      <c r="E19" t="n">
        <v>3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Prey Veng</t>
        </is>
      </c>
      <c r="B20" t="n">
        <v>0</v>
      </c>
      <c r="C20" t="n">
        <v>1</v>
      </c>
      <c r="D20" t="n">
        <v>2</v>
      </c>
      <c r="E20" t="n">
        <v>6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Pursat</t>
        </is>
      </c>
      <c r="B21" t="n">
        <v>7</v>
      </c>
      <c r="C21" t="n">
        <v>0</v>
      </c>
      <c r="D21" t="n">
        <v>1</v>
      </c>
      <c r="E21" t="n">
        <v>22</v>
      </c>
      <c r="F21" t="n">
        <v>4</v>
      </c>
      <c r="G21" t="n">
        <v>0</v>
      </c>
      <c r="H21" t="n">
        <v>4</v>
      </c>
      <c r="I21" t="n">
        <v>0</v>
      </c>
      <c r="J21" t="n">
        <v>1</v>
      </c>
      <c r="K21" t="n">
        <v>18</v>
      </c>
      <c r="L21" t="n">
        <v>3</v>
      </c>
      <c r="M21" t="n">
        <v>0</v>
      </c>
      <c r="N21" t="n">
        <v>1</v>
      </c>
      <c r="O21" t="n">
        <v>0</v>
      </c>
      <c r="P21" t="n">
        <v>0</v>
      </c>
      <c r="Q21" t="n">
        <v>6</v>
      </c>
      <c r="R21" t="n">
        <v>0</v>
      </c>
      <c r="S21" t="n">
        <v>0</v>
      </c>
    </row>
    <row r="22">
      <c r="A22" t="inlineStr">
        <is>
          <t>Ratanak Kiri</t>
        </is>
      </c>
      <c r="B22" t="n">
        <v>6</v>
      </c>
      <c r="C22" t="n">
        <v>8</v>
      </c>
      <c r="D22" t="n">
        <v>154</v>
      </c>
      <c r="E22" t="n">
        <v>11</v>
      </c>
      <c r="F22" t="n">
        <v>0</v>
      </c>
      <c r="G22" t="n">
        <v>0</v>
      </c>
      <c r="H22" t="n">
        <v>0</v>
      </c>
      <c r="I22" t="n">
        <v>3</v>
      </c>
      <c r="J22" t="n">
        <v>93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Siemreap</t>
        </is>
      </c>
      <c r="B23" t="n">
        <v>32</v>
      </c>
      <c r="C23" t="n">
        <v>26</v>
      </c>
      <c r="D23" t="n">
        <v>61</v>
      </c>
      <c r="E23" t="n">
        <v>143</v>
      </c>
      <c r="F23" t="n">
        <v>18</v>
      </c>
      <c r="G23" t="n">
        <v>0</v>
      </c>
      <c r="H23" t="n">
        <v>21</v>
      </c>
      <c r="I23" t="n">
        <v>18</v>
      </c>
      <c r="J23" t="n">
        <v>45</v>
      </c>
      <c r="K23" t="n">
        <v>98</v>
      </c>
      <c r="L23" t="n">
        <v>4</v>
      </c>
      <c r="M23" t="n">
        <v>0</v>
      </c>
      <c r="N23" t="n">
        <v>22</v>
      </c>
      <c r="O23" t="n">
        <v>9</v>
      </c>
      <c r="P23" t="n">
        <v>13</v>
      </c>
      <c r="Q23" t="n">
        <v>43</v>
      </c>
      <c r="R23" t="n">
        <v>5</v>
      </c>
      <c r="S23" t="n">
        <v>0</v>
      </c>
    </row>
    <row r="24">
      <c r="A24" t="inlineStr">
        <is>
          <t>Stung Treng</t>
        </is>
      </c>
      <c r="B24" t="n">
        <v>0</v>
      </c>
      <c r="C24" t="n">
        <v>2</v>
      </c>
      <c r="D24" t="n">
        <v>6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4</v>
      </c>
      <c r="Q24" t="n">
        <v>0</v>
      </c>
      <c r="R24" t="n">
        <v>0</v>
      </c>
      <c r="S24" t="n">
        <v>0</v>
      </c>
    </row>
    <row r="25">
      <c r="A25" t="inlineStr">
        <is>
          <t>Svay Rieng</t>
        </is>
      </c>
      <c r="B25" t="n">
        <v>0</v>
      </c>
      <c r="C25" t="n">
        <v>2</v>
      </c>
      <c r="D25" t="n">
        <v>40</v>
      </c>
      <c r="E25" t="n">
        <v>4</v>
      </c>
      <c r="F25" t="n">
        <v>2</v>
      </c>
      <c r="G25" t="n">
        <v>0</v>
      </c>
      <c r="H25" t="n">
        <v>0</v>
      </c>
      <c r="I25" t="n">
        <v>0</v>
      </c>
      <c r="J25" t="n">
        <v>30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3</v>
      </c>
      <c r="R25" t="n">
        <v>1</v>
      </c>
      <c r="S25" t="n">
        <v>0</v>
      </c>
    </row>
    <row r="26">
      <c r="A26" t="inlineStr">
        <is>
          <t>Takeo</t>
        </is>
      </c>
      <c r="B26" t="n">
        <v>20</v>
      </c>
      <c r="C26" t="n">
        <v>13</v>
      </c>
      <c r="D26" t="n">
        <v>26</v>
      </c>
      <c r="E26" t="n">
        <v>52</v>
      </c>
      <c r="F26" t="n">
        <v>11</v>
      </c>
      <c r="G26" t="n">
        <v>0</v>
      </c>
      <c r="H26" t="n">
        <v>10</v>
      </c>
      <c r="I26" t="n">
        <v>9</v>
      </c>
      <c r="J26" t="n">
        <v>11</v>
      </c>
      <c r="K26" t="n">
        <v>30</v>
      </c>
      <c r="L26" t="n">
        <v>2</v>
      </c>
      <c r="M26" t="n">
        <v>0</v>
      </c>
      <c r="N26" t="n">
        <v>2</v>
      </c>
      <c r="O26" t="n">
        <v>0</v>
      </c>
      <c r="P26" t="n">
        <v>3</v>
      </c>
      <c r="Q26" t="n">
        <v>6</v>
      </c>
      <c r="R26" t="n">
        <v>1</v>
      </c>
      <c r="S26" t="n">
        <v>0</v>
      </c>
    </row>
    <row r="27">
      <c r="A27" t="inlineStr">
        <is>
          <t>Tbaung Khmum</t>
        </is>
      </c>
      <c r="B27" t="n">
        <v>9</v>
      </c>
      <c r="C27" t="n">
        <v>9</v>
      </c>
      <c r="D27" t="n">
        <v>13</v>
      </c>
      <c r="E27" t="n">
        <v>16</v>
      </c>
      <c r="F27" t="n">
        <v>1</v>
      </c>
      <c r="G27" t="n">
        <v>0</v>
      </c>
      <c r="H27" t="n">
        <v>5</v>
      </c>
      <c r="I27" t="n">
        <v>4</v>
      </c>
      <c r="J27" t="n">
        <v>5</v>
      </c>
      <c r="K27" t="n">
        <v>9</v>
      </c>
      <c r="L27" t="n">
        <v>0</v>
      </c>
      <c r="M27" t="n">
        <v>0</v>
      </c>
      <c r="N27" t="n">
        <v>1</v>
      </c>
      <c r="O27" t="n">
        <v>5</v>
      </c>
      <c r="P27" t="n">
        <v>3</v>
      </c>
      <c r="Q27" t="n">
        <v>3</v>
      </c>
      <c r="R27" t="n">
        <v>0</v>
      </c>
      <c r="S27" t="n">
        <v>0</v>
      </c>
    </row>
    <row r="28">
      <c r="A28" t="inlineStr">
        <is>
          <t>Whole Kingdom</t>
        </is>
      </c>
      <c r="B28" t="n">
        <v>728</v>
      </c>
      <c r="C28" t="n">
        <v>729</v>
      </c>
      <c r="D28" t="n">
        <v>1609</v>
      </c>
      <c r="E28" t="n">
        <v>3689</v>
      </c>
      <c r="F28" t="n">
        <v>491</v>
      </c>
      <c r="G28" t="n">
        <v>30</v>
      </c>
      <c r="H28" t="n">
        <v>488</v>
      </c>
      <c r="I28" t="n">
        <v>367</v>
      </c>
      <c r="J28" t="n">
        <v>888</v>
      </c>
      <c r="K28" t="n">
        <v>2400</v>
      </c>
      <c r="L28" t="n">
        <v>131</v>
      </c>
      <c r="M28" t="n">
        <v>6</v>
      </c>
      <c r="N28" t="n">
        <v>247</v>
      </c>
      <c r="O28" t="n">
        <v>249</v>
      </c>
      <c r="P28" t="n">
        <v>351</v>
      </c>
      <c r="Q28" t="n">
        <v>970</v>
      </c>
      <c r="R28" t="n">
        <v>97</v>
      </c>
      <c r="S28" t="n">
        <v>4</v>
      </c>
    </row>
    <row r="29">
      <c r="A29" t="inlineStr">
        <is>
          <t>- Urban Area</t>
        </is>
      </c>
      <c r="B29" t="n">
        <v>661</v>
      </c>
      <c r="C29" t="n">
        <v>675</v>
      </c>
      <c r="D29" t="n">
        <v>1457</v>
      </c>
      <c r="E29" t="n">
        <v>3492</v>
      </c>
      <c r="F29" t="n">
        <v>460</v>
      </c>
      <c r="G29" t="n">
        <v>26</v>
      </c>
      <c r="H29" t="n">
        <v>448</v>
      </c>
      <c r="I29" t="n">
        <v>346</v>
      </c>
      <c r="J29" t="n">
        <v>830</v>
      </c>
      <c r="K29" t="n">
        <v>2306</v>
      </c>
      <c r="L29" t="n">
        <v>129</v>
      </c>
      <c r="M29" t="n">
        <v>6</v>
      </c>
      <c r="N29" t="n">
        <v>236</v>
      </c>
      <c r="O29" t="n">
        <v>232</v>
      </c>
      <c r="P29" t="n">
        <v>293</v>
      </c>
      <c r="Q29" t="n">
        <v>927</v>
      </c>
      <c r="R29" t="n">
        <v>92</v>
      </c>
      <c r="S29" t="n">
        <v>3</v>
      </c>
    </row>
    <row r="30">
      <c r="A30" t="inlineStr">
        <is>
          <t>- Rural Area</t>
        </is>
      </c>
      <c r="B30" t="n">
        <v>67</v>
      </c>
      <c r="C30" t="n">
        <v>54</v>
      </c>
      <c r="D30" t="n">
        <v>152</v>
      </c>
      <c r="E30" t="n">
        <v>197</v>
      </c>
      <c r="F30" t="n">
        <v>31</v>
      </c>
      <c r="G30" t="n">
        <v>4</v>
      </c>
      <c r="H30" t="n">
        <v>40</v>
      </c>
      <c r="I30" t="n">
        <v>21</v>
      </c>
      <c r="J30" t="n">
        <v>58</v>
      </c>
      <c r="K30" t="n">
        <v>94</v>
      </c>
      <c r="L30" t="n">
        <v>2</v>
      </c>
      <c r="M30" t="n">
        <v>0</v>
      </c>
      <c r="N30" t="n">
        <v>11</v>
      </c>
      <c r="O30" t="n">
        <v>17</v>
      </c>
      <c r="P30" t="n">
        <v>58</v>
      </c>
      <c r="Q30" t="n">
        <v>43</v>
      </c>
      <c r="R30" t="n">
        <v>5</v>
      </c>
      <c r="S30" t="n">
        <v>1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C000"/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20" customWidth="1" min="1" max="1"/>
    <col width="7.1640625" customWidth="1" min="2" max="2"/>
    <col width="8" customWidth="1" min="5" max="5"/>
    <col width="8.5" customWidth="1" min="6" max="6"/>
    <col width="7.1640625" customWidth="1" min="7" max="7"/>
    <col width="7.83203125" customWidth="1" min="8" max="8"/>
    <col width="7.5" customWidth="1" min="10" max="10"/>
    <col width="8.5" customWidth="1" min="11" max="11"/>
    <col width="8.1640625" customWidth="1" min="12" max="12"/>
    <col width="7.5" customWidth="1" min="13" max="13"/>
    <col width="8" customWidth="1" min="14" max="14"/>
    <col width="8.1640625" customWidth="1" min="15" max="15"/>
    <col width="8" customWidth="1" min="16" max="16"/>
    <col width="8.83203125" customWidth="1" min="18" max="18"/>
    <col width="7.83203125" customWidth="1" min="19" max="19"/>
  </cols>
  <sheetData>
    <row r="1">
      <c r="A1" t="inlineStr">
        <is>
          <t>Province</t>
        </is>
      </c>
      <c r="B1" t="inlineStr">
        <is>
          <t>Education Level of Teaching Staff: Total</t>
        </is>
      </c>
      <c r="H1" t="inlineStr">
        <is>
          <t>Education Level of Teaching Staff: Female</t>
        </is>
      </c>
      <c r="N1" t="inlineStr">
        <is>
          <t>Teaching Staff Without Pedagogical Training</t>
        </is>
      </c>
    </row>
    <row r="2">
      <c r="B2" t="inlineStr">
        <is>
          <t>Primary</t>
        </is>
      </c>
      <c r="C2" t="inlineStr">
        <is>
          <t>L.sec.</t>
        </is>
      </c>
      <c r="D2" t="inlineStr">
        <is>
          <t>U.Sec.</t>
        </is>
      </c>
      <c r="E2" t="inlineStr">
        <is>
          <t>Graduate</t>
        </is>
      </c>
      <c r="F2" t="inlineStr">
        <is>
          <t>Post
Graduate</t>
        </is>
      </c>
      <c r="G2" t="inlineStr">
        <is>
          <t>Ph_D</t>
        </is>
      </c>
      <c r="H2" t="inlineStr">
        <is>
          <t>Primary</t>
        </is>
      </c>
      <c r="I2" t="inlineStr">
        <is>
          <t>L.sec.</t>
        </is>
      </c>
      <c r="J2" t="inlineStr">
        <is>
          <t>U.Sec.</t>
        </is>
      </c>
      <c r="K2" t="inlineStr">
        <is>
          <t>Graduate</t>
        </is>
      </c>
      <c r="L2" t="inlineStr">
        <is>
          <t>Post
Graduate</t>
        </is>
      </c>
      <c r="M2" t="inlineStr">
        <is>
          <t>Ph_D</t>
        </is>
      </c>
      <c r="N2" t="inlineStr">
        <is>
          <t>Primary</t>
        </is>
      </c>
      <c r="O2" t="inlineStr">
        <is>
          <t>L.sec.</t>
        </is>
      </c>
      <c r="P2" t="inlineStr">
        <is>
          <t>U.Sec.</t>
        </is>
      </c>
      <c r="Q2" t="inlineStr">
        <is>
          <t>Graduate</t>
        </is>
      </c>
      <c r="R2" t="inlineStr">
        <is>
          <t>Post
Graduate</t>
        </is>
      </c>
      <c r="S2" t="inlineStr">
        <is>
          <t>Ph_D</t>
        </is>
      </c>
    </row>
    <row r="3">
      <c r="A3" t="inlineStr">
        <is>
          <t>Banteay Meanchey</t>
        </is>
      </c>
      <c r="B3" t="n">
        <v>1</v>
      </c>
      <c r="C3" t="n">
        <v>40</v>
      </c>
      <c r="D3" t="n">
        <v>512</v>
      </c>
      <c r="E3" t="n">
        <v>632</v>
      </c>
      <c r="F3" t="n">
        <v>19</v>
      </c>
      <c r="G3" t="n">
        <v>0</v>
      </c>
      <c r="H3" t="n">
        <v>1</v>
      </c>
      <c r="I3" t="n">
        <v>30</v>
      </c>
      <c r="J3" t="n">
        <v>304</v>
      </c>
      <c r="K3" t="n">
        <v>320</v>
      </c>
      <c r="L3" t="n">
        <v>4</v>
      </c>
      <c r="M3" t="n">
        <v>0</v>
      </c>
      <c r="N3" t="n">
        <v>0</v>
      </c>
      <c r="O3" t="n">
        <v>6</v>
      </c>
      <c r="P3" t="n">
        <v>60</v>
      </c>
      <c r="Q3" t="n">
        <v>55</v>
      </c>
      <c r="R3" t="n">
        <v>1</v>
      </c>
      <c r="S3" t="n">
        <v>0</v>
      </c>
    </row>
    <row r="4">
      <c r="A4" t="inlineStr">
        <is>
          <t>Battambang</t>
        </is>
      </c>
      <c r="B4" t="n">
        <v>18</v>
      </c>
      <c r="C4" t="n">
        <v>34</v>
      </c>
      <c r="D4" t="n">
        <v>174</v>
      </c>
      <c r="E4" t="n">
        <v>500</v>
      </c>
      <c r="F4" t="n">
        <v>59</v>
      </c>
      <c r="G4" t="n">
        <v>0</v>
      </c>
      <c r="H4" t="n">
        <v>7</v>
      </c>
      <c r="I4" t="n">
        <v>17</v>
      </c>
      <c r="J4" t="n">
        <v>127</v>
      </c>
      <c r="K4" t="n">
        <v>288</v>
      </c>
      <c r="L4" t="n">
        <v>19</v>
      </c>
      <c r="M4" t="n">
        <v>0</v>
      </c>
      <c r="N4" t="n">
        <v>0</v>
      </c>
      <c r="O4" t="n">
        <v>1</v>
      </c>
      <c r="P4" t="n">
        <v>9</v>
      </c>
      <c r="Q4" t="n">
        <v>45</v>
      </c>
      <c r="R4" t="n">
        <v>0</v>
      </c>
      <c r="S4" t="n">
        <v>0</v>
      </c>
    </row>
    <row r="5">
      <c r="A5" t="inlineStr">
        <is>
          <t>Kampong Cham</t>
        </is>
      </c>
      <c r="B5" t="n">
        <v>3</v>
      </c>
      <c r="C5" t="n">
        <v>9</v>
      </c>
      <c r="D5" t="n">
        <v>88</v>
      </c>
      <c r="E5" t="n">
        <v>174</v>
      </c>
      <c r="F5" t="n">
        <v>1</v>
      </c>
      <c r="G5" t="n">
        <v>0</v>
      </c>
      <c r="H5" t="n">
        <v>1</v>
      </c>
      <c r="I5" t="n">
        <v>4</v>
      </c>
      <c r="J5" t="n">
        <v>64</v>
      </c>
      <c r="K5" t="n">
        <v>88</v>
      </c>
      <c r="L5" t="n">
        <v>1</v>
      </c>
      <c r="M5" t="n">
        <v>0</v>
      </c>
      <c r="N5" t="n">
        <v>0</v>
      </c>
      <c r="O5" t="n">
        <v>0</v>
      </c>
      <c r="P5" t="n">
        <v>8</v>
      </c>
      <c r="Q5" t="n">
        <v>10</v>
      </c>
      <c r="R5" t="n">
        <v>0</v>
      </c>
      <c r="S5" t="n">
        <v>0</v>
      </c>
    </row>
    <row r="6">
      <c r="A6" t="inlineStr">
        <is>
          <t>Kampong Chhnang</t>
        </is>
      </c>
      <c r="B6" t="n">
        <v>0</v>
      </c>
      <c r="C6" t="n">
        <v>11</v>
      </c>
      <c r="D6" t="n">
        <v>142</v>
      </c>
      <c r="E6" t="n">
        <v>156</v>
      </c>
      <c r="F6" t="n">
        <v>15</v>
      </c>
      <c r="G6" t="n">
        <v>0</v>
      </c>
      <c r="H6" t="n">
        <v>0</v>
      </c>
      <c r="I6" t="n">
        <v>6</v>
      </c>
      <c r="J6" t="n">
        <v>103</v>
      </c>
      <c r="K6" t="n">
        <v>93</v>
      </c>
      <c r="L6" t="n">
        <v>7</v>
      </c>
      <c r="M6" t="n">
        <v>0</v>
      </c>
      <c r="N6" t="n">
        <v>0</v>
      </c>
      <c r="O6" t="n">
        <v>3</v>
      </c>
      <c r="P6" t="n">
        <v>43</v>
      </c>
      <c r="Q6" t="n">
        <v>3</v>
      </c>
      <c r="R6" t="n">
        <v>1</v>
      </c>
      <c r="S6" t="n">
        <v>0</v>
      </c>
    </row>
    <row r="7">
      <c r="A7" t="inlineStr">
        <is>
          <t>Kampong Speu</t>
        </is>
      </c>
      <c r="B7" t="n">
        <v>3</v>
      </c>
      <c r="C7" t="n">
        <v>9</v>
      </c>
      <c r="D7" t="n">
        <v>186</v>
      </c>
      <c r="E7" t="n">
        <v>362</v>
      </c>
      <c r="F7" t="n">
        <v>36</v>
      </c>
      <c r="G7" t="n">
        <v>0</v>
      </c>
      <c r="H7" t="n">
        <v>3</v>
      </c>
      <c r="I7" t="n">
        <v>6</v>
      </c>
      <c r="J7" t="n">
        <v>131</v>
      </c>
      <c r="K7" t="n">
        <v>199</v>
      </c>
      <c r="L7" t="n">
        <v>9</v>
      </c>
      <c r="M7" t="n">
        <v>0</v>
      </c>
      <c r="N7" t="n">
        <v>1</v>
      </c>
      <c r="O7" t="n">
        <v>0</v>
      </c>
      <c r="P7" t="n">
        <v>11</v>
      </c>
      <c r="Q7" t="n">
        <v>35</v>
      </c>
      <c r="R7" t="n">
        <v>12</v>
      </c>
      <c r="S7" t="n">
        <v>0</v>
      </c>
    </row>
    <row r="8">
      <c r="A8" t="inlineStr">
        <is>
          <t>Kampong Thom</t>
        </is>
      </c>
      <c r="B8" t="n">
        <v>44</v>
      </c>
      <c r="C8" t="n">
        <v>5</v>
      </c>
      <c r="D8" t="n">
        <v>35</v>
      </c>
      <c r="E8" t="n">
        <v>98</v>
      </c>
      <c r="F8" t="n">
        <v>8</v>
      </c>
      <c r="G8" t="n">
        <v>0</v>
      </c>
      <c r="H8" t="n">
        <v>9</v>
      </c>
      <c r="I8" t="n">
        <v>4</v>
      </c>
      <c r="J8" t="n">
        <v>26</v>
      </c>
      <c r="K8" t="n">
        <v>48</v>
      </c>
      <c r="L8" t="n">
        <v>1</v>
      </c>
      <c r="M8" t="n">
        <v>0</v>
      </c>
      <c r="N8" t="n">
        <v>0</v>
      </c>
      <c r="O8" t="n">
        <v>1</v>
      </c>
      <c r="P8" t="n">
        <v>5</v>
      </c>
      <c r="Q8" t="n">
        <v>7</v>
      </c>
      <c r="R8" t="n">
        <v>0</v>
      </c>
      <c r="S8" t="n">
        <v>0</v>
      </c>
    </row>
    <row r="9">
      <c r="A9" t="inlineStr">
        <is>
          <t>Kampot</t>
        </is>
      </c>
      <c r="B9" t="n">
        <v>19</v>
      </c>
      <c r="C9" t="n">
        <v>120</v>
      </c>
      <c r="D9" t="n">
        <v>145</v>
      </c>
      <c r="E9" t="n">
        <v>201</v>
      </c>
      <c r="F9" t="n">
        <v>14</v>
      </c>
      <c r="G9" t="n">
        <v>0</v>
      </c>
      <c r="H9" t="n">
        <v>7</v>
      </c>
      <c r="I9" t="n">
        <v>88</v>
      </c>
      <c r="J9" t="n">
        <v>81</v>
      </c>
      <c r="K9" t="n">
        <v>84</v>
      </c>
      <c r="L9" t="n">
        <v>1</v>
      </c>
      <c r="M9" t="n">
        <v>0</v>
      </c>
      <c r="N9" t="n">
        <v>1</v>
      </c>
      <c r="O9" t="n">
        <v>9</v>
      </c>
      <c r="P9" t="n">
        <v>11</v>
      </c>
      <c r="Q9" t="n">
        <v>9</v>
      </c>
      <c r="R9" t="n">
        <v>0</v>
      </c>
      <c r="S9" t="n">
        <v>0</v>
      </c>
    </row>
    <row r="10">
      <c r="A10" t="inlineStr">
        <is>
          <t>Kandal</t>
        </is>
      </c>
      <c r="B10" t="n">
        <v>36</v>
      </c>
      <c r="C10" t="n">
        <v>40</v>
      </c>
      <c r="D10" t="n">
        <v>210</v>
      </c>
      <c r="E10" t="n">
        <v>362</v>
      </c>
      <c r="F10" t="n">
        <v>37</v>
      </c>
      <c r="G10" t="n">
        <v>0</v>
      </c>
      <c r="H10" t="n">
        <v>24</v>
      </c>
      <c r="I10" t="n">
        <v>17</v>
      </c>
      <c r="J10" t="n">
        <v>153</v>
      </c>
      <c r="K10" t="n">
        <v>185</v>
      </c>
      <c r="L10" t="n">
        <v>12</v>
      </c>
      <c r="M10" t="n">
        <v>0</v>
      </c>
      <c r="N10" t="n">
        <v>6</v>
      </c>
      <c r="O10" t="n">
        <v>2</v>
      </c>
      <c r="P10" t="n">
        <v>10</v>
      </c>
      <c r="Q10" t="n">
        <v>19</v>
      </c>
      <c r="R10" t="n">
        <v>0</v>
      </c>
      <c r="S10" t="n">
        <v>0</v>
      </c>
    </row>
    <row r="11">
      <c r="A11" t="inlineStr">
        <is>
          <t>Kep</t>
        </is>
      </c>
      <c r="B11" t="n">
        <v>4</v>
      </c>
      <c r="C11" t="n">
        <v>5</v>
      </c>
      <c r="D11" t="n">
        <v>3</v>
      </c>
      <c r="E11" t="n">
        <v>13</v>
      </c>
      <c r="F11" t="n">
        <v>1</v>
      </c>
      <c r="G11" t="n">
        <v>0</v>
      </c>
      <c r="H11" t="n">
        <v>3</v>
      </c>
      <c r="I11" t="n">
        <v>2</v>
      </c>
      <c r="J11" t="n">
        <v>2</v>
      </c>
      <c r="K11" t="n">
        <v>9</v>
      </c>
      <c r="L11" t="n">
        <v>1</v>
      </c>
      <c r="M11" t="n">
        <v>0</v>
      </c>
      <c r="N11" t="n">
        <v>3</v>
      </c>
      <c r="O11" t="n">
        <v>5</v>
      </c>
      <c r="P11" t="n">
        <v>1</v>
      </c>
      <c r="Q11" t="n">
        <v>0</v>
      </c>
      <c r="R11" t="n">
        <v>0</v>
      </c>
      <c r="S11" t="n">
        <v>0</v>
      </c>
    </row>
    <row r="12">
      <c r="A12" t="inlineStr">
        <is>
          <t>Koh Kong</t>
        </is>
      </c>
      <c r="B12" t="n">
        <v>23</v>
      </c>
      <c r="C12" t="n">
        <v>19</v>
      </c>
      <c r="D12" t="n">
        <v>109</v>
      </c>
      <c r="E12" t="n">
        <v>36</v>
      </c>
      <c r="F12" t="n">
        <v>3</v>
      </c>
      <c r="G12" t="n">
        <v>0</v>
      </c>
      <c r="H12" t="n">
        <v>12</v>
      </c>
      <c r="I12" t="n">
        <v>11</v>
      </c>
      <c r="J12" t="n">
        <v>78</v>
      </c>
      <c r="K12" t="n">
        <v>16</v>
      </c>
      <c r="L12" t="n">
        <v>1</v>
      </c>
      <c r="M12" t="n">
        <v>0</v>
      </c>
      <c r="N12" t="n">
        <v>0</v>
      </c>
      <c r="O12" t="n">
        <v>0</v>
      </c>
      <c r="P12" t="n">
        <v>10</v>
      </c>
      <c r="Q12" t="n">
        <v>3</v>
      </c>
      <c r="R12" t="n">
        <v>0</v>
      </c>
      <c r="S12" t="n">
        <v>0</v>
      </c>
    </row>
    <row r="13">
      <c r="A13" t="inlineStr">
        <is>
          <t>Kratie</t>
        </is>
      </c>
      <c r="B13" t="n">
        <v>3</v>
      </c>
      <c r="C13" t="n">
        <v>3</v>
      </c>
      <c r="D13" t="n">
        <v>12</v>
      </c>
      <c r="E13" t="n">
        <v>51</v>
      </c>
      <c r="F13" t="n">
        <v>7</v>
      </c>
      <c r="G13" t="n">
        <v>0</v>
      </c>
      <c r="H13" t="n">
        <v>3</v>
      </c>
      <c r="I13" t="n">
        <v>3</v>
      </c>
      <c r="J13" t="n">
        <v>11</v>
      </c>
      <c r="K13" t="n">
        <v>23</v>
      </c>
      <c r="L13" t="n">
        <v>3</v>
      </c>
      <c r="M13" t="n">
        <v>0</v>
      </c>
      <c r="N13" t="n">
        <v>0</v>
      </c>
      <c r="O13" t="n">
        <v>0</v>
      </c>
      <c r="P13" t="n">
        <v>1</v>
      </c>
      <c r="Q13" t="n">
        <v>4</v>
      </c>
      <c r="R13" t="n">
        <v>0</v>
      </c>
      <c r="S13" t="n">
        <v>0</v>
      </c>
    </row>
    <row r="14">
      <c r="A14" t="inlineStr">
        <is>
          <t>Mondul Kiri</t>
        </is>
      </c>
      <c r="B14" t="n">
        <v>0</v>
      </c>
      <c r="C14" t="n">
        <v>5</v>
      </c>
      <c r="D14" t="n">
        <v>11</v>
      </c>
      <c r="E14" t="n">
        <v>23</v>
      </c>
      <c r="F14" t="n">
        <v>1</v>
      </c>
      <c r="G14" t="n">
        <v>0</v>
      </c>
      <c r="H14" t="n">
        <v>0</v>
      </c>
      <c r="I14" t="n">
        <v>5</v>
      </c>
      <c r="J14" t="n">
        <v>11</v>
      </c>
      <c r="K14" t="n">
        <v>13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Otdar Meanchey</t>
        </is>
      </c>
      <c r="B15" t="n">
        <v>0</v>
      </c>
      <c r="C15" t="n">
        <v>2</v>
      </c>
      <c r="D15" t="n">
        <v>26</v>
      </c>
      <c r="E15" t="n">
        <v>1</v>
      </c>
      <c r="F15" t="n">
        <v>0</v>
      </c>
      <c r="G15" t="n">
        <v>0</v>
      </c>
      <c r="H15" t="n">
        <v>0</v>
      </c>
      <c r="I15" t="n">
        <v>2</v>
      </c>
      <c r="J15" t="n">
        <v>17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</row>
    <row r="16">
      <c r="A16" t="inlineStr">
        <is>
          <t>Pailin</t>
        </is>
      </c>
      <c r="B16" t="n">
        <v>0</v>
      </c>
      <c r="C16" t="n">
        <v>5</v>
      </c>
      <c r="D16" t="n">
        <v>49</v>
      </c>
      <c r="E16" t="n">
        <v>49</v>
      </c>
      <c r="F16" t="n">
        <v>0</v>
      </c>
      <c r="G16" t="n">
        <v>0</v>
      </c>
      <c r="H16" t="n">
        <v>0</v>
      </c>
      <c r="I16" t="n">
        <v>5</v>
      </c>
      <c r="J16" t="n">
        <v>47</v>
      </c>
      <c r="K16" t="n">
        <v>37</v>
      </c>
      <c r="L16" t="n">
        <v>0</v>
      </c>
      <c r="M16" t="n">
        <v>0</v>
      </c>
      <c r="N16" t="n">
        <v>0</v>
      </c>
      <c r="O16" t="n">
        <v>0</v>
      </c>
      <c r="P16" t="n">
        <v>12</v>
      </c>
      <c r="Q16" t="n">
        <v>4</v>
      </c>
      <c r="R16" t="n">
        <v>0</v>
      </c>
      <c r="S16" t="n">
        <v>0</v>
      </c>
    </row>
    <row r="17">
      <c r="A17" t="inlineStr">
        <is>
          <t>Phnom Penh</t>
        </is>
      </c>
      <c r="B17" t="n">
        <v>68</v>
      </c>
      <c r="C17" t="n">
        <v>368</v>
      </c>
      <c r="D17" t="n">
        <v>1774</v>
      </c>
      <c r="E17" t="n">
        <v>5693</v>
      </c>
      <c r="F17" t="n">
        <v>510</v>
      </c>
      <c r="G17" t="n">
        <v>12</v>
      </c>
      <c r="H17" t="n">
        <v>49</v>
      </c>
      <c r="I17" t="n">
        <v>271</v>
      </c>
      <c r="J17" t="n">
        <v>1211</v>
      </c>
      <c r="K17" t="n">
        <v>3176</v>
      </c>
      <c r="L17" t="n">
        <v>179</v>
      </c>
      <c r="M17" t="n">
        <v>6</v>
      </c>
      <c r="N17" t="n">
        <v>14</v>
      </c>
      <c r="O17" t="n">
        <v>18</v>
      </c>
      <c r="P17" t="n">
        <v>180</v>
      </c>
      <c r="Q17" t="n">
        <v>984</v>
      </c>
      <c r="R17" t="n">
        <v>52</v>
      </c>
      <c r="S17" t="n">
        <v>0</v>
      </c>
    </row>
    <row r="18">
      <c r="A18" t="inlineStr">
        <is>
          <t>Preah Sihanouk</t>
        </is>
      </c>
      <c r="B18" t="n">
        <v>8</v>
      </c>
      <c r="C18" t="n">
        <v>57</v>
      </c>
      <c r="D18" t="n">
        <v>193</v>
      </c>
      <c r="E18" t="n">
        <v>239</v>
      </c>
      <c r="F18" t="n">
        <v>14</v>
      </c>
      <c r="G18" t="n">
        <v>7</v>
      </c>
      <c r="H18" t="n">
        <v>7</v>
      </c>
      <c r="I18" t="n">
        <v>21</v>
      </c>
      <c r="J18" t="n">
        <v>126</v>
      </c>
      <c r="K18" t="n">
        <v>114</v>
      </c>
      <c r="L18" t="n">
        <v>4</v>
      </c>
      <c r="M18" t="n">
        <v>3</v>
      </c>
      <c r="N18" t="n">
        <v>0</v>
      </c>
      <c r="O18" t="n">
        <v>15</v>
      </c>
      <c r="P18" t="n">
        <v>24</v>
      </c>
      <c r="Q18" t="n">
        <v>39</v>
      </c>
      <c r="R18" t="n">
        <v>1</v>
      </c>
      <c r="S18" t="n">
        <v>0</v>
      </c>
    </row>
    <row r="19">
      <c r="A19" t="inlineStr">
        <is>
          <t>Preah Vihear</t>
        </is>
      </c>
      <c r="B19" t="n">
        <v>0</v>
      </c>
      <c r="C19" t="n">
        <v>0</v>
      </c>
      <c r="D19" t="n">
        <v>9</v>
      </c>
      <c r="E19" t="n">
        <v>12</v>
      </c>
      <c r="F19" t="n">
        <v>0</v>
      </c>
      <c r="G19" t="n">
        <v>0</v>
      </c>
      <c r="H19" t="n">
        <v>0</v>
      </c>
      <c r="I19" t="n">
        <v>0</v>
      </c>
      <c r="J19" t="n">
        <v>9</v>
      </c>
      <c r="K19" t="n">
        <v>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Prey Veng</t>
        </is>
      </c>
      <c r="B20" t="n">
        <v>1</v>
      </c>
      <c r="C20" t="n">
        <v>2</v>
      </c>
      <c r="D20" t="n">
        <v>3</v>
      </c>
      <c r="E20" t="n">
        <v>34</v>
      </c>
      <c r="F20" t="n">
        <v>5</v>
      </c>
      <c r="G20" t="n">
        <v>0</v>
      </c>
      <c r="H20" t="n">
        <v>1</v>
      </c>
      <c r="I20" t="n">
        <v>1</v>
      </c>
      <c r="J20" t="n">
        <v>3</v>
      </c>
      <c r="K20" t="n">
        <v>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Pursat</t>
        </is>
      </c>
      <c r="B21" t="n">
        <v>12</v>
      </c>
      <c r="C21" t="n">
        <v>1</v>
      </c>
      <c r="D21" t="n">
        <v>21</v>
      </c>
      <c r="E21" t="n">
        <v>41</v>
      </c>
      <c r="F21" t="n">
        <v>2</v>
      </c>
      <c r="G21" t="n">
        <v>0</v>
      </c>
      <c r="H21" t="n">
        <v>12</v>
      </c>
      <c r="I21" t="n">
        <v>1</v>
      </c>
      <c r="J21" t="n">
        <v>14</v>
      </c>
      <c r="K21" t="n">
        <v>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0</v>
      </c>
    </row>
    <row r="22">
      <c r="A22" t="inlineStr">
        <is>
          <t>Ratanak Kiri</t>
        </is>
      </c>
      <c r="B22" t="n">
        <v>0</v>
      </c>
      <c r="C22" t="n">
        <v>3</v>
      </c>
      <c r="D22" t="n">
        <v>143</v>
      </c>
      <c r="E22" t="n">
        <v>141</v>
      </c>
      <c r="F22" t="n">
        <v>3</v>
      </c>
      <c r="G22" t="n">
        <v>0</v>
      </c>
      <c r="H22" t="n">
        <v>0</v>
      </c>
      <c r="I22" t="n">
        <v>3</v>
      </c>
      <c r="J22" t="n">
        <v>89</v>
      </c>
      <c r="K22" t="n">
        <v>70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</v>
      </c>
      <c r="R22" t="n">
        <v>1</v>
      </c>
      <c r="S22" t="n">
        <v>0</v>
      </c>
    </row>
    <row r="23">
      <c r="A23" t="inlineStr">
        <is>
          <t>Siemreap</t>
        </is>
      </c>
      <c r="B23" t="n">
        <v>4</v>
      </c>
      <c r="C23" t="n">
        <v>12</v>
      </c>
      <c r="D23" t="n">
        <v>247</v>
      </c>
      <c r="E23" t="n">
        <v>632</v>
      </c>
      <c r="F23" t="n">
        <v>24</v>
      </c>
      <c r="G23" t="n">
        <v>2</v>
      </c>
      <c r="H23" t="n">
        <v>2</v>
      </c>
      <c r="I23" t="n">
        <v>7</v>
      </c>
      <c r="J23" t="n">
        <v>199</v>
      </c>
      <c r="K23" t="n">
        <v>396</v>
      </c>
      <c r="L23" t="n">
        <v>7</v>
      </c>
      <c r="M23" t="n">
        <v>0</v>
      </c>
      <c r="N23" t="n">
        <v>0</v>
      </c>
      <c r="O23" t="n">
        <v>3</v>
      </c>
      <c r="P23" t="n">
        <v>12</v>
      </c>
      <c r="Q23" t="n">
        <v>40</v>
      </c>
      <c r="R23" t="n">
        <v>1</v>
      </c>
      <c r="S23" t="n">
        <v>2</v>
      </c>
    </row>
    <row r="24">
      <c r="A24" t="inlineStr">
        <is>
          <t>Stung Treng</t>
        </is>
      </c>
      <c r="B24" t="n">
        <v>0</v>
      </c>
      <c r="C24" t="n">
        <v>3</v>
      </c>
      <c r="D24" t="n">
        <v>31</v>
      </c>
      <c r="E24" t="n">
        <v>35</v>
      </c>
      <c r="F24" t="n">
        <v>0</v>
      </c>
      <c r="G24" t="n">
        <v>1</v>
      </c>
      <c r="H24" t="n">
        <v>0</v>
      </c>
      <c r="I24" t="n">
        <v>3</v>
      </c>
      <c r="J24" t="n">
        <v>21</v>
      </c>
      <c r="K24" t="n">
        <v>18</v>
      </c>
      <c r="L24" t="n">
        <v>0</v>
      </c>
      <c r="M24" t="n">
        <v>1</v>
      </c>
      <c r="N24" t="n">
        <v>0</v>
      </c>
      <c r="O24" t="n">
        <v>0</v>
      </c>
      <c r="P24" t="n">
        <v>3</v>
      </c>
      <c r="Q24" t="n">
        <v>10</v>
      </c>
      <c r="R24" t="n">
        <v>0</v>
      </c>
      <c r="S24" t="n">
        <v>0</v>
      </c>
    </row>
    <row r="25">
      <c r="A25" t="inlineStr">
        <is>
          <t>Svay Rieng</t>
        </is>
      </c>
      <c r="B25" t="n">
        <v>4</v>
      </c>
      <c r="C25" t="n">
        <v>5</v>
      </c>
      <c r="D25" t="n">
        <v>40</v>
      </c>
      <c r="E25" t="n">
        <v>17</v>
      </c>
      <c r="F25" t="n">
        <v>0</v>
      </c>
      <c r="G25" t="n">
        <v>0</v>
      </c>
      <c r="H25" t="n">
        <v>4</v>
      </c>
      <c r="I25" t="n">
        <v>5</v>
      </c>
      <c r="J25" t="n">
        <v>28</v>
      </c>
      <c r="K25" t="n">
        <v>17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11</v>
      </c>
      <c r="R25" t="n">
        <v>0</v>
      </c>
      <c r="S25" t="n">
        <v>0</v>
      </c>
    </row>
    <row r="26">
      <c r="A26" t="inlineStr">
        <is>
          <t>Takeo</t>
        </is>
      </c>
      <c r="B26" t="n">
        <v>7</v>
      </c>
      <c r="C26" t="n">
        <v>16</v>
      </c>
      <c r="D26" t="n">
        <v>94</v>
      </c>
      <c r="E26" t="n">
        <v>205</v>
      </c>
      <c r="F26" t="n">
        <v>24</v>
      </c>
      <c r="G26" t="n">
        <v>0</v>
      </c>
      <c r="H26" t="n">
        <v>4</v>
      </c>
      <c r="I26" t="n">
        <v>12</v>
      </c>
      <c r="J26" t="n">
        <v>48</v>
      </c>
      <c r="K26" t="n">
        <v>83</v>
      </c>
      <c r="L26" t="n">
        <v>5</v>
      </c>
      <c r="M26" t="n">
        <v>0</v>
      </c>
      <c r="N26" t="n">
        <v>0</v>
      </c>
      <c r="O26" t="n">
        <v>2</v>
      </c>
      <c r="P26" t="n">
        <v>10</v>
      </c>
      <c r="Q26" t="n">
        <v>12</v>
      </c>
      <c r="R26" t="n">
        <v>0</v>
      </c>
      <c r="S26" t="n">
        <v>0</v>
      </c>
    </row>
    <row r="27">
      <c r="A27" t="inlineStr">
        <is>
          <t>Tbaung Khmum</t>
        </is>
      </c>
      <c r="B27" t="n">
        <v>4</v>
      </c>
      <c r="C27" t="n">
        <v>14</v>
      </c>
      <c r="D27" t="n">
        <v>75</v>
      </c>
      <c r="E27" t="n">
        <v>168</v>
      </c>
      <c r="F27" t="n">
        <v>6</v>
      </c>
      <c r="G27" t="n">
        <v>1</v>
      </c>
      <c r="H27" t="n">
        <v>4</v>
      </c>
      <c r="I27" t="n">
        <v>8</v>
      </c>
      <c r="J27" t="n">
        <v>57</v>
      </c>
      <c r="K27" t="n">
        <v>104</v>
      </c>
      <c r="L27" t="n">
        <v>0</v>
      </c>
      <c r="M27" t="n">
        <v>1</v>
      </c>
      <c r="N27" t="n">
        <v>0</v>
      </c>
      <c r="O27" t="n">
        <v>0</v>
      </c>
      <c r="P27" t="n">
        <v>6</v>
      </c>
      <c r="Q27" t="n">
        <v>28</v>
      </c>
      <c r="R27" t="n">
        <v>0</v>
      </c>
      <c r="S27" t="n">
        <v>0</v>
      </c>
    </row>
    <row r="28">
      <c r="A28" t="inlineStr">
        <is>
          <t>Whole Kingdom</t>
        </is>
      </c>
      <c r="B28" t="n">
        <v>262</v>
      </c>
      <c r="C28" t="n">
        <v>788</v>
      </c>
      <c r="D28" t="n">
        <v>4332</v>
      </c>
      <c r="E28" t="n">
        <v>9875</v>
      </c>
      <c r="F28" t="n">
        <v>789</v>
      </c>
      <c r="G28" t="n">
        <v>23</v>
      </c>
      <c r="H28" t="n">
        <v>153</v>
      </c>
      <c r="I28" t="n">
        <v>532</v>
      </c>
      <c r="J28" t="n">
        <v>2960</v>
      </c>
      <c r="K28" t="n">
        <v>5450</v>
      </c>
      <c r="L28" t="n">
        <v>255</v>
      </c>
      <c r="M28" t="n">
        <v>11</v>
      </c>
      <c r="N28" t="n">
        <v>25</v>
      </c>
      <c r="O28" t="n">
        <v>65</v>
      </c>
      <c r="P28" t="n">
        <v>420</v>
      </c>
      <c r="Q28" t="n">
        <v>1325</v>
      </c>
      <c r="R28" t="n">
        <v>69</v>
      </c>
      <c r="S28" t="n">
        <v>2</v>
      </c>
    </row>
    <row r="29">
      <c r="A29" t="inlineStr">
        <is>
          <t>- Urban Area</t>
        </is>
      </c>
      <c r="B29" t="n">
        <v>160</v>
      </c>
      <c r="C29" t="n">
        <v>594</v>
      </c>
      <c r="D29" t="n">
        <v>3586</v>
      </c>
      <c r="E29" t="n">
        <v>8657</v>
      </c>
      <c r="F29" t="n">
        <v>698</v>
      </c>
      <c r="G29" t="n">
        <v>23</v>
      </c>
      <c r="H29" t="n">
        <v>111</v>
      </c>
      <c r="I29" t="n">
        <v>406</v>
      </c>
      <c r="J29" t="n">
        <v>2453</v>
      </c>
      <c r="K29" t="n">
        <v>4868</v>
      </c>
      <c r="L29" t="n">
        <v>233</v>
      </c>
      <c r="M29" t="n">
        <v>11</v>
      </c>
      <c r="N29" t="n">
        <v>15</v>
      </c>
      <c r="O29" t="n">
        <v>46</v>
      </c>
      <c r="P29" t="n">
        <v>342</v>
      </c>
      <c r="Q29" t="n">
        <v>1198</v>
      </c>
      <c r="R29" t="n">
        <v>57</v>
      </c>
      <c r="S29" t="n">
        <v>2</v>
      </c>
    </row>
    <row r="30">
      <c r="A30" t="inlineStr">
        <is>
          <t>- Rural Area</t>
        </is>
      </c>
      <c r="B30" t="n">
        <v>102</v>
      </c>
      <c r="C30" t="n">
        <v>194</v>
      </c>
      <c r="D30" t="n">
        <v>746</v>
      </c>
      <c r="E30" t="n">
        <v>1218</v>
      </c>
      <c r="F30" t="n">
        <v>91</v>
      </c>
      <c r="G30" t="n">
        <v>0</v>
      </c>
      <c r="H30" t="n">
        <v>42</v>
      </c>
      <c r="I30" t="n">
        <v>126</v>
      </c>
      <c r="J30" t="n">
        <v>507</v>
      </c>
      <c r="K30" t="n">
        <v>582</v>
      </c>
      <c r="L30" t="n">
        <v>22</v>
      </c>
      <c r="M30" t="n">
        <v>0</v>
      </c>
      <c r="N30" t="n">
        <v>10</v>
      </c>
      <c r="O30" t="n">
        <v>19</v>
      </c>
      <c r="P30" t="n">
        <v>78</v>
      </c>
      <c r="Q30" t="n">
        <v>127</v>
      </c>
      <c r="R30" t="n">
        <v>12</v>
      </c>
      <c r="S30" t="n">
        <v>0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A9D18E"/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20.5" customWidth="1" min="1" max="1"/>
    <col width="14.5" customWidth="1" min="2" max="2"/>
    <col width="14.1640625" customWidth="1" min="6" max="6"/>
    <col width="14.5" customWidth="1" min="7" max="7"/>
    <col width="14.1640625" customWidth="1" min="11" max="11"/>
  </cols>
  <sheetData>
    <row r="1">
      <c r="A1" t="inlineStr">
        <is>
          <t>Province</t>
        </is>
      </c>
      <c r="B1" t="inlineStr">
        <is>
          <t>Number of School having</t>
        </is>
      </c>
    </row>
    <row r="2">
      <c r="B2" t="inlineStr">
        <is>
          <t>Computer</t>
        </is>
      </c>
      <c r="C2" t="inlineStr">
        <is>
          <t>Printer</t>
        </is>
      </c>
      <c r="D2" t="inlineStr">
        <is>
          <t>LCD Projector</t>
        </is>
      </c>
      <c r="E2" t="inlineStr">
        <is>
          <t>Photocopy</t>
        </is>
      </c>
      <c r="F2" t="inlineStr">
        <is>
          <t>Library</t>
        </is>
      </c>
      <c r="G2" t="inlineStr">
        <is>
          <t>Home Economic</t>
        </is>
      </c>
      <c r="H2" t="inlineStr">
        <is>
          <t>Resource Center</t>
        </is>
      </c>
      <c r="I2" t="inlineStr">
        <is>
          <t>Workshop</t>
        </is>
      </c>
      <c r="J2" t="inlineStr">
        <is>
          <t>Drinking Water</t>
        </is>
      </c>
      <c r="K2" t="inlineStr">
        <is>
          <t>Toilet</t>
        </is>
      </c>
    </row>
    <row r="3">
      <c r="A3" t="inlineStr">
        <is>
          <t>Banteay Meanchey</t>
        </is>
      </c>
      <c r="B3" t="n">
        <v>75</v>
      </c>
      <c r="C3" t="n">
        <v>38</v>
      </c>
      <c r="D3" t="n">
        <v>39</v>
      </c>
      <c r="E3" t="n">
        <v>69</v>
      </c>
      <c r="F3" t="n">
        <v>81</v>
      </c>
      <c r="G3" t="n">
        <v>40</v>
      </c>
      <c r="H3" t="n">
        <v>31</v>
      </c>
      <c r="I3" t="n">
        <v>95</v>
      </c>
      <c r="J3" t="n">
        <v>107</v>
      </c>
      <c r="K3" t="n">
        <v>110</v>
      </c>
    </row>
    <row r="4">
      <c r="A4" t="inlineStr">
        <is>
          <t>Battambang</t>
        </is>
      </c>
      <c r="B4" t="n">
        <v>37</v>
      </c>
      <c r="C4" t="n">
        <v>29</v>
      </c>
      <c r="D4" t="n">
        <v>25</v>
      </c>
      <c r="E4" t="n">
        <v>29</v>
      </c>
      <c r="F4" t="n">
        <v>35</v>
      </c>
      <c r="G4" t="n">
        <v>5</v>
      </c>
      <c r="H4" t="n">
        <v>13</v>
      </c>
      <c r="I4" t="n">
        <v>24</v>
      </c>
      <c r="J4" t="n">
        <v>25</v>
      </c>
      <c r="K4" t="n">
        <v>29</v>
      </c>
    </row>
    <row r="5">
      <c r="A5" t="inlineStr">
        <is>
          <t>Kampong Cham</t>
        </is>
      </c>
      <c r="B5" t="n">
        <v>16</v>
      </c>
      <c r="C5" t="n">
        <v>6</v>
      </c>
      <c r="D5" t="n">
        <v>7</v>
      </c>
      <c r="E5" t="n">
        <v>9</v>
      </c>
      <c r="F5" t="n">
        <v>12</v>
      </c>
      <c r="G5" t="n">
        <v>0</v>
      </c>
      <c r="H5" t="n">
        <v>3</v>
      </c>
      <c r="I5" t="n">
        <v>6</v>
      </c>
      <c r="J5" t="n">
        <v>17</v>
      </c>
      <c r="K5" t="n">
        <v>17</v>
      </c>
    </row>
    <row r="6">
      <c r="A6" t="inlineStr">
        <is>
          <t>Kampong Chhnang</t>
        </is>
      </c>
      <c r="B6" t="n">
        <v>12</v>
      </c>
      <c r="C6" t="n">
        <v>11</v>
      </c>
      <c r="D6" t="n">
        <v>11</v>
      </c>
      <c r="E6" t="n">
        <v>11</v>
      </c>
      <c r="F6" t="n">
        <v>17</v>
      </c>
      <c r="G6" t="n">
        <v>5</v>
      </c>
      <c r="H6" t="n">
        <v>6</v>
      </c>
      <c r="I6" t="n">
        <v>22</v>
      </c>
      <c r="J6" t="n">
        <v>23</v>
      </c>
      <c r="K6" t="n">
        <v>23</v>
      </c>
    </row>
    <row r="7">
      <c r="A7" t="inlineStr">
        <is>
          <t>Kampong Speu</t>
        </is>
      </c>
      <c r="B7" t="n">
        <v>49</v>
      </c>
      <c r="C7" t="n">
        <v>25</v>
      </c>
      <c r="D7" t="n">
        <v>30</v>
      </c>
      <c r="E7" t="n">
        <v>38</v>
      </c>
      <c r="F7" t="n">
        <v>30</v>
      </c>
      <c r="G7" t="n">
        <v>10</v>
      </c>
      <c r="H7" t="n">
        <v>15</v>
      </c>
      <c r="I7" t="n">
        <v>30</v>
      </c>
      <c r="J7" t="n">
        <v>44</v>
      </c>
      <c r="K7" t="n">
        <v>44</v>
      </c>
    </row>
    <row r="8">
      <c r="A8" t="inlineStr">
        <is>
          <t>Kampong Thom</t>
        </is>
      </c>
      <c r="B8" t="n">
        <v>15</v>
      </c>
      <c r="C8" t="n">
        <v>8</v>
      </c>
      <c r="D8" t="n">
        <v>12</v>
      </c>
      <c r="E8" t="n">
        <v>11</v>
      </c>
      <c r="F8" t="n">
        <v>12</v>
      </c>
      <c r="G8" t="n">
        <v>5</v>
      </c>
      <c r="H8" t="n">
        <v>1</v>
      </c>
      <c r="I8" t="n">
        <v>15</v>
      </c>
      <c r="J8" t="n">
        <v>17</v>
      </c>
      <c r="K8" t="n">
        <v>17</v>
      </c>
    </row>
    <row r="9">
      <c r="A9" t="inlineStr">
        <is>
          <t>Kampot</t>
        </is>
      </c>
      <c r="B9" t="n">
        <v>25</v>
      </c>
      <c r="C9" t="n">
        <v>15</v>
      </c>
      <c r="D9" t="n">
        <v>10</v>
      </c>
      <c r="E9" t="n">
        <v>19</v>
      </c>
      <c r="F9" t="n">
        <v>13</v>
      </c>
      <c r="G9" t="n">
        <v>2</v>
      </c>
      <c r="H9" t="n">
        <v>0</v>
      </c>
      <c r="I9" t="n">
        <v>12</v>
      </c>
      <c r="J9" t="n">
        <v>16</v>
      </c>
      <c r="K9" t="n">
        <v>17</v>
      </c>
    </row>
    <row r="10">
      <c r="A10" t="inlineStr">
        <is>
          <t>Kandal</t>
        </is>
      </c>
      <c r="B10" t="n">
        <v>47</v>
      </c>
      <c r="C10" t="n">
        <v>21</v>
      </c>
      <c r="D10" t="n">
        <v>31</v>
      </c>
      <c r="E10" t="n">
        <v>42</v>
      </c>
      <c r="F10" t="n">
        <v>34</v>
      </c>
      <c r="G10" t="n">
        <v>1</v>
      </c>
      <c r="H10" t="n">
        <v>12</v>
      </c>
      <c r="I10" t="n">
        <v>32</v>
      </c>
      <c r="J10" t="n">
        <v>27</v>
      </c>
      <c r="K10" t="n">
        <v>27</v>
      </c>
    </row>
    <row r="11">
      <c r="A11" t="inlineStr">
        <is>
          <t>Kep</t>
        </is>
      </c>
      <c r="B11" t="n">
        <v>1</v>
      </c>
      <c r="C11" t="n">
        <v>1</v>
      </c>
      <c r="D11" t="n">
        <v>1</v>
      </c>
      <c r="E11" t="n">
        <v>1</v>
      </c>
      <c r="F11" t="n">
        <v>2</v>
      </c>
      <c r="G11" t="n">
        <v>2</v>
      </c>
      <c r="H11" t="n">
        <v>2</v>
      </c>
      <c r="I11" t="n">
        <v>2</v>
      </c>
      <c r="J11" t="n">
        <v>4</v>
      </c>
      <c r="K11" t="n">
        <v>2</v>
      </c>
    </row>
    <row r="12">
      <c r="A12" t="inlineStr">
        <is>
          <t>Koh Kong</t>
        </is>
      </c>
      <c r="B12" t="n">
        <v>22</v>
      </c>
      <c r="C12" t="n">
        <v>11</v>
      </c>
      <c r="D12" t="n">
        <v>9</v>
      </c>
      <c r="E12" t="n">
        <v>16</v>
      </c>
      <c r="F12" t="n">
        <v>6</v>
      </c>
      <c r="G12" t="n">
        <v>2</v>
      </c>
      <c r="H12" t="n">
        <v>2</v>
      </c>
      <c r="I12" t="n">
        <v>18</v>
      </c>
      <c r="J12" t="n">
        <v>21</v>
      </c>
      <c r="K12" t="n">
        <v>21</v>
      </c>
    </row>
    <row r="13">
      <c r="A13" t="inlineStr">
        <is>
          <t>Kratie</t>
        </is>
      </c>
      <c r="B13" t="n">
        <v>6</v>
      </c>
      <c r="C13" t="n">
        <v>2</v>
      </c>
      <c r="D13" t="n">
        <v>4</v>
      </c>
      <c r="E13" t="n">
        <v>3</v>
      </c>
      <c r="F13" t="n">
        <v>3</v>
      </c>
      <c r="G13" t="n">
        <v>0</v>
      </c>
      <c r="H13" t="n">
        <v>0</v>
      </c>
      <c r="I13" t="n">
        <v>3</v>
      </c>
      <c r="J13" t="n">
        <v>4</v>
      </c>
      <c r="K13" t="n">
        <v>4</v>
      </c>
    </row>
    <row r="14">
      <c r="A14" t="inlineStr">
        <is>
          <t>Mondul Kiri</t>
        </is>
      </c>
      <c r="B14" t="n">
        <v>7</v>
      </c>
      <c r="C14" t="n">
        <v>5</v>
      </c>
      <c r="D14" t="n">
        <v>0</v>
      </c>
      <c r="E14" t="n">
        <v>5</v>
      </c>
      <c r="F14" t="n">
        <v>3</v>
      </c>
      <c r="G14" t="n">
        <v>1</v>
      </c>
      <c r="H14" t="n">
        <v>0</v>
      </c>
      <c r="I14" t="n">
        <v>8</v>
      </c>
      <c r="J14" t="n">
        <v>8</v>
      </c>
      <c r="K14" t="n">
        <v>8</v>
      </c>
    </row>
    <row r="15">
      <c r="A15" t="inlineStr">
        <is>
          <t>Otdar Meanchey</t>
        </is>
      </c>
      <c r="B15" t="n">
        <v>3</v>
      </c>
      <c r="C15" t="n">
        <v>1</v>
      </c>
      <c r="D15" t="n">
        <v>2</v>
      </c>
      <c r="E15" t="n">
        <v>3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</row>
    <row r="16">
      <c r="A16" t="inlineStr">
        <is>
          <t>Pailin</t>
        </is>
      </c>
      <c r="B16" t="n">
        <v>13</v>
      </c>
      <c r="C16" t="n">
        <v>6</v>
      </c>
      <c r="D16" t="n">
        <v>4</v>
      </c>
      <c r="E16" t="n">
        <v>11</v>
      </c>
      <c r="F16" t="n">
        <v>4</v>
      </c>
      <c r="G16" t="n">
        <v>0</v>
      </c>
      <c r="H16" t="n">
        <v>0</v>
      </c>
      <c r="I16" t="n">
        <v>6</v>
      </c>
      <c r="J16" t="n">
        <v>1</v>
      </c>
      <c r="K16" t="n">
        <v>5</v>
      </c>
    </row>
    <row r="17">
      <c r="A17" t="inlineStr">
        <is>
          <t>Phnom Penh</t>
        </is>
      </c>
      <c r="B17" t="n">
        <v>469</v>
      </c>
      <c r="C17" t="n">
        <v>270</v>
      </c>
      <c r="D17" t="n">
        <v>346</v>
      </c>
      <c r="E17" t="n">
        <v>428</v>
      </c>
      <c r="F17" t="n">
        <v>495</v>
      </c>
      <c r="G17" t="n">
        <v>236</v>
      </c>
      <c r="H17" t="n">
        <v>214</v>
      </c>
      <c r="I17" t="n">
        <v>536</v>
      </c>
      <c r="J17" t="n">
        <v>599</v>
      </c>
      <c r="K17" t="n">
        <v>598</v>
      </c>
    </row>
    <row r="18">
      <c r="A18" t="inlineStr">
        <is>
          <t>Preah Sihanouk</t>
        </is>
      </c>
      <c r="B18" t="n">
        <v>24</v>
      </c>
      <c r="C18" t="n">
        <v>17</v>
      </c>
      <c r="D18" t="n">
        <v>15</v>
      </c>
      <c r="E18" t="n">
        <v>23</v>
      </c>
      <c r="F18" t="n">
        <v>28</v>
      </c>
      <c r="G18" t="n">
        <v>9</v>
      </c>
      <c r="H18" t="n">
        <v>3</v>
      </c>
      <c r="I18" t="n">
        <v>28</v>
      </c>
      <c r="J18" t="n">
        <v>33</v>
      </c>
      <c r="K18" t="n">
        <v>33</v>
      </c>
    </row>
    <row r="19">
      <c r="A19" t="inlineStr">
        <is>
          <t>Preah Vihear</t>
        </is>
      </c>
      <c r="B19" t="n">
        <v>4</v>
      </c>
      <c r="C19" t="n">
        <v>3</v>
      </c>
      <c r="D19" t="n">
        <v>1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Prey Veng</t>
        </is>
      </c>
      <c r="B20" t="n">
        <v>5</v>
      </c>
      <c r="C20" t="n">
        <v>3</v>
      </c>
      <c r="D20" t="n">
        <v>3</v>
      </c>
      <c r="E20" t="n">
        <v>5</v>
      </c>
      <c r="F20" t="n">
        <v>2</v>
      </c>
      <c r="G20" t="n">
        <v>5</v>
      </c>
      <c r="H20" t="n">
        <v>0</v>
      </c>
      <c r="I20" t="n">
        <v>7</v>
      </c>
      <c r="J20" t="n">
        <v>7</v>
      </c>
      <c r="K20" t="n">
        <v>7</v>
      </c>
    </row>
    <row r="21">
      <c r="A21" t="inlineStr">
        <is>
          <t>Pursat</t>
        </is>
      </c>
      <c r="B21" t="n">
        <v>8</v>
      </c>
      <c r="C21" t="n">
        <v>1</v>
      </c>
      <c r="D21" t="n">
        <v>9</v>
      </c>
      <c r="E21" t="n">
        <v>9</v>
      </c>
      <c r="F21" t="n">
        <v>7</v>
      </c>
      <c r="G21" t="n">
        <v>5</v>
      </c>
      <c r="H21" t="n">
        <v>0</v>
      </c>
      <c r="I21" t="n">
        <v>8</v>
      </c>
      <c r="J21" t="n">
        <v>11</v>
      </c>
      <c r="K21" t="n">
        <v>11</v>
      </c>
    </row>
    <row r="22">
      <c r="A22" t="inlineStr">
        <is>
          <t>Ratanak Kiri</t>
        </is>
      </c>
      <c r="B22" t="n">
        <v>9</v>
      </c>
      <c r="C22" t="n">
        <v>4</v>
      </c>
      <c r="D22" t="n">
        <v>6</v>
      </c>
      <c r="E22" t="n">
        <v>7</v>
      </c>
      <c r="F22" t="n">
        <v>9</v>
      </c>
      <c r="G22" t="n">
        <v>9</v>
      </c>
      <c r="H22" t="n">
        <v>2</v>
      </c>
      <c r="I22" t="n">
        <v>11</v>
      </c>
      <c r="J22" t="n">
        <v>11</v>
      </c>
      <c r="K22" t="n">
        <v>11</v>
      </c>
    </row>
    <row r="23">
      <c r="A23" t="inlineStr">
        <is>
          <t>Siemreap</t>
        </is>
      </c>
      <c r="B23" t="n">
        <v>48</v>
      </c>
      <c r="C23" t="n">
        <v>30</v>
      </c>
      <c r="D23" t="n">
        <v>29</v>
      </c>
      <c r="E23" t="n">
        <v>41</v>
      </c>
      <c r="F23" t="n">
        <v>55</v>
      </c>
      <c r="G23" t="n">
        <v>17</v>
      </c>
      <c r="H23" t="n">
        <v>10</v>
      </c>
      <c r="I23" t="n">
        <v>56</v>
      </c>
      <c r="J23" t="n">
        <v>59</v>
      </c>
      <c r="K23" t="n">
        <v>61</v>
      </c>
    </row>
    <row r="24">
      <c r="A24" t="inlineStr">
        <is>
          <t>Stung Treng</t>
        </is>
      </c>
      <c r="B24" t="n">
        <v>6</v>
      </c>
      <c r="C24" t="n">
        <v>4</v>
      </c>
      <c r="D24" t="n">
        <v>5</v>
      </c>
      <c r="E24" t="n">
        <v>4</v>
      </c>
      <c r="F24" t="n">
        <v>9</v>
      </c>
      <c r="G24" t="n">
        <v>4</v>
      </c>
      <c r="H24" t="n">
        <v>2</v>
      </c>
      <c r="I24" t="n">
        <v>9</v>
      </c>
      <c r="J24" t="n">
        <v>9</v>
      </c>
      <c r="K24" t="n">
        <v>9</v>
      </c>
    </row>
    <row r="25">
      <c r="A25" t="inlineStr">
        <is>
          <t>Svay Rieng</t>
        </is>
      </c>
      <c r="B25" t="n">
        <v>3</v>
      </c>
      <c r="C25" t="n">
        <v>2</v>
      </c>
      <c r="D25" t="n">
        <v>2</v>
      </c>
      <c r="E25" t="n">
        <v>0</v>
      </c>
      <c r="F25" t="n">
        <v>3</v>
      </c>
      <c r="G25" t="n">
        <v>2</v>
      </c>
      <c r="H25" t="n">
        <v>0</v>
      </c>
      <c r="I25" t="n">
        <v>7</v>
      </c>
      <c r="J25" t="n">
        <v>8</v>
      </c>
      <c r="K25" t="n">
        <v>8</v>
      </c>
    </row>
    <row r="26">
      <c r="A26" t="inlineStr">
        <is>
          <t>Takeo</t>
        </is>
      </c>
      <c r="B26" t="n">
        <v>30</v>
      </c>
      <c r="C26" t="n">
        <v>16</v>
      </c>
      <c r="D26" t="n">
        <v>18</v>
      </c>
      <c r="E26" t="n">
        <v>23</v>
      </c>
      <c r="F26" t="n">
        <v>29</v>
      </c>
      <c r="G26" t="n">
        <v>3</v>
      </c>
      <c r="H26" t="n">
        <v>11</v>
      </c>
      <c r="I26" t="n">
        <v>14</v>
      </c>
      <c r="J26" t="n">
        <v>18</v>
      </c>
      <c r="K26" t="n">
        <v>26</v>
      </c>
    </row>
    <row r="27">
      <c r="A27" t="inlineStr">
        <is>
          <t>Tbaung Khmum</t>
        </is>
      </c>
      <c r="B27" t="n">
        <v>23</v>
      </c>
      <c r="C27" t="n">
        <v>18</v>
      </c>
      <c r="D27" t="n">
        <v>14</v>
      </c>
      <c r="E27" t="n">
        <v>20</v>
      </c>
      <c r="F27" t="n">
        <v>4</v>
      </c>
      <c r="G27" t="n">
        <v>7</v>
      </c>
      <c r="H27" t="n">
        <v>4</v>
      </c>
      <c r="I27" t="n">
        <v>9</v>
      </c>
      <c r="J27" t="n">
        <v>24</v>
      </c>
      <c r="K27" t="n">
        <v>23</v>
      </c>
    </row>
    <row r="28">
      <c r="A28" t="inlineStr">
        <is>
          <t>Whole Kingdom</t>
        </is>
      </c>
      <c r="B28" t="n">
        <v>957</v>
      </c>
      <c r="C28" t="n">
        <v>547</v>
      </c>
      <c r="D28" t="n">
        <v>633</v>
      </c>
      <c r="E28" t="n">
        <v>829</v>
      </c>
      <c r="F28" t="n">
        <v>894</v>
      </c>
      <c r="G28" t="n">
        <v>371</v>
      </c>
      <c r="H28" t="n">
        <v>331</v>
      </c>
      <c r="I28" t="n">
        <v>958</v>
      </c>
      <c r="J28" t="n">
        <v>1094</v>
      </c>
      <c r="K28" t="n">
        <v>1112</v>
      </c>
    </row>
    <row r="29">
      <c r="A29" t="inlineStr">
        <is>
          <t>- Urban Area</t>
        </is>
      </c>
      <c r="B29" t="n">
        <v>781</v>
      </c>
      <c r="C29" t="n">
        <v>447</v>
      </c>
      <c r="D29" t="n">
        <v>539</v>
      </c>
      <c r="E29" t="n">
        <v>686</v>
      </c>
      <c r="F29" t="n">
        <v>764</v>
      </c>
      <c r="G29" t="n">
        <v>346</v>
      </c>
      <c r="H29" t="n">
        <v>300</v>
      </c>
      <c r="I29" t="n">
        <v>843</v>
      </c>
      <c r="J29" t="n">
        <v>939</v>
      </c>
      <c r="K29" t="n">
        <v>943</v>
      </c>
    </row>
    <row r="30">
      <c r="A30" t="inlineStr">
        <is>
          <t>- Rural Area</t>
        </is>
      </c>
      <c r="B30" t="n">
        <v>176</v>
      </c>
      <c r="C30" t="n">
        <v>100</v>
      </c>
      <c r="D30" t="n">
        <v>94</v>
      </c>
      <c r="E30" t="n">
        <v>143</v>
      </c>
      <c r="F30" t="n">
        <v>130</v>
      </c>
      <c r="G30" t="n">
        <v>25</v>
      </c>
      <c r="H30" t="n">
        <v>31</v>
      </c>
      <c r="I30" t="n">
        <v>115</v>
      </c>
      <c r="J30" t="n">
        <v>155</v>
      </c>
      <c r="K30" t="n">
        <v>169</v>
      </c>
    </row>
  </sheetData>
  <mergeCells count="2">
    <mergeCell ref="B1:K1"/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A9D18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3.33203125" customWidth="1" min="1" max="1"/>
    <col width="19.83203125" customWidth="1" min="2" max="2"/>
    <col width="20" customWidth="1" min="3" max="3"/>
    <col width="20.1640625" customWidth="1" min="7" max="7"/>
    <col width="20.5" customWidth="1" min="8" max="8"/>
  </cols>
  <sheetData>
    <row r="1">
      <c r="A1" t="inlineStr">
        <is>
          <t>Province</t>
        </is>
      </c>
      <c r="B1" t="inlineStr">
        <is>
          <t>Total Number of</t>
        </is>
      </c>
      <c r="E1" t="inlineStr">
        <is>
          <t>Concrete/ Brick Structure</t>
        </is>
      </c>
      <c r="G1" t="inlineStr">
        <is>
          <t>Wooden Structure</t>
        </is>
      </c>
    </row>
    <row r="2">
      <c r="B2" t="inlineStr">
        <is>
          <t>Buildings</t>
        </is>
      </c>
      <c r="C2" t="inlineStr">
        <is>
          <t>Rooms</t>
        </is>
      </c>
      <c r="D2" t="inlineStr">
        <is>
          <t>Classrooms</t>
        </is>
      </c>
      <c r="E2" t="inlineStr">
        <is>
          <t>Buildings</t>
        </is>
      </c>
      <c r="F2" t="inlineStr">
        <is>
          <t>Rooms</t>
        </is>
      </c>
      <c r="G2" t="inlineStr">
        <is>
          <t>Buildings</t>
        </is>
      </c>
      <c r="H2" t="inlineStr">
        <is>
          <t>Rooms</t>
        </is>
      </c>
    </row>
    <row r="3">
      <c r="A3" t="inlineStr">
        <is>
          <t>Banteay Meanchey</t>
        </is>
      </c>
      <c r="B3" t="n">
        <v>119</v>
      </c>
      <c r="C3" t="n">
        <v>1585</v>
      </c>
      <c r="D3" t="n">
        <v>794</v>
      </c>
      <c r="E3" t="n">
        <v>113</v>
      </c>
      <c r="F3" t="n">
        <v>1551</v>
      </c>
      <c r="G3" t="n">
        <v>6</v>
      </c>
      <c r="H3" t="n">
        <v>34</v>
      </c>
    </row>
    <row r="4">
      <c r="A4" t="inlineStr">
        <is>
          <t>Battambang</t>
        </is>
      </c>
      <c r="B4" t="n">
        <v>72</v>
      </c>
      <c r="C4" t="n">
        <v>662</v>
      </c>
      <c r="D4" t="n">
        <v>408</v>
      </c>
      <c r="E4" t="n">
        <v>69</v>
      </c>
      <c r="F4" t="n">
        <v>649</v>
      </c>
      <c r="G4" t="n">
        <v>3</v>
      </c>
      <c r="H4" t="n">
        <v>13</v>
      </c>
    </row>
    <row r="5">
      <c r="A5" t="inlineStr">
        <is>
          <t>Kampong Cham</t>
        </is>
      </c>
      <c r="B5" t="n">
        <v>45</v>
      </c>
      <c r="C5" t="n">
        <v>416</v>
      </c>
      <c r="D5" t="n">
        <v>206</v>
      </c>
      <c r="E5" t="n">
        <v>42</v>
      </c>
      <c r="F5" t="n">
        <v>395</v>
      </c>
      <c r="G5" t="n">
        <v>3</v>
      </c>
      <c r="H5" t="n">
        <v>21</v>
      </c>
    </row>
    <row r="6">
      <c r="A6" t="inlineStr">
        <is>
          <t>Kampong Chhnang</t>
        </is>
      </c>
      <c r="B6" t="n">
        <v>36</v>
      </c>
      <c r="C6" t="n">
        <v>340</v>
      </c>
      <c r="D6" t="n">
        <v>179</v>
      </c>
      <c r="E6" t="n">
        <v>33</v>
      </c>
      <c r="F6" t="n">
        <v>289</v>
      </c>
      <c r="G6" t="n">
        <v>3</v>
      </c>
      <c r="H6" t="n">
        <v>51</v>
      </c>
    </row>
    <row r="7">
      <c r="A7" t="inlineStr">
        <is>
          <t>Kampong Speu</t>
        </is>
      </c>
      <c r="B7" t="n">
        <v>86</v>
      </c>
      <c r="C7" t="n">
        <v>710</v>
      </c>
      <c r="D7" t="n">
        <v>325</v>
      </c>
      <c r="E7" t="n">
        <v>83</v>
      </c>
      <c r="F7" t="n">
        <v>702</v>
      </c>
      <c r="G7" t="n">
        <v>3</v>
      </c>
      <c r="H7" t="n">
        <v>8</v>
      </c>
    </row>
    <row r="8">
      <c r="A8" t="inlineStr">
        <is>
          <t>Kampong Thom</t>
        </is>
      </c>
      <c r="B8" t="n">
        <v>55</v>
      </c>
      <c r="C8" t="n">
        <v>258</v>
      </c>
      <c r="D8" t="n">
        <v>129</v>
      </c>
      <c r="E8" t="n">
        <v>43</v>
      </c>
      <c r="F8" t="n">
        <v>241</v>
      </c>
      <c r="G8" t="n">
        <v>12</v>
      </c>
      <c r="H8" t="n">
        <v>17</v>
      </c>
    </row>
    <row r="9">
      <c r="A9" t="inlineStr">
        <is>
          <t>Kampot</t>
        </is>
      </c>
      <c r="B9" t="n">
        <v>62</v>
      </c>
      <c r="C9" t="n">
        <v>503</v>
      </c>
      <c r="D9" t="n">
        <v>222</v>
      </c>
      <c r="E9" t="n">
        <v>61</v>
      </c>
      <c r="F9" t="n">
        <v>500</v>
      </c>
      <c r="G9" t="n">
        <v>1</v>
      </c>
      <c r="H9" t="n">
        <v>3</v>
      </c>
    </row>
    <row r="10">
      <c r="A10" t="inlineStr">
        <is>
          <t>Kandal</t>
        </is>
      </c>
      <c r="B10" t="n">
        <v>95</v>
      </c>
      <c r="C10" t="n">
        <v>1386</v>
      </c>
      <c r="D10" t="n">
        <v>518</v>
      </c>
      <c r="E10" t="n">
        <v>91</v>
      </c>
      <c r="F10" t="n">
        <v>1386</v>
      </c>
      <c r="G10" t="n">
        <v>4</v>
      </c>
      <c r="H10" t="n">
        <v>0</v>
      </c>
    </row>
    <row r="11">
      <c r="A11" t="inlineStr">
        <is>
          <t>Kep</t>
        </is>
      </c>
      <c r="B11" t="n">
        <v>9</v>
      </c>
      <c r="C11" t="n">
        <v>26</v>
      </c>
      <c r="D11" t="n">
        <v>19</v>
      </c>
      <c r="E11" t="n">
        <v>8</v>
      </c>
      <c r="F11" t="n">
        <v>24</v>
      </c>
      <c r="G11" t="n">
        <v>1</v>
      </c>
      <c r="H11" t="n">
        <v>2</v>
      </c>
    </row>
    <row r="12">
      <c r="A12" t="inlineStr">
        <is>
          <t>Koh Kong</t>
        </is>
      </c>
      <c r="B12" t="n">
        <v>58</v>
      </c>
      <c r="C12" t="n">
        <v>249</v>
      </c>
      <c r="D12" t="n">
        <v>143</v>
      </c>
      <c r="E12" t="n">
        <v>53</v>
      </c>
      <c r="F12" t="n">
        <v>225</v>
      </c>
      <c r="G12" t="n">
        <v>5</v>
      </c>
      <c r="H12" t="n">
        <v>24</v>
      </c>
    </row>
    <row r="13">
      <c r="A13" t="inlineStr">
        <is>
          <t>Kratie</t>
        </is>
      </c>
      <c r="B13" t="n">
        <v>12</v>
      </c>
      <c r="C13" t="n">
        <v>74</v>
      </c>
      <c r="D13" t="n">
        <v>34</v>
      </c>
      <c r="E13" t="n">
        <v>11</v>
      </c>
      <c r="F13" t="n">
        <v>71</v>
      </c>
      <c r="G13" t="n">
        <v>1</v>
      </c>
      <c r="H13" t="n">
        <v>3</v>
      </c>
    </row>
    <row r="14">
      <c r="A14" t="inlineStr">
        <is>
          <t>Mondul Kiri</t>
        </is>
      </c>
      <c r="B14" t="n">
        <v>7</v>
      </c>
      <c r="C14" t="n">
        <v>35</v>
      </c>
      <c r="D14" t="n">
        <v>20</v>
      </c>
      <c r="E14" t="n">
        <v>7</v>
      </c>
      <c r="F14" t="n">
        <v>35</v>
      </c>
      <c r="G14" t="n">
        <v>0</v>
      </c>
      <c r="H14" t="n">
        <v>0</v>
      </c>
    </row>
    <row r="15">
      <c r="A15" t="inlineStr">
        <is>
          <t>Otdar Meanchey</t>
        </is>
      </c>
      <c r="B15" t="n">
        <v>8</v>
      </c>
      <c r="C15" t="n">
        <v>51</v>
      </c>
      <c r="D15" t="n">
        <v>30</v>
      </c>
      <c r="E15" t="n">
        <v>8</v>
      </c>
      <c r="F15" t="n">
        <v>51</v>
      </c>
      <c r="G15" t="n">
        <v>0</v>
      </c>
      <c r="H15" t="n">
        <v>0</v>
      </c>
    </row>
    <row r="16">
      <c r="A16" t="inlineStr">
        <is>
          <t>Pailin</t>
        </is>
      </c>
      <c r="B16" t="n">
        <v>26</v>
      </c>
      <c r="C16" t="n">
        <v>182</v>
      </c>
      <c r="D16" t="n">
        <v>94</v>
      </c>
      <c r="E16" t="n">
        <v>23</v>
      </c>
      <c r="F16" t="n">
        <v>177</v>
      </c>
      <c r="G16" t="n">
        <v>3</v>
      </c>
      <c r="H16" t="n">
        <v>5</v>
      </c>
    </row>
    <row r="17">
      <c r="A17" t="inlineStr">
        <is>
          <t>Phnom Penh</t>
        </is>
      </c>
      <c r="B17" t="n">
        <v>676</v>
      </c>
      <c r="C17" t="n">
        <v>12292</v>
      </c>
      <c r="D17" t="n">
        <v>5166</v>
      </c>
      <c r="E17" t="n">
        <v>667</v>
      </c>
      <c r="F17" t="n">
        <v>12259</v>
      </c>
      <c r="G17" t="n">
        <v>9</v>
      </c>
      <c r="H17" t="n">
        <v>33</v>
      </c>
    </row>
    <row r="18">
      <c r="A18" t="inlineStr">
        <is>
          <t>Preah Sihanouk</t>
        </is>
      </c>
      <c r="B18" t="n">
        <v>51</v>
      </c>
      <c r="C18" t="n">
        <v>687</v>
      </c>
      <c r="D18" t="n">
        <v>307</v>
      </c>
      <c r="E18" t="n">
        <v>46</v>
      </c>
      <c r="F18" t="n">
        <v>677</v>
      </c>
      <c r="G18" t="n">
        <v>5</v>
      </c>
      <c r="H18" t="n">
        <v>10</v>
      </c>
    </row>
    <row r="19">
      <c r="A19" t="inlineStr">
        <is>
          <t>Preah Vihear</t>
        </is>
      </c>
      <c r="B19" t="n">
        <v>8</v>
      </c>
      <c r="C19" t="n">
        <v>40</v>
      </c>
      <c r="D19" t="n">
        <v>36</v>
      </c>
      <c r="E19" t="n">
        <v>6</v>
      </c>
      <c r="F19" t="n">
        <v>31</v>
      </c>
      <c r="G19" t="n">
        <v>2</v>
      </c>
      <c r="H19" t="n">
        <v>9</v>
      </c>
    </row>
    <row r="20">
      <c r="A20" t="inlineStr">
        <is>
          <t>Prey Veng</t>
        </is>
      </c>
      <c r="B20" t="n">
        <v>15</v>
      </c>
      <c r="C20" t="n">
        <v>71</v>
      </c>
      <c r="D20" t="n">
        <v>26</v>
      </c>
      <c r="E20" t="n">
        <v>14</v>
      </c>
      <c r="F20" t="n">
        <v>70</v>
      </c>
      <c r="G20" t="n">
        <v>1</v>
      </c>
      <c r="H20" t="n">
        <v>1</v>
      </c>
    </row>
    <row r="21">
      <c r="A21" t="inlineStr">
        <is>
          <t>Pursat</t>
        </is>
      </c>
      <c r="B21" t="n">
        <v>16</v>
      </c>
      <c r="C21" t="n">
        <v>108</v>
      </c>
      <c r="D21" t="n">
        <v>44</v>
      </c>
      <c r="E21" t="n">
        <v>15</v>
      </c>
      <c r="F21" t="n">
        <v>100</v>
      </c>
      <c r="G21" t="n">
        <v>1</v>
      </c>
      <c r="H21" t="n">
        <v>8</v>
      </c>
    </row>
    <row r="22">
      <c r="A22" t="inlineStr">
        <is>
          <t>Ratanak Kiri</t>
        </is>
      </c>
      <c r="B22" t="n">
        <v>31</v>
      </c>
      <c r="C22" t="n">
        <v>284</v>
      </c>
      <c r="D22" t="n">
        <v>103</v>
      </c>
      <c r="E22" t="n">
        <v>31</v>
      </c>
      <c r="F22" t="n">
        <v>284</v>
      </c>
      <c r="G22" t="n">
        <v>0</v>
      </c>
      <c r="H22" t="n">
        <v>0</v>
      </c>
    </row>
    <row r="23">
      <c r="A23" t="inlineStr">
        <is>
          <t>Siemreap</t>
        </is>
      </c>
      <c r="B23" t="n">
        <v>102</v>
      </c>
      <c r="C23" t="n">
        <v>959</v>
      </c>
      <c r="D23" t="n">
        <v>483</v>
      </c>
      <c r="E23" t="n">
        <v>93</v>
      </c>
      <c r="F23" t="n">
        <v>912</v>
      </c>
      <c r="G23" t="n">
        <v>9</v>
      </c>
      <c r="H23" t="n">
        <v>47</v>
      </c>
    </row>
    <row r="24">
      <c r="A24" t="inlineStr">
        <is>
          <t>Stung Treng</t>
        </is>
      </c>
      <c r="B24" t="n">
        <v>7</v>
      </c>
      <c r="C24" t="n">
        <v>47</v>
      </c>
      <c r="D24" t="n">
        <v>40</v>
      </c>
      <c r="E24" t="n">
        <v>7</v>
      </c>
      <c r="F24" t="n">
        <v>45</v>
      </c>
      <c r="G24" t="n">
        <v>0</v>
      </c>
      <c r="H24" t="n">
        <v>2</v>
      </c>
    </row>
    <row r="25">
      <c r="A25" t="inlineStr">
        <is>
          <t>Svay Rieng</t>
        </is>
      </c>
      <c r="B25" t="n">
        <v>8</v>
      </c>
      <c r="C25" t="n">
        <v>84</v>
      </c>
      <c r="D25" t="n">
        <v>41</v>
      </c>
      <c r="E25" t="n">
        <v>8</v>
      </c>
      <c r="F25" t="n">
        <v>84</v>
      </c>
      <c r="G25" t="n">
        <v>0</v>
      </c>
      <c r="H25" t="n">
        <v>0</v>
      </c>
    </row>
    <row r="26">
      <c r="A26" t="inlineStr">
        <is>
          <t>Takeo</t>
        </is>
      </c>
      <c r="B26" t="n">
        <v>60</v>
      </c>
      <c r="C26" t="n">
        <v>358</v>
      </c>
      <c r="D26" t="n">
        <v>169</v>
      </c>
      <c r="E26" t="n">
        <v>46</v>
      </c>
      <c r="F26" t="n">
        <v>316</v>
      </c>
      <c r="G26" t="n">
        <v>14</v>
      </c>
      <c r="H26" t="n">
        <v>42</v>
      </c>
    </row>
    <row r="27">
      <c r="A27" t="inlineStr">
        <is>
          <t>Tbaung Khmum</t>
        </is>
      </c>
      <c r="B27" t="n">
        <v>46</v>
      </c>
      <c r="C27" t="n">
        <v>453</v>
      </c>
      <c r="D27" t="n">
        <v>187</v>
      </c>
      <c r="E27" t="n">
        <v>44</v>
      </c>
      <c r="F27" t="n">
        <v>445</v>
      </c>
      <c r="G27" t="n">
        <v>2</v>
      </c>
      <c r="H27" t="n">
        <v>8</v>
      </c>
    </row>
    <row r="28">
      <c r="A28" t="inlineStr">
        <is>
          <t>Whole Kingdom</t>
        </is>
      </c>
      <c r="B28" t="n">
        <v>1710</v>
      </c>
      <c r="C28" t="n">
        <v>21860</v>
      </c>
      <c r="D28" t="n">
        <v>9723</v>
      </c>
      <c r="E28" t="n">
        <v>1622</v>
      </c>
      <c r="F28" t="n">
        <v>21519</v>
      </c>
      <c r="G28" t="n">
        <v>88</v>
      </c>
      <c r="H28" t="n">
        <v>341</v>
      </c>
    </row>
    <row r="29">
      <c r="A29" t="inlineStr">
        <is>
          <t>- Urban Area</t>
        </is>
      </c>
      <c r="B29" t="n">
        <v>1274</v>
      </c>
      <c r="C29" t="n">
        <v>18970</v>
      </c>
      <c r="D29" t="n">
        <v>8201</v>
      </c>
      <c r="E29" t="n">
        <v>1231</v>
      </c>
      <c r="F29" t="n">
        <v>18784</v>
      </c>
      <c r="G29" t="n">
        <v>43</v>
      </c>
      <c r="H29" t="n">
        <v>186</v>
      </c>
    </row>
    <row r="30">
      <c r="A30" t="inlineStr">
        <is>
          <t>- Rural Area</t>
        </is>
      </c>
      <c r="B30" t="n">
        <v>436</v>
      </c>
      <c r="C30" t="n">
        <v>2890</v>
      </c>
      <c r="D30" t="n">
        <v>1522</v>
      </c>
      <c r="E30" t="n">
        <v>391</v>
      </c>
      <c r="F30" t="n">
        <v>2735</v>
      </c>
      <c r="G30" t="n">
        <v>45</v>
      </c>
      <c r="H30" t="n">
        <v>155</v>
      </c>
    </row>
  </sheetData>
  <mergeCells count="4">
    <mergeCell ref="B1:D1"/>
    <mergeCell ref="G1:H1"/>
    <mergeCell ref="E1:F1"/>
    <mergeCell ref="A1:A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A9D18E"/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9.5" customWidth="1" min="1" max="1"/>
    <col width="12.83203125" customWidth="1" min="2" max="2"/>
    <col width="13.1640625" customWidth="1" min="3" max="3"/>
    <col width="12.83203125" customWidth="1" min="5" max="5"/>
    <col width="13.1640625" customWidth="1" min="6" max="6"/>
    <col width="12.83203125" customWidth="1" min="8" max="8"/>
    <col width="13.1640625" customWidth="1" min="9" max="9"/>
    <col width="12.83203125" customWidth="1" min="11" max="11"/>
    <col width="13.1640625" customWidth="1" min="12" max="12"/>
  </cols>
  <sheetData>
    <row r="1">
      <c r="A1" t="inlineStr">
        <is>
          <t>Province</t>
        </is>
      </c>
      <c r="B1" t="inlineStr">
        <is>
          <t>School Area (m2)</t>
        </is>
      </c>
      <c r="D1" t="inlineStr">
        <is>
          <t>Cl.room Area
per Student</t>
        </is>
      </c>
      <c r="E1" t="inlineStr">
        <is>
          <t>Pre-School with
Sport Facility</t>
        </is>
      </c>
      <c r="F1" t="inlineStr">
        <is>
          <t>Schools with Sport Ground, Equipment and Teams / Player for</t>
        </is>
      </c>
    </row>
    <row r="2">
      <c r="B2" t="inlineStr">
        <is>
          <t>Land</t>
        </is>
      </c>
      <c r="C2" t="inlineStr">
        <is>
          <t>Playground</t>
        </is>
      </c>
      <c r="F2" t="inlineStr">
        <is>
          <t>Volleyball</t>
        </is>
      </c>
      <c r="G2" t="inlineStr">
        <is>
          <t>Football</t>
        </is>
      </c>
      <c r="H2" t="inlineStr">
        <is>
          <t>Basketball</t>
        </is>
      </c>
      <c r="I2" t="inlineStr">
        <is>
          <t>Shotput</t>
        </is>
      </c>
      <c r="J2" t="inlineStr">
        <is>
          <t>High Jump</t>
        </is>
      </c>
      <c r="K2" t="inlineStr">
        <is>
          <t>Long Jump</t>
        </is>
      </c>
      <c r="L2" t="inlineStr">
        <is>
          <t>Long Run</t>
        </is>
      </c>
    </row>
    <row r="3">
      <c r="A3" t="inlineStr">
        <is>
          <t>Banteay Meanchey</t>
        </is>
      </c>
      <c r="B3" t="n">
        <v>12700</v>
      </c>
      <c r="C3" t="n">
        <v>1774</v>
      </c>
      <c r="D3" t="n">
        <v>0.8</v>
      </c>
      <c r="E3" t="n">
        <v>7</v>
      </c>
      <c r="F3" t="n">
        <v>21</v>
      </c>
      <c r="G3" t="n">
        <v>39</v>
      </c>
      <c r="H3" t="n">
        <v>19</v>
      </c>
      <c r="I3" t="n">
        <v>7</v>
      </c>
      <c r="J3" t="n">
        <v>30</v>
      </c>
      <c r="K3" t="n">
        <v>8</v>
      </c>
      <c r="L3" t="n">
        <v>20</v>
      </c>
    </row>
    <row r="4">
      <c r="A4" t="inlineStr">
        <is>
          <t>Battambang</t>
        </is>
      </c>
      <c r="B4" t="n">
        <v>4580</v>
      </c>
      <c r="C4" t="n">
        <v>2212</v>
      </c>
      <c r="D4" t="n">
        <v>0.6</v>
      </c>
      <c r="E4" t="n">
        <v>9</v>
      </c>
      <c r="F4" t="n">
        <v>19</v>
      </c>
      <c r="G4" t="n">
        <v>23</v>
      </c>
      <c r="H4" t="n">
        <v>19</v>
      </c>
      <c r="I4" t="n">
        <v>7</v>
      </c>
      <c r="J4" t="n">
        <v>9</v>
      </c>
      <c r="K4" t="n">
        <v>3</v>
      </c>
      <c r="L4" t="n">
        <v>0</v>
      </c>
    </row>
    <row r="5">
      <c r="A5" t="inlineStr">
        <is>
          <t>Kampong Cham</t>
        </is>
      </c>
      <c r="B5" t="n">
        <v>29150</v>
      </c>
      <c r="C5" t="n">
        <v>3092</v>
      </c>
      <c r="D5" t="n">
        <v>0.5</v>
      </c>
      <c r="E5" t="n">
        <v>4</v>
      </c>
      <c r="F5" t="n">
        <v>2</v>
      </c>
      <c r="G5" t="n">
        <v>4</v>
      </c>
      <c r="H5" t="n">
        <v>0</v>
      </c>
      <c r="I5" t="n">
        <v>0</v>
      </c>
      <c r="J5" t="n">
        <v>2</v>
      </c>
      <c r="K5" t="n">
        <v>0</v>
      </c>
      <c r="L5" t="n">
        <v>2</v>
      </c>
    </row>
    <row r="6">
      <c r="A6" t="inlineStr">
        <is>
          <t>Kampong Chhnang</t>
        </is>
      </c>
      <c r="B6" t="n">
        <v>11108</v>
      </c>
      <c r="C6" t="n">
        <v>2761</v>
      </c>
      <c r="D6" t="n">
        <v>0.5</v>
      </c>
      <c r="E6" t="n">
        <v>9</v>
      </c>
      <c r="F6" t="n">
        <v>7</v>
      </c>
      <c r="G6" t="n">
        <v>5</v>
      </c>
      <c r="H6" t="n">
        <v>3</v>
      </c>
      <c r="I6" t="n">
        <v>0</v>
      </c>
      <c r="J6" t="n">
        <v>2</v>
      </c>
      <c r="K6" t="n">
        <v>0</v>
      </c>
      <c r="L6" t="n">
        <v>2</v>
      </c>
    </row>
    <row r="7">
      <c r="A7" t="inlineStr">
        <is>
          <t>Kampong Speu</t>
        </is>
      </c>
      <c r="B7" t="n">
        <v>44740</v>
      </c>
      <c r="C7" t="n">
        <v>2311</v>
      </c>
      <c r="D7" t="n">
        <v>0.6</v>
      </c>
      <c r="E7" t="n">
        <v>5</v>
      </c>
      <c r="F7" t="n">
        <v>16</v>
      </c>
      <c r="G7" t="n">
        <v>28</v>
      </c>
      <c r="H7" t="n">
        <v>10</v>
      </c>
      <c r="I7" t="n">
        <v>5</v>
      </c>
      <c r="J7" t="n">
        <v>11</v>
      </c>
      <c r="K7" t="n">
        <v>2</v>
      </c>
      <c r="L7" t="n">
        <v>4</v>
      </c>
    </row>
    <row r="8">
      <c r="A8" t="inlineStr">
        <is>
          <t>Kampong Thom</t>
        </is>
      </c>
      <c r="B8" t="n">
        <v>38104</v>
      </c>
      <c r="C8" t="n">
        <v>10587</v>
      </c>
      <c r="D8" t="n">
        <v>0.4</v>
      </c>
      <c r="E8" t="n">
        <v>8</v>
      </c>
      <c r="F8" t="n">
        <v>7</v>
      </c>
      <c r="G8" t="n">
        <v>6</v>
      </c>
      <c r="H8" t="n">
        <v>2</v>
      </c>
      <c r="I8" t="n">
        <v>0</v>
      </c>
      <c r="J8" t="n">
        <v>5</v>
      </c>
      <c r="K8" t="n">
        <v>0</v>
      </c>
      <c r="L8" t="n">
        <v>1</v>
      </c>
    </row>
    <row r="9">
      <c r="A9" t="inlineStr">
        <is>
          <t>Kampot</t>
        </is>
      </c>
      <c r="B9" t="n">
        <v>4277</v>
      </c>
      <c r="C9" t="n">
        <v>3090</v>
      </c>
      <c r="D9" t="n">
        <v>0.6</v>
      </c>
      <c r="E9" t="n">
        <v>6</v>
      </c>
      <c r="F9" t="n">
        <v>7</v>
      </c>
      <c r="G9" t="n">
        <v>12</v>
      </c>
      <c r="H9" t="n">
        <v>7</v>
      </c>
      <c r="I9" t="n">
        <v>4</v>
      </c>
      <c r="J9" t="n">
        <v>5</v>
      </c>
      <c r="K9" t="n">
        <v>4</v>
      </c>
      <c r="L9" t="n">
        <v>5</v>
      </c>
    </row>
    <row r="10">
      <c r="A10" t="inlineStr">
        <is>
          <t>Kandal</t>
        </is>
      </c>
      <c r="B10" t="n">
        <v>3425</v>
      </c>
      <c r="C10" t="n">
        <v>1131</v>
      </c>
      <c r="D10" t="n">
        <v>0.2</v>
      </c>
      <c r="E10" t="n">
        <v>9</v>
      </c>
      <c r="F10" t="n">
        <v>10</v>
      </c>
      <c r="G10" t="n">
        <v>17</v>
      </c>
      <c r="H10" t="n">
        <v>8</v>
      </c>
      <c r="I10" t="n">
        <v>0</v>
      </c>
      <c r="J10" t="n">
        <v>5</v>
      </c>
      <c r="K10" t="n">
        <v>1</v>
      </c>
      <c r="L10" t="n">
        <v>2</v>
      </c>
    </row>
    <row r="11">
      <c r="A11" t="inlineStr">
        <is>
          <t>Kep</t>
        </is>
      </c>
      <c r="B11" t="n">
        <v>2000</v>
      </c>
      <c r="C11" t="n">
        <v>1892</v>
      </c>
      <c r="D11" t="n">
        <v>0.9</v>
      </c>
      <c r="E11" t="n">
        <v>0</v>
      </c>
      <c r="F11" t="n">
        <v>2</v>
      </c>
      <c r="G11" t="n">
        <v>0</v>
      </c>
      <c r="H11" t="n">
        <v>0</v>
      </c>
      <c r="I11" t="n">
        <v>2</v>
      </c>
      <c r="J11" t="n">
        <v>2</v>
      </c>
      <c r="K11" t="n">
        <v>0</v>
      </c>
      <c r="L11" t="n">
        <v>0</v>
      </c>
    </row>
    <row r="12">
      <c r="A12" t="inlineStr">
        <is>
          <t>Koh Kong</t>
        </is>
      </c>
      <c r="B12" t="n">
        <v>2577</v>
      </c>
      <c r="C12" t="n">
        <v>974</v>
      </c>
      <c r="D12" t="n">
        <v>0.6</v>
      </c>
      <c r="E12" t="n">
        <v>0</v>
      </c>
      <c r="F12" t="n">
        <v>1</v>
      </c>
      <c r="G12" t="n">
        <v>3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Kratie</t>
        </is>
      </c>
      <c r="B13" t="n">
        <v>10133</v>
      </c>
      <c r="C13" t="n">
        <v>455</v>
      </c>
      <c r="D13" t="n">
        <v>0.5</v>
      </c>
      <c r="E13" t="n">
        <v>2</v>
      </c>
      <c r="F13" t="n">
        <v>1</v>
      </c>
      <c r="G13" t="n">
        <v>3</v>
      </c>
      <c r="H13" t="n">
        <v>3</v>
      </c>
      <c r="I13" t="n">
        <v>0</v>
      </c>
      <c r="J13" t="n">
        <v>1</v>
      </c>
      <c r="K13" t="n">
        <v>0</v>
      </c>
      <c r="L13" t="n">
        <v>1</v>
      </c>
    </row>
    <row r="14">
      <c r="A14" t="inlineStr">
        <is>
          <t>Mondul Kiri</t>
        </is>
      </c>
      <c r="B14" t="n">
        <v>2504</v>
      </c>
      <c r="C14" t="n">
        <v>1332</v>
      </c>
      <c r="D14" t="n">
        <v>0.4</v>
      </c>
      <c r="E14" t="n">
        <v>3</v>
      </c>
      <c r="F14" t="n">
        <v>3</v>
      </c>
      <c r="G14" t="n">
        <v>3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Otdar Meanchey</t>
        </is>
      </c>
      <c r="B15" t="n">
        <v>3247</v>
      </c>
      <c r="C15" t="n">
        <v>2679</v>
      </c>
      <c r="D15" t="n">
        <v>0.6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Pailin</t>
        </is>
      </c>
      <c r="B16" t="n">
        <v>1506</v>
      </c>
      <c r="C16" t="n">
        <v>736</v>
      </c>
      <c r="D16" t="n">
        <v>0.7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Phnom Penh</t>
        </is>
      </c>
      <c r="B17" t="n">
        <v>4674</v>
      </c>
      <c r="C17" t="n">
        <v>2042</v>
      </c>
      <c r="D17" t="n">
        <v>0.6</v>
      </c>
      <c r="E17" t="n">
        <v>127</v>
      </c>
      <c r="F17" t="n">
        <v>107</v>
      </c>
      <c r="G17" t="n">
        <v>272</v>
      </c>
      <c r="H17" t="n">
        <v>188</v>
      </c>
      <c r="I17" t="n">
        <v>36</v>
      </c>
      <c r="J17" t="n">
        <v>78</v>
      </c>
      <c r="K17" t="n">
        <v>30</v>
      </c>
      <c r="L17" t="n">
        <v>52</v>
      </c>
    </row>
    <row r="18">
      <c r="A18" t="inlineStr">
        <is>
          <t>Preah Sihanouk</t>
        </is>
      </c>
      <c r="B18" t="n">
        <v>9225</v>
      </c>
      <c r="C18" t="n">
        <v>3077</v>
      </c>
      <c r="D18" t="n">
        <v>0.6</v>
      </c>
      <c r="E18" t="n">
        <v>7</v>
      </c>
      <c r="F18" t="n">
        <v>10</v>
      </c>
      <c r="G18" t="n">
        <v>15</v>
      </c>
      <c r="H18" t="n">
        <v>7</v>
      </c>
      <c r="I18" t="n">
        <v>4</v>
      </c>
      <c r="J18" t="n">
        <v>5</v>
      </c>
      <c r="K18" t="n">
        <v>0</v>
      </c>
      <c r="L18" t="n">
        <v>5</v>
      </c>
    </row>
    <row r="19">
      <c r="A19" t="inlineStr">
        <is>
          <t>Preah Vihear</t>
        </is>
      </c>
      <c r="B19" t="n">
        <v>2170</v>
      </c>
      <c r="C19" t="n">
        <v>574</v>
      </c>
      <c r="D19" t="n">
        <v>0.2</v>
      </c>
      <c r="E19" t="n">
        <v>3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Prey Veng</t>
        </is>
      </c>
      <c r="B20" t="n">
        <v>5062</v>
      </c>
      <c r="C20" t="n">
        <v>1093</v>
      </c>
      <c r="D20" t="n">
        <v>0.5</v>
      </c>
      <c r="E20" t="n">
        <v>4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</row>
    <row r="21">
      <c r="A21" t="inlineStr">
        <is>
          <t>Pursat</t>
        </is>
      </c>
      <c r="B21" t="n">
        <v>1257</v>
      </c>
      <c r="C21" t="n">
        <v>417</v>
      </c>
      <c r="D21" t="n">
        <v>0.6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Ratanak Kiri</t>
        </is>
      </c>
      <c r="B22" t="n">
        <v>7264</v>
      </c>
      <c r="C22" t="n">
        <v>543</v>
      </c>
      <c r="D22" t="n">
        <v>0.6</v>
      </c>
      <c r="E22" t="n">
        <v>1</v>
      </c>
      <c r="F22" t="n">
        <v>5</v>
      </c>
      <c r="G22" t="n">
        <v>7</v>
      </c>
      <c r="H22" t="n">
        <v>0</v>
      </c>
      <c r="I22" t="n">
        <v>1</v>
      </c>
      <c r="J22" t="n">
        <v>1</v>
      </c>
      <c r="K22" t="n">
        <v>0</v>
      </c>
      <c r="L22" t="n">
        <v>4</v>
      </c>
    </row>
    <row r="23">
      <c r="A23" t="inlineStr">
        <is>
          <t>Siemreap</t>
        </is>
      </c>
      <c r="B23" t="n">
        <v>7942</v>
      </c>
      <c r="C23" t="n">
        <v>1052</v>
      </c>
      <c r="D23" t="n">
        <v>0.5</v>
      </c>
      <c r="E23" t="n">
        <v>21</v>
      </c>
      <c r="F23" t="n">
        <v>15</v>
      </c>
      <c r="G23" t="n">
        <v>20</v>
      </c>
      <c r="H23" t="n">
        <v>18</v>
      </c>
      <c r="I23" t="n">
        <v>2</v>
      </c>
      <c r="J23" t="n">
        <v>7</v>
      </c>
      <c r="K23" t="n">
        <v>1</v>
      </c>
      <c r="L23" t="n">
        <v>5</v>
      </c>
    </row>
    <row r="24">
      <c r="A24" t="inlineStr">
        <is>
          <t>Stung Treng</t>
        </is>
      </c>
      <c r="B24" t="n">
        <v>1877</v>
      </c>
      <c r="C24" t="n">
        <v>583</v>
      </c>
      <c r="D24" t="n">
        <v>0.5</v>
      </c>
      <c r="E24" t="n">
        <v>0</v>
      </c>
      <c r="F24" t="n">
        <v>0</v>
      </c>
      <c r="G24" t="n">
        <v>7</v>
      </c>
      <c r="H24" t="n">
        <v>2</v>
      </c>
      <c r="I24" t="n">
        <v>0</v>
      </c>
      <c r="J24" t="n">
        <v>2</v>
      </c>
      <c r="K24" t="n">
        <v>0</v>
      </c>
      <c r="L24" t="n">
        <v>0</v>
      </c>
    </row>
    <row r="25">
      <c r="A25" t="inlineStr">
        <is>
          <t>Svay Rieng</t>
        </is>
      </c>
      <c r="B25" t="n">
        <v>3729</v>
      </c>
      <c r="C25" t="n">
        <v>662</v>
      </c>
      <c r="D25" t="n">
        <v>0.4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Takeo</t>
        </is>
      </c>
      <c r="B26" t="n">
        <v>6802</v>
      </c>
      <c r="C26" t="n">
        <v>4550</v>
      </c>
      <c r="D26" t="n">
        <v>0.5</v>
      </c>
      <c r="E26" t="n">
        <v>8</v>
      </c>
      <c r="F26" t="n">
        <v>10</v>
      </c>
      <c r="G26" t="n">
        <v>12</v>
      </c>
      <c r="H26" t="n">
        <v>8</v>
      </c>
      <c r="I26" t="n">
        <v>7</v>
      </c>
      <c r="J26" t="n">
        <v>5</v>
      </c>
      <c r="K26" t="n">
        <v>0</v>
      </c>
      <c r="L26" t="n">
        <v>0</v>
      </c>
    </row>
    <row r="27">
      <c r="A27" t="inlineStr">
        <is>
          <t>Tbaung Khmum</t>
        </is>
      </c>
      <c r="B27" t="n">
        <v>3758</v>
      </c>
      <c r="C27" t="n">
        <v>13016</v>
      </c>
      <c r="D27" t="n">
        <v>0.1</v>
      </c>
      <c r="E27" t="n">
        <v>6</v>
      </c>
      <c r="F27" t="n">
        <v>7</v>
      </c>
      <c r="G27" t="n">
        <v>11</v>
      </c>
      <c r="H27" t="n">
        <v>5</v>
      </c>
      <c r="I27" t="n">
        <v>0</v>
      </c>
      <c r="J27" t="n">
        <v>4</v>
      </c>
      <c r="K27" t="n">
        <v>0</v>
      </c>
      <c r="L27" t="n">
        <v>0</v>
      </c>
    </row>
    <row r="28">
      <c r="A28" t="inlineStr">
        <is>
          <t>Whole Kingdom</t>
        </is>
      </c>
      <c r="B28" t="n">
        <v>9012</v>
      </c>
      <c r="C28" t="n">
        <v>2537</v>
      </c>
      <c r="D28" t="n">
        <v>0.5</v>
      </c>
      <c r="E28" t="n">
        <v>252</v>
      </c>
      <c r="F28" t="n">
        <v>251</v>
      </c>
      <c r="G28" t="n">
        <v>489</v>
      </c>
      <c r="H28" t="n">
        <v>304</v>
      </c>
      <c r="I28" t="n">
        <v>76</v>
      </c>
      <c r="J28" t="n">
        <v>175</v>
      </c>
      <c r="K28" t="n">
        <v>49</v>
      </c>
      <c r="L28" t="n">
        <v>104</v>
      </c>
    </row>
    <row r="29">
      <c r="A29" t="inlineStr">
        <is>
          <t>- Urban Area</t>
        </is>
      </c>
      <c r="B29" t="n">
        <v>5164</v>
      </c>
      <c r="C29" t="n">
        <v>1799</v>
      </c>
      <c r="D29" t="n">
        <v>0.6</v>
      </c>
      <c r="E29" t="n">
        <v>208</v>
      </c>
      <c r="F29" t="n">
        <v>195</v>
      </c>
      <c r="G29" t="n">
        <v>412</v>
      </c>
      <c r="H29" t="n">
        <v>267</v>
      </c>
      <c r="I29" t="n">
        <v>67</v>
      </c>
      <c r="J29" t="n">
        <v>144</v>
      </c>
      <c r="K29" t="n">
        <v>45</v>
      </c>
      <c r="L29" t="n">
        <v>87</v>
      </c>
    </row>
    <row r="30">
      <c r="A30" t="inlineStr">
        <is>
          <t>- Rural Area</t>
        </is>
      </c>
      <c r="B30" t="n">
        <v>22203</v>
      </c>
      <c r="C30" t="n">
        <v>5074</v>
      </c>
      <c r="D30" t="n">
        <v>0.3</v>
      </c>
      <c r="E30" t="n">
        <v>44</v>
      </c>
      <c r="F30" t="n">
        <v>56</v>
      </c>
      <c r="G30" t="n">
        <v>77</v>
      </c>
      <c r="H30" t="n">
        <v>37</v>
      </c>
      <c r="I30" t="n">
        <v>9</v>
      </c>
      <c r="J30" t="n">
        <v>31</v>
      </c>
      <c r="K30" t="n">
        <v>4</v>
      </c>
      <c r="L30" t="n">
        <v>17</v>
      </c>
    </row>
  </sheetData>
  <mergeCells count="5">
    <mergeCell ref="F1:L1"/>
    <mergeCell ref="D1:D2"/>
    <mergeCell ref="E1:E2"/>
    <mergeCell ref="B1:C1"/>
    <mergeCell ref="A1:A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F0000"/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5.1640625" customWidth="1" min="1" max="1"/>
    <col width="17.33203125" customWidth="1" min="2" max="2"/>
    <col width="17.1640625" customWidth="1" min="3" max="3"/>
    <col width="17.33203125" customWidth="1" min="4" max="4"/>
    <col width="17.1640625" customWidth="1" min="5" max="5"/>
    <col width="17.33203125" customWidth="1" min="6" max="6"/>
    <col width="17.1640625" customWidth="1" min="7" max="7"/>
    <col width="17.33203125" customWidth="1" min="8" max="8"/>
    <col width="17.1640625" customWidth="1" min="9" max="9"/>
  </cols>
  <sheetData>
    <row r="1">
      <c r="A1" t="inlineStr">
        <is>
          <t>Province</t>
        </is>
      </c>
      <c r="B1" t="inlineStr">
        <is>
          <t>School Fees Per Student in a Year (Currency US Dollar)</t>
        </is>
      </c>
    </row>
    <row r="2">
      <c r="B2" t="inlineStr">
        <is>
          <t>Lowest Step</t>
        </is>
      </c>
      <c r="D2" t="inlineStr">
        <is>
          <t>Medium Step</t>
        </is>
      </c>
      <c r="F2" t="inlineStr">
        <is>
          <t>Highest Step</t>
        </is>
      </c>
      <c r="H2" t="inlineStr">
        <is>
          <t>Mixed Step</t>
        </is>
      </c>
    </row>
    <row r="3">
      <c r="B3" t="inlineStr">
        <is>
          <t>Minimum</t>
        </is>
      </c>
      <c r="C3" t="inlineStr">
        <is>
          <t>Maximum</t>
        </is>
      </c>
      <c r="D3" t="inlineStr">
        <is>
          <t>Minimum</t>
        </is>
      </c>
      <c r="E3" t="inlineStr">
        <is>
          <t>Maximum</t>
        </is>
      </c>
      <c r="F3" t="inlineStr">
        <is>
          <t>Minimum</t>
        </is>
      </c>
      <c r="G3" t="inlineStr">
        <is>
          <t>Maximum</t>
        </is>
      </c>
      <c r="H3" t="inlineStr">
        <is>
          <t>Minimum</t>
        </is>
      </c>
      <c r="I3" t="inlineStr">
        <is>
          <t>Maximum</t>
        </is>
      </c>
    </row>
    <row r="4">
      <c r="A4" t="inlineStr">
        <is>
          <t>Banteay Meanchey</t>
        </is>
      </c>
      <c r="B4" t="n">
        <v>60</v>
      </c>
      <c r="C4" t="n">
        <v>1280</v>
      </c>
      <c r="D4" t="n">
        <v>20</v>
      </c>
      <c r="E4" t="n">
        <v>2220</v>
      </c>
      <c r="F4" t="n">
        <v>20</v>
      </c>
      <c r="G4" t="n">
        <v>1080</v>
      </c>
      <c r="H4" t="n">
        <v>5</v>
      </c>
      <c r="I4" t="n">
        <v>2455</v>
      </c>
    </row>
    <row r="5">
      <c r="A5" t="inlineStr">
        <is>
          <t>Battambang</t>
        </is>
      </c>
      <c r="B5" t="n">
        <v>42</v>
      </c>
      <c r="C5" t="n">
        <v>1730</v>
      </c>
      <c r="D5" t="n">
        <v>80</v>
      </c>
      <c r="E5" t="n">
        <v>1230</v>
      </c>
      <c r="F5" t="n">
        <v>72</v>
      </c>
      <c r="G5" t="n">
        <v>1230</v>
      </c>
      <c r="H5" t="n">
        <v>15</v>
      </c>
      <c r="I5" t="n">
        <v>1320</v>
      </c>
    </row>
    <row r="6">
      <c r="A6" t="inlineStr">
        <is>
          <t>Kampong Cham</t>
        </is>
      </c>
      <c r="B6" t="n">
        <v>25</v>
      </c>
      <c r="C6" t="n">
        <v>625</v>
      </c>
      <c r="D6" t="n">
        <v>200</v>
      </c>
      <c r="E6" t="n">
        <v>615</v>
      </c>
      <c r="F6" t="n">
        <v>180</v>
      </c>
      <c r="G6" t="n">
        <v>759</v>
      </c>
      <c r="H6" t="n">
        <v>150</v>
      </c>
      <c r="I6" t="n">
        <v>500</v>
      </c>
    </row>
    <row r="7">
      <c r="A7" t="inlineStr">
        <is>
          <t>Kampong Chhnang</t>
        </is>
      </c>
      <c r="B7" t="n">
        <v>40</v>
      </c>
      <c r="C7" t="n">
        <v>220</v>
      </c>
      <c r="D7" t="n">
        <v>60</v>
      </c>
      <c r="E7" t="n">
        <v>220</v>
      </c>
      <c r="F7" t="n">
        <v>40</v>
      </c>
      <c r="G7" t="n">
        <v>220</v>
      </c>
      <c r="H7" t="n">
        <v>88</v>
      </c>
      <c r="I7" t="n">
        <v>180</v>
      </c>
    </row>
    <row r="8">
      <c r="A8" t="inlineStr">
        <is>
          <t>Kampong Speu</t>
        </is>
      </c>
      <c r="B8" t="n">
        <v>6</v>
      </c>
      <c r="C8" t="n">
        <v>395</v>
      </c>
      <c r="D8" t="n">
        <v>6</v>
      </c>
      <c r="E8" t="n">
        <v>370</v>
      </c>
      <c r="F8" t="n">
        <v>6</v>
      </c>
      <c r="G8" t="n">
        <v>475</v>
      </c>
      <c r="H8" t="n">
        <v>10</v>
      </c>
      <c r="I8" t="n">
        <v>232</v>
      </c>
    </row>
    <row r="9">
      <c r="A9" t="inlineStr">
        <is>
          <t>Kampong Thom</t>
        </is>
      </c>
      <c r="B9" t="n">
        <v>30</v>
      </c>
      <c r="C9" t="n">
        <v>312</v>
      </c>
      <c r="D9" t="n">
        <v>30</v>
      </c>
      <c r="E9" t="n">
        <v>312</v>
      </c>
      <c r="F9" t="n">
        <v>30</v>
      </c>
      <c r="G9" t="n">
        <v>312</v>
      </c>
      <c r="H9" t="n">
        <v>111</v>
      </c>
      <c r="I9" t="n">
        <v>350</v>
      </c>
    </row>
    <row r="10">
      <c r="A10" t="inlineStr">
        <is>
          <t>Kampot</t>
        </is>
      </c>
      <c r="B10" t="n">
        <v>80</v>
      </c>
      <c r="C10" t="n">
        <v>600</v>
      </c>
      <c r="D10" t="n">
        <v>75</v>
      </c>
      <c r="E10" t="n">
        <v>600</v>
      </c>
      <c r="F10" t="n">
        <v>75</v>
      </c>
      <c r="G10" t="n">
        <v>600</v>
      </c>
      <c r="H10" t="n">
        <v>180</v>
      </c>
      <c r="I10" t="n">
        <v>380</v>
      </c>
    </row>
    <row r="11">
      <c r="A11" t="inlineStr">
        <is>
          <t>Kandal</t>
        </is>
      </c>
      <c r="B11" t="n">
        <v>10</v>
      </c>
      <c r="C11" t="n">
        <v>1690</v>
      </c>
      <c r="D11" t="n">
        <v>12</v>
      </c>
      <c r="E11" t="n">
        <v>1690</v>
      </c>
      <c r="F11" t="n">
        <v>30</v>
      </c>
      <c r="G11" t="n">
        <v>1790</v>
      </c>
      <c r="H11" t="n">
        <v>17</v>
      </c>
      <c r="I11" t="n">
        <v>1300</v>
      </c>
    </row>
    <row r="12">
      <c r="A12" t="inlineStr">
        <is>
          <t>Koh Kong</t>
        </is>
      </c>
      <c r="B12" t="n">
        <v>7</v>
      </c>
      <c r="C12" t="n">
        <v>120</v>
      </c>
      <c r="D12" t="n">
        <v>40</v>
      </c>
      <c r="E12" t="n">
        <v>120</v>
      </c>
      <c r="F12" t="n">
        <v>7</v>
      </c>
      <c r="G12" t="n">
        <v>120</v>
      </c>
      <c r="H12" t="n">
        <v>50</v>
      </c>
      <c r="I12" t="n">
        <v>100</v>
      </c>
    </row>
    <row r="13">
      <c r="A13" t="inlineStr">
        <is>
          <t>Kratie</t>
        </is>
      </c>
      <c r="B13" t="n">
        <v>210</v>
      </c>
      <c r="C13" t="n">
        <v>300</v>
      </c>
      <c r="D13" t="n">
        <v>210</v>
      </c>
      <c r="E13" t="n">
        <v>300</v>
      </c>
      <c r="F13" t="n">
        <v>210</v>
      </c>
      <c r="G13" t="n">
        <v>210</v>
      </c>
      <c r="H13" t="n">
        <v>0</v>
      </c>
      <c r="I13" t="n">
        <v>0</v>
      </c>
    </row>
    <row r="14">
      <c r="A14" t="inlineStr">
        <is>
          <t>Mondul Kiri</t>
        </is>
      </c>
      <c r="B14" t="n">
        <v>40</v>
      </c>
      <c r="C14" t="n">
        <v>286</v>
      </c>
      <c r="D14" t="n">
        <v>40</v>
      </c>
      <c r="E14" t="n">
        <v>286</v>
      </c>
      <c r="F14" t="n">
        <v>40</v>
      </c>
      <c r="G14" t="n">
        <v>370</v>
      </c>
      <c r="H14" t="n">
        <v>300</v>
      </c>
      <c r="I14" t="n">
        <v>300</v>
      </c>
    </row>
    <row r="15">
      <c r="A15" t="inlineStr">
        <is>
          <t>Phnom Penh</t>
        </is>
      </c>
      <c r="B15" t="n">
        <v>9</v>
      </c>
      <c r="C15" t="n">
        <v>6000</v>
      </c>
      <c r="D15" t="n">
        <v>10</v>
      </c>
      <c r="E15" t="n">
        <v>6000</v>
      </c>
      <c r="F15" t="n">
        <v>12</v>
      </c>
      <c r="G15" t="n">
        <v>6000</v>
      </c>
      <c r="H15" t="n">
        <v>9</v>
      </c>
      <c r="I15" t="n">
        <v>7000</v>
      </c>
    </row>
    <row r="16">
      <c r="A16" t="inlineStr">
        <is>
          <t>Preah Vihear</t>
        </is>
      </c>
      <c r="B16" t="n">
        <v>160</v>
      </c>
      <c r="C16" t="n">
        <v>160</v>
      </c>
      <c r="D16" t="n">
        <v>170</v>
      </c>
      <c r="E16" t="n">
        <v>170</v>
      </c>
      <c r="F16" t="n">
        <v>180</v>
      </c>
      <c r="G16" t="n">
        <v>180</v>
      </c>
      <c r="H16" t="n">
        <v>250</v>
      </c>
      <c r="I16" t="n">
        <v>250</v>
      </c>
    </row>
    <row r="17">
      <c r="A17" t="inlineStr">
        <is>
          <t>Prey Veng</t>
        </is>
      </c>
      <c r="B17" t="n">
        <v>25</v>
      </c>
      <c r="C17" t="n">
        <v>125</v>
      </c>
      <c r="D17" t="n">
        <v>62</v>
      </c>
      <c r="E17" t="n">
        <v>144</v>
      </c>
      <c r="F17" t="n">
        <v>51</v>
      </c>
      <c r="G17" t="n">
        <v>144</v>
      </c>
      <c r="H17" t="n">
        <v>0</v>
      </c>
      <c r="I17" t="n">
        <v>0</v>
      </c>
    </row>
    <row r="18">
      <c r="A18" t="inlineStr">
        <is>
          <t>Pursat</t>
        </is>
      </c>
      <c r="B18" t="n">
        <v>15</v>
      </c>
      <c r="C18" t="n">
        <v>87</v>
      </c>
      <c r="D18" t="n">
        <v>16</v>
      </c>
      <c r="E18" t="n">
        <v>87</v>
      </c>
      <c r="F18" t="n">
        <v>17</v>
      </c>
      <c r="G18" t="n">
        <v>100</v>
      </c>
      <c r="H18" t="n">
        <v>8</v>
      </c>
      <c r="I18" t="n">
        <v>480</v>
      </c>
    </row>
    <row r="19">
      <c r="A19" t="inlineStr">
        <is>
          <t>Ratanak Kiri</t>
        </is>
      </c>
      <c r="B19" t="n">
        <v>270</v>
      </c>
      <c r="C19" t="n">
        <v>440</v>
      </c>
      <c r="D19" t="n">
        <v>410</v>
      </c>
      <c r="E19" t="n">
        <v>440</v>
      </c>
      <c r="F19" t="n">
        <v>270</v>
      </c>
      <c r="G19" t="n">
        <v>440</v>
      </c>
      <c r="H19" t="n">
        <v>440</v>
      </c>
      <c r="I19" t="n">
        <v>476</v>
      </c>
    </row>
    <row r="20">
      <c r="A20" t="inlineStr">
        <is>
          <t>Siemreap</t>
        </is>
      </c>
      <c r="B20" t="n">
        <v>8</v>
      </c>
      <c r="C20" t="n">
        <v>1470</v>
      </c>
      <c r="D20" t="n">
        <v>7</v>
      </c>
      <c r="E20" t="n">
        <v>1470</v>
      </c>
      <c r="F20" t="n">
        <v>7</v>
      </c>
      <c r="G20" t="n">
        <v>1470</v>
      </c>
      <c r="H20" t="n">
        <v>5</v>
      </c>
      <c r="I20" t="n">
        <v>4010</v>
      </c>
    </row>
    <row r="21">
      <c r="A21" t="inlineStr">
        <is>
          <t>Preah Sihanouk</t>
        </is>
      </c>
      <c r="B21" t="n">
        <v>23</v>
      </c>
      <c r="C21" t="n">
        <v>1680</v>
      </c>
      <c r="D21" t="n">
        <v>23</v>
      </c>
      <c r="E21" t="n">
        <v>1680</v>
      </c>
      <c r="F21" t="n">
        <v>45</v>
      </c>
      <c r="G21" t="n">
        <v>1900</v>
      </c>
      <c r="H21" t="n">
        <v>6</v>
      </c>
      <c r="I21" t="n">
        <v>1680</v>
      </c>
    </row>
    <row r="22">
      <c r="A22" t="inlineStr">
        <is>
          <t>Stung Treng</t>
        </is>
      </c>
      <c r="B22" t="n">
        <v>180</v>
      </c>
      <c r="C22" t="n">
        <v>440</v>
      </c>
      <c r="D22" t="n">
        <v>180</v>
      </c>
      <c r="E22" t="n">
        <v>440</v>
      </c>
      <c r="F22" t="n">
        <v>120</v>
      </c>
      <c r="G22" t="n">
        <v>440</v>
      </c>
      <c r="H22" t="n">
        <v>35</v>
      </c>
      <c r="I22" t="n">
        <v>135</v>
      </c>
    </row>
    <row r="23">
      <c r="A23" t="inlineStr">
        <is>
          <t>Svay Rieng</t>
        </is>
      </c>
      <c r="B23" t="n">
        <v>15</v>
      </c>
      <c r="C23" t="n">
        <v>15</v>
      </c>
      <c r="D23" t="n">
        <v>12</v>
      </c>
      <c r="E23" t="n">
        <v>12</v>
      </c>
      <c r="F23" t="n">
        <v>12</v>
      </c>
      <c r="G23" t="n">
        <v>180</v>
      </c>
      <c r="H23" t="n">
        <v>160</v>
      </c>
      <c r="I23" t="n">
        <v>160</v>
      </c>
    </row>
    <row r="24">
      <c r="A24" t="inlineStr">
        <is>
          <t>Takeo</t>
        </is>
      </c>
      <c r="B24" t="n">
        <v>11</v>
      </c>
      <c r="C24" t="n">
        <v>675</v>
      </c>
      <c r="D24" t="n">
        <v>12</v>
      </c>
      <c r="E24" t="n">
        <v>1650</v>
      </c>
      <c r="F24" t="n">
        <v>11</v>
      </c>
      <c r="G24" t="n">
        <v>1350</v>
      </c>
      <c r="H24" t="n">
        <v>11</v>
      </c>
      <c r="I24" t="n">
        <v>380</v>
      </c>
    </row>
    <row r="25">
      <c r="A25" t="inlineStr">
        <is>
          <t>Kep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  <c r="I25" t="n">
        <v>1500</v>
      </c>
    </row>
    <row r="26">
      <c r="A26" t="inlineStr">
        <is>
          <t>Pailin</t>
        </is>
      </c>
      <c r="B26" t="n">
        <v>85</v>
      </c>
      <c r="C26" t="n">
        <v>120</v>
      </c>
      <c r="D26" t="n">
        <v>2</v>
      </c>
      <c r="E26" t="n">
        <v>130</v>
      </c>
      <c r="F26" t="n">
        <v>2</v>
      </c>
      <c r="G26" t="n">
        <v>130</v>
      </c>
      <c r="H26" t="n">
        <v>96</v>
      </c>
      <c r="I26" t="n">
        <v>108</v>
      </c>
    </row>
    <row r="27">
      <c r="A27" t="inlineStr">
        <is>
          <t>Otdar Meanchey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</row>
    <row r="28">
      <c r="A28" t="inlineStr">
        <is>
          <t>Tbaung Khmum</t>
        </is>
      </c>
      <c r="B28" t="n">
        <v>160</v>
      </c>
      <c r="C28" t="n">
        <v>380</v>
      </c>
      <c r="D28" t="n">
        <v>75</v>
      </c>
      <c r="E28" t="n">
        <v>380</v>
      </c>
      <c r="F28" t="n">
        <v>12</v>
      </c>
      <c r="G28" t="n">
        <v>380</v>
      </c>
      <c r="H28" t="n">
        <v>75</v>
      </c>
      <c r="I28" t="n">
        <v>530</v>
      </c>
    </row>
    <row r="29">
      <c r="A29" t="inlineStr">
        <is>
          <t>Whole Kingdom</t>
        </is>
      </c>
      <c r="B29" t="n">
        <v>6</v>
      </c>
      <c r="C29" t="n">
        <v>6000</v>
      </c>
      <c r="D29" t="n">
        <v>2</v>
      </c>
      <c r="E29" t="n">
        <v>6000</v>
      </c>
      <c r="F29" t="n">
        <v>2</v>
      </c>
      <c r="G29" t="n">
        <v>6000</v>
      </c>
      <c r="H29" t="n">
        <v>5</v>
      </c>
      <c r="I29" t="n">
        <v>7000</v>
      </c>
    </row>
  </sheetData>
  <mergeCells count="6">
    <mergeCell ref="A1:A3"/>
    <mergeCell ref="F2:G2"/>
    <mergeCell ref="B2:C2"/>
    <mergeCell ref="H2:I2"/>
    <mergeCell ref="D2:E2"/>
    <mergeCell ref="B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F0000"/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21.5" customWidth="1" min="1" max="1"/>
    <col width="11.83203125" customWidth="1" min="2" max="2"/>
    <col width="11.5" customWidth="1" min="3" max="3"/>
    <col width="11.83203125" customWidth="1" min="4" max="4"/>
    <col width="11.5" customWidth="1" min="5" max="5"/>
    <col width="11.83203125" customWidth="1" min="6" max="6"/>
    <col width="11.5" customWidth="1" min="7" max="7"/>
    <col width="11.83203125" customWidth="1" min="8" max="8"/>
    <col width="11.5" customWidth="1" min="9" max="9"/>
    <col width="11.83203125" customWidth="1" min="10" max="10"/>
    <col width="11.5" customWidth="1" min="11" max="11"/>
    <col width="12.5" customWidth="1" min="12" max="12"/>
    <col width="12.1640625" customWidth="1" min="13" max="13"/>
  </cols>
  <sheetData>
    <row r="1">
      <c r="A1" t="inlineStr">
        <is>
          <t>Province</t>
        </is>
      </c>
      <c r="B1" t="inlineStr">
        <is>
          <t>School Fees Per Student in a Year (Currency US Dollar)</t>
        </is>
      </c>
    </row>
    <row r="2">
      <c r="B2" t="inlineStr">
        <is>
          <t>Grade 1</t>
        </is>
      </c>
      <c r="D2" t="inlineStr">
        <is>
          <t>Grade 2</t>
        </is>
      </c>
      <c r="F2" t="inlineStr">
        <is>
          <t>Grade 3</t>
        </is>
      </c>
      <c r="H2" t="inlineStr">
        <is>
          <t>Grade 4</t>
        </is>
      </c>
      <c r="J2" t="inlineStr">
        <is>
          <t>Grade 5</t>
        </is>
      </c>
      <c r="L2" t="inlineStr">
        <is>
          <t>Grade 6</t>
        </is>
      </c>
    </row>
    <row r="3">
      <c r="B3" t="inlineStr">
        <is>
          <t>Minimum</t>
        </is>
      </c>
      <c r="C3" t="inlineStr">
        <is>
          <t>Maximum</t>
        </is>
      </c>
      <c r="D3" t="inlineStr">
        <is>
          <t>Minimum</t>
        </is>
      </c>
      <c r="E3" t="inlineStr">
        <is>
          <t>Maximum</t>
        </is>
      </c>
      <c r="F3" t="inlineStr">
        <is>
          <t>Minimum</t>
        </is>
      </c>
      <c r="G3" t="inlineStr">
        <is>
          <t>Maximum</t>
        </is>
      </c>
      <c r="H3" t="inlineStr">
        <is>
          <t>Minimum</t>
        </is>
      </c>
      <c r="I3" t="inlineStr">
        <is>
          <t>Maximum</t>
        </is>
      </c>
      <c r="J3" t="inlineStr">
        <is>
          <t>Minimum</t>
        </is>
      </c>
      <c r="K3" t="inlineStr">
        <is>
          <t>Maximum</t>
        </is>
      </c>
      <c r="L3" t="inlineStr">
        <is>
          <t>Minimum</t>
        </is>
      </c>
      <c r="M3" t="inlineStr">
        <is>
          <t>Maximum</t>
        </is>
      </c>
    </row>
    <row r="4">
      <c r="A4" t="inlineStr">
        <is>
          <t>Banteay Meanchey</t>
        </is>
      </c>
      <c r="B4" t="n">
        <v>5</v>
      </c>
      <c r="C4" t="n">
        <v>1140</v>
      </c>
      <c r="D4" t="n">
        <v>5</v>
      </c>
      <c r="E4" t="n">
        <v>1140</v>
      </c>
      <c r="F4" t="n">
        <v>2</v>
      </c>
      <c r="G4" t="n">
        <v>1200</v>
      </c>
      <c r="H4" t="n">
        <v>6</v>
      </c>
      <c r="I4" t="n">
        <v>1200</v>
      </c>
      <c r="J4" t="n">
        <v>6</v>
      </c>
      <c r="K4" t="n">
        <v>1320</v>
      </c>
      <c r="L4" t="n">
        <v>6</v>
      </c>
      <c r="M4" t="n">
        <v>1320</v>
      </c>
    </row>
    <row r="5">
      <c r="A5" t="inlineStr">
        <is>
          <t>Battambang</t>
        </is>
      </c>
      <c r="B5" t="n">
        <v>15</v>
      </c>
      <c r="C5" t="n">
        <v>3450</v>
      </c>
      <c r="D5" t="n">
        <v>15</v>
      </c>
      <c r="E5" t="n">
        <v>3450</v>
      </c>
      <c r="F5" t="n">
        <v>15</v>
      </c>
      <c r="G5" t="n">
        <v>3450</v>
      </c>
      <c r="H5" t="n">
        <v>15</v>
      </c>
      <c r="I5" t="n">
        <v>3450</v>
      </c>
      <c r="J5" t="n">
        <v>15</v>
      </c>
      <c r="K5" t="n">
        <v>3450</v>
      </c>
      <c r="L5" t="n">
        <v>15</v>
      </c>
      <c r="M5" t="n">
        <v>3450</v>
      </c>
    </row>
    <row r="6">
      <c r="A6" t="inlineStr">
        <is>
          <t>Kampong Cham</t>
        </is>
      </c>
      <c r="B6" t="n">
        <v>1</v>
      </c>
      <c r="C6" t="n">
        <v>759</v>
      </c>
      <c r="D6" t="n">
        <v>1</v>
      </c>
      <c r="E6" t="n">
        <v>759</v>
      </c>
      <c r="F6" t="n">
        <v>1</v>
      </c>
      <c r="G6" t="n">
        <v>580</v>
      </c>
      <c r="H6" t="n">
        <v>1</v>
      </c>
      <c r="I6" t="n">
        <v>580</v>
      </c>
      <c r="J6" t="n">
        <v>1</v>
      </c>
      <c r="K6" t="n">
        <v>580</v>
      </c>
      <c r="L6" t="n">
        <v>1</v>
      </c>
      <c r="M6" t="n">
        <v>580</v>
      </c>
    </row>
    <row r="7">
      <c r="A7" t="inlineStr">
        <is>
          <t>Kampong Chhnang</t>
        </is>
      </c>
      <c r="B7" t="n">
        <v>10</v>
      </c>
      <c r="C7" t="n">
        <v>270</v>
      </c>
      <c r="D7" t="n">
        <v>10</v>
      </c>
      <c r="E7" t="n">
        <v>270</v>
      </c>
      <c r="F7" t="n">
        <v>10</v>
      </c>
      <c r="G7" t="n">
        <v>330</v>
      </c>
      <c r="H7" t="n">
        <v>10</v>
      </c>
      <c r="I7" t="n">
        <v>330</v>
      </c>
      <c r="J7" t="n">
        <v>9</v>
      </c>
      <c r="K7" t="n">
        <v>350</v>
      </c>
      <c r="L7" t="n">
        <v>10</v>
      </c>
      <c r="M7" t="n">
        <v>350</v>
      </c>
    </row>
    <row r="8">
      <c r="A8" t="inlineStr">
        <is>
          <t>Kampong Speu</t>
        </is>
      </c>
      <c r="B8" t="n">
        <v>12</v>
      </c>
      <c r="C8" t="n">
        <v>1800</v>
      </c>
      <c r="D8" t="n">
        <v>13</v>
      </c>
      <c r="E8" t="n">
        <v>1800</v>
      </c>
      <c r="F8" t="n">
        <v>14</v>
      </c>
      <c r="G8" t="n">
        <v>1800</v>
      </c>
      <c r="H8" t="n">
        <v>15</v>
      </c>
      <c r="I8" t="n">
        <v>1800</v>
      </c>
      <c r="J8" t="n">
        <v>15</v>
      </c>
      <c r="K8" t="n">
        <v>2040</v>
      </c>
      <c r="L8" t="n">
        <v>15</v>
      </c>
      <c r="M8" t="n">
        <v>2040</v>
      </c>
    </row>
    <row r="9">
      <c r="A9" t="inlineStr">
        <is>
          <t>Kampong Thom</t>
        </is>
      </c>
      <c r="B9" t="n">
        <v>111</v>
      </c>
      <c r="C9" t="n">
        <v>530</v>
      </c>
      <c r="D9" t="n">
        <v>111</v>
      </c>
      <c r="E9" t="n">
        <v>370</v>
      </c>
      <c r="F9" t="n">
        <v>111</v>
      </c>
      <c r="G9" t="n">
        <v>370</v>
      </c>
      <c r="H9" t="n">
        <v>131</v>
      </c>
      <c r="I9" t="n">
        <v>474</v>
      </c>
      <c r="J9" t="n">
        <v>131</v>
      </c>
      <c r="K9" t="n">
        <v>474</v>
      </c>
      <c r="L9" t="n">
        <v>145</v>
      </c>
      <c r="M9" t="n">
        <v>474</v>
      </c>
    </row>
    <row r="10">
      <c r="A10" t="inlineStr">
        <is>
          <t>Kampot</t>
        </is>
      </c>
      <c r="B10" t="n">
        <v>80</v>
      </c>
      <c r="C10" t="n">
        <v>600</v>
      </c>
      <c r="D10" t="n">
        <v>90</v>
      </c>
      <c r="E10" t="n">
        <v>700</v>
      </c>
      <c r="F10" t="n">
        <v>90</v>
      </c>
      <c r="G10" t="n">
        <v>4140</v>
      </c>
      <c r="H10" t="n">
        <v>90</v>
      </c>
      <c r="I10" t="n">
        <v>480</v>
      </c>
      <c r="J10" t="n">
        <v>100</v>
      </c>
      <c r="K10" t="n">
        <v>480</v>
      </c>
      <c r="L10" t="n">
        <v>115</v>
      </c>
      <c r="M10" t="n">
        <v>480</v>
      </c>
    </row>
    <row r="11">
      <c r="A11" t="inlineStr">
        <is>
          <t>Kandal</t>
        </is>
      </c>
      <c r="B11" t="n">
        <v>20</v>
      </c>
      <c r="C11" t="n">
        <v>1590</v>
      </c>
      <c r="D11" t="n">
        <v>20</v>
      </c>
      <c r="E11" t="n">
        <v>1590</v>
      </c>
      <c r="F11" t="n">
        <v>20</v>
      </c>
      <c r="G11" t="n">
        <v>1590</v>
      </c>
      <c r="H11" t="n">
        <v>20</v>
      </c>
      <c r="I11" t="n">
        <v>1690</v>
      </c>
      <c r="J11" t="n">
        <v>20</v>
      </c>
      <c r="K11" t="n">
        <v>1690</v>
      </c>
      <c r="L11" t="n">
        <v>20</v>
      </c>
      <c r="M11" t="n">
        <v>1790</v>
      </c>
    </row>
    <row r="12">
      <c r="A12" t="inlineStr">
        <is>
          <t>Koh Kong</t>
        </is>
      </c>
      <c r="B12" t="n">
        <v>16</v>
      </c>
      <c r="C12" t="n">
        <v>120</v>
      </c>
      <c r="D12" t="n">
        <v>17</v>
      </c>
      <c r="E12" t="n">
        <v>120</v>
      </c>
      <c r="F12" t="n">
        <v>18</v>
      </c>
      <c r="G12" t="n">
        <v>120</v>
      </c>
      <c r="H12" t="n">
        <v>19</v>
      </c>
      <c r="I12" t="n">
        <v>105</v>
      </c>
      <c r="J12" t="n">
        <v>20</v>
      </c>
      <c r="K12" t="n">
        <v>105</v>
      </c>
      <c r="L12" t="n">
        <v>22</v>
      </c>
      <c r="M12" t="n">
        <v>105</v>
      </c>
    </row>
    <row r="13">
      <c r="A13" t="inlineStr">
        <is>
          <t>Kratie</t>
        </is>
      </c>
      <c r="B13" t="n">
        <v>140</v>
      </c>
      <c r="C13" t="n">
        <v>310</v>
      </c>
      <c r="D13" t="n">
        <v>145</v>
      </c>
      <c r="E13" t="n">
        <v>320</v>
      </c>
      <c r="F13" t="n">
        <v>150</v>
      </c>
      <c r="G13" t="n">
        <v>330</v>
      </c>
      <c r="H13" t="n">
        <v>155</v>
      </c>
      <c r="I13" t="n">
        <v>340</v>
      </c>
      <c r="J13" t="n">
        <v>160</v>
      </c>
      <c r="K13" t="n">
        <v>350</v>
      </c>
      <c r="L13" t="n">
        <v>165</v>
      </c>
      <c r="M13" t="n">
        <v>360</v>
      </c>
    </row>
    <row r="14">
      <c r="A14" t="inlineStr">
        <is>
          <t>Mondul Kiri</t>
        </is>
      </c>
      <c r="B14" t="n">
        <v>280</v>
      </c>
      <c r="C14" t="n">
        <v>370</v>
      </c>
      <c r="D14" t="n">
        <v>280</v>
      </c>
      <c r="E14" t="n">
        <v>370</v>
      </c>
      <c r="F14" t="n">
        <v>280</v>
      </c>
      <c r="G14" t="n">
        <v>370</v>
      </c>
      <c r="H14" t="n">
        <v>280</v>
      </c>
      <c r="I14" t="n">
        <v>400</v>
      </c>
      <c r="J14" t="n">
        <v>400</v>
      </c>
      <c r="K14" t="n">
        <v>400</v>
      </c>
      <c r="L14" t="n">
        <v>400</v>
      </c>
      <c r="M14" t="n">
        <v>400</v>
      </c>
    </row>
    <row r="15">
      <c r="A15" t="inlineStr">
        <is>
          <t>Phnom Penh</t>
        </is>
      </c>
      <c r="B15" t="n">
        <v>10</v>
      </c>
      <c r="C15" t="n">
        <v>50000</v>
      </c>
      <c r="D15" t="n">
        <v>6</v>
      </c>
      <c r="E15" t="n">
        <v>50000</v>
      </c>
      <c r="F15" t="n">
        <v>10</v>
      </c>
      <c r="G15" t="n">
        <v>10020</v>
      </c>
      <c r="H15" t="n">
        <v>10</v>
      </c>
      <c r="I15" t="n">
        <v>10020</v>
      </c>
      <c r="J15" t="n">
        <v>6</v>
      </c>
      <c r="K15" t="n">
        <v>10020</v>
      </c>
      <c r="L15" t="n">
        <v>10</v>
      </c>
      <c r="M15" t="n">
        <v>11320</v>
      </c>
    </row>
    <row r="16">
      <c r="A16" t="inlineStr">
        <is>
          <t>Preah Vihear</t>
        </is>
      </c>
      <c r="B16" t="n">
        <v>220</v>
      </c>
      <c r="C16" t="n">
        <v>306</v>
      </c>
      <c r="D16" t="n">
        <v>230</v>
      </c>
      <c r="E16" t="n">
        <v>306</v>
      </c>
      <c r="F16" t="n">
        <v>240</v>
      </c>
      <c r="G16" t="n">
        <v>306</v>
      </c>
      <c r="H16" t="n">
        <v>250</v>
      </c>
      <c r="I16" t="n">
        <v>306</v>
      </c>
      <c r="J16" t="n">
        <v>260</v>
      </c>
      <c r="K16" t="n">
        <v>306</v>
      </c>
      <c r="L16" t="n">
        <v>270</v>
      </c>
      <c r="M16" t="n">
        <v>306</v>
      </c>
    </row>
    <row r="17">
      <c r="A17" t="inlineStr">
        <is>
          <t>Prey Veng</t>
        </is>
      </c>
      <c r="B17" t="n">
        <v>125</v>
      </c>
      <c r="C17" t="n">
        <v>425</v>
      </c>
      <c r="D17" t="n">
        <v>125</v>
      </c>
      <c r="E17" t="n">
        <v>425</v>
      </c>
      <c r="F17" t="n">
        <v>125</v>
      </c>
      <c r="G17" t="n">
        <v>425</v>
      </c>
      <c r="H17" t="n">
        <v>125</v>
      </c>
      <c r="I17" t="n">
        <v>125</v>
      </c>
      <c r="J17" t="n">
        <v>125</v>
      </c>
      <c r="K17" t="n">
        <v>125</v>
      </c>
      <c r="L17" t="n">
        <v>125</v>
      </c>
      <c r="M17" t="n">
        <v>125</v>
      </c>
    </row>
    <row r="18">
      <c r="A18" t="inlineStr">
        <is>
          <t>Pursat</t>
        </is>
      </c>
      <c r="B18" t="n">
        <v>40</v>
      </c>
      <c r="C18" t="n">
        <v>420</v>
      </c>
      <c r="D18" t="n">
        <v>45</v>
      </c>
      <c r="E18" t="n">
        <v>152</v>
      </c>
      <c r="F18" t="n">
        <v>152</v>
      </c>
      <c r="G18" t="n">
        <v>152</v>
      </c>
      <c r="H18" t="n">
        <v>152</v>
      </c>
      <c r="I18" t="n">
        <v>152</v>
      </c>
      <c r="J18" t="n">
        <v>80</v>
      </c>
      <c r="K18" t="n">
        <v>152</v>
      </c>
      <c r="L18" t="n">
        <v>152</v>
      </c>
      <c r="M18" t="n">
        <v>152</v>
      </c>
    </row>
    <row r="19">
      <c r="A19" t="inlineStr">
        <is>
          <t>Ratanak Kiri</t>
        </is>
      </c>
      <c r="B19" t="n">
        <v>240</v>
      </c>
      <c r="C19" t="n">
        <v>576</v>
      </c>
      <c r="D19" t="n">
        <v>240</v>
      </c>
      <c r="E19" t="n">
        <v>576</v>
      </c>
      <c r="F19" t="n">
        <v>240</v>
      </c>
      <c r="G19" t="n">
        <v>616</v>
      </c>
      <c r="H19" t="n">
        <v>282</v>
      </c>
      <c r="I19" t="n">
        <v>616</v>
      </c>
      <c r="J19" t="n">
        <v>300</v>
      </c>
      <c r="K19" t="n">
        <v>656</v>
      </c>
      <c r="L19" t="n">
        <v>300</v>
      </c>
      <c r="M19" t="n">
        <v>656</v>
      </c>
    </row>
    <row r="20">
      <c r="A20" t="inlineStr">
        <is>
          <t>Siemreap</t>
        </is>
      </c>
      <c r="B20" t="n">
        <v>14</v>
      </c>
      <c r="C20" t="n">
        <v>6172</v>
      </c>
      <c r="D20" t="n">
        <v>14</v>
      </c>
      <c r="E20" t="n">
        <v>6172</v>
      </c>
      <c r="F20" t="n">
        <v>14</v>
      </c>
      <c r="G20" t="n">
        <v>6172</v>
      </c>
      <c r="H20" t="n">
        <v>15</v>
      </c>
      <c r="I20" t="n">
        <v>6172</v>
      </c>
      <c r="J20" t="n">
        <v>15</v>
      </c>
      <c r="K20" t="n">
        <v>6172</v>
      </c>
      <c r="L20" t="n">
        <v>15</v>
      </c>
      <c r="M20" t="n">
        <v>6946</v>
      </c>
    </row>
    <row r="21">
      <c r="A21" t="inlineStr">
        <is>
          <t>Preah Sihanouk</t>
        </is>
      </c>
      <c r="B21" t="n">
        <v>5</v>
      </c>
      <c r="C21" t="n">
        <v>2240</v>
      </c>
      <c r="D21" t="n">
        <v>5</v>
      </c>
      <c r="E21" t="n">
        <v>2240</v>
      </c>
      <c r="F21" t="n">
        <v>5</v>
      </c>
      <c r="G21" t="n">
        <v>2240</v>
      </c>
      <c r="H21" t="n">
        <v>5</v>
      </c>
      <c r="I21" t="n">
        <v>2240</v>
      </c>
      <c r="J21" t="n">
        <v>5</v>
      </c>
      <c r="K21" t="n">
        <v>2240</v>
      </c>
      <c r="L21" t="n">
        <v>5</v>
      </c>
      <c r="M21" t="n">
        <v>2840</v>
      </c>
    </row>
    <row r="22">
      <c r="A22" t="inlineStr">
        <is>
          <t>Stung Treng</t>
        </is>
      </c>
      <c r="B22" t="n">
        <v>35</v>
      </c>
      <c r="C22" t="n">
        <v>440</v>
      </c>
      <c r="D22" t="n">
        <v>35</v>
      </c>
      <c r="E22" t="n">
        <v>440</v>
      </c>
      <c r="F22" t="n">
        <v>35</v>
      </c>
      <c r="G22" t="n">
        <v>480</v>
      </c>
      <c r="H22" t="n">
        <v>35</v>
      </c>
      <c r="I22" t="n">
        <v>480</v>
      </c>
      <c r="J22" t="n">
        <v>35</v>
      </c>
      <c r="K22" t="n">
        <v>428</v>
      </c>
      <c r="L22" t="n">
        <v>35</v>
      </c>
      <c r="M22" t="n">
        <v>200</v>
      </c>
    </row>
    <row r="23">
      <c r="A23" t="inlineStr">
        <is>
          <t>Svay Rieng</t>
        </is>
      </c>
      <c r="B23" t="n">
        <v>12</v>
      </c>
      <c r="C23" t="n">
        <v>350</v>
      </c>
      <c r="D23" t="n">
        <v>180</v>
      </c>
      <c r="E23" t="n">
        <v>350</v>
      </c>
      <c r="F23" t="n">
        <v>192</v>
      </c>
      <c r="G23" t="n">
        <v>350</v>
      </c>
      <c r="H23" t="n">
        <v>150</v>
      </c>
      <c r="I23" t="n">
        <v>250</v>
      </c>
      <c r="J23" t="n">
        <v>150</v>
      </c>
      <c r="K23" t="n">
        <v>250</v>
      </c>
      <c r="L23" t="n">
        <v>250</v>
      </c>
      <c r="M23" t="n">
        <v>250</v>
      </c>
    </row>
    <row r="24">
      <c r="A24" t="inlineStr">
        <is>
          <t>Takeo</t>
        </is>
      </c>
      <c r="B24" t="n">
        <v>13</v>
      </c>
      <c r="C24" t="n">
        <v>360</v>
      </c>
      <c r="D24" t="n">
        <v>14</v>
      </c>
      <c r="E24" t="n">
        <v>360</v>
      </c>
      <c r="F24" t="n">
        <v>15</v>
      </c>
      <c r="G24" t="n">
        <v>200</v>
      </c>
      <c r="H24" t="n">
        <v>16</v>
      </c>
      <c r="I24" t="n">
        <v>200</v>
      </c>
      <c r="J24" t="n">
        <v>17</v>
      </c>
      <c r="K24" t="n">
        <v>360</v>
      </c>
      <c r="L24" t="n">
        <v>18</v>
      </c>
      <c r="M24" t="n">
        <v>200</v>
      </c>
    </row>
    <row r="25">
      <c r="A25" t="inlineStr">
        <is>
          <t>Kep</t>
        </is>
      </c>
      <c r="B25" t="n">
        <v>40</v>
      </c>
      <c r="C25" t="n">
        <v>40</v>
      </c>
      <c r="D25" t="n">
        <v>45</v>
      </c>
      <c r="E25" t="n">
        <v>45</v>
      </c>
      <c r="F25" t="n">
        <v>50</v>
      </c>
      <c r="G25" t="n">
        <v>50</v>
      </c>
      <c r="H25" t="n">
        <v>55</v>
      </c>
      <c r="I25" t="n">
        <v>55</v>
      </c>
      <c r="J25" t="n">
        <v>60</v>
      </c>
      <c r="K25" t="n">
        <v>60</v>
      </c>
      <c r="L25" t="n">
        <v>65</v>
      </c>
      <c r="M25" t="n">
        <v>65</v>
      </c>
    </row>
    <row r="26">
      <c r="A26" t="inlineStr">
        <is>
          <t>Pailin</t>
        </is>
      </c>
      <c r="B26" t="n">
        <v>2</v>
      </c>
      <c r="C26" t="n">
        <v>144</v>
      </c>
      <c r="D26" t="n">
        <v>2</v>
      </c>
      <c r="E26" t="n">
        <v>144</v>
      </c>
      <c r="F26" t="n">
        <v>2</v>
      </c>
      <c r="G26" t="n">
        <v>144</v>
      </c>
      <c r="H26" t="n">
        <v>2</v>
      </c>
      <c r="I26" t="n">
        <v>168</v>
      </c>
      <c r="J26" t="n">
        <v>2</v>
      </c>
      <c r="K26" t="n">
        <v>168</v>
      </c>
      <c r="L26" t="n">
        <v>2</v>
      </c>
      <c r="M26" t="n">
        <v>168</v>
      </c>
    </row>
    <row r="27">
      <c r="A27" t="inlineStr">
        <is>
          <t>Otdar Meanchey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</row>
    <row r="28">
      <c r="A28" t="inlineStr">
        <is>
          <t>Tbaung Khmum</t>
        </is>
      </c>
      <c r="B28" t="n">
        <v>75</v>
      </c>
      <c r="C28" t="n">
        <v>570</v>
      </c>
      <c r="D28" t="n">
        <v>75</v>
      </c>
      <c r="E28" t="n">
        <v>570</v>
      </c>
      <c r="F28" t="n">
        <v>75</v>
      </c>
      <c r="G28" t="n">
        <v>600</v>
      </c>
      <c r="H28" t="n">
        <v>75</v>
      </c>
      <c r="I28" t="n">
        <v>600</v>
      </c>
      <c r="J28" t="n">
        <v>75</v>
      </c>
      <c r="K28" t="n">
        <v>630</v>
      </c>
      <c r="L28" t="n">
        <v>75</v>
      </c>
      <c r="M28" t="n">
        <v>630</v>
      </c>
    </row>
    <row r="29">
      <c r="A29" t="inlineStr">
        <is>
          <t>Whole Kingdom</t>
        </is>
      </c>
      <c r="B29" t="n">
        <v>1</v>
      </c>
      <c r="C29" t="n">
        <v>50000</v>
      </c>
      <c r="D29" t="n">
        <v>1</v>
      </c>
      <c r="E29" t="n">
        <v>50000</v>
      </c>
      <c r="F29" t="n">
        <v>1</v>
      </c>
      <c r="G29" t="n">
        <v>10020</v>
      </c>
      <c r="H29" t="n">
        <v>1</v>
      </c>
      <c r="I29" t="n">
        <v>10020</v>
      </c>
      <c r="J29" t="n">
        <v>1</v>
      </c>
      <c r="K29" t="n">
        <v>10020</v>
      </c>
      <c r="L29" t="n">
        <v>1</v>
      </c>
      <c r="M29" t="n">
        <v>11320</v>
      </c>
    </row>
  </sheetData>
  <mergeCells count="8">
    <mergeCell ref="L2:M2"/>
    <mergeCell ref="A1:A3"/>
    <mergeCell ref="F2:G2"/>
    <mergeCell ref="B2:C2"/>
    <mergeCell ref="H2:I2"/>
    <mergeCell ref="D2:E2"/>
    <mergeCell ref="J2:K2"/>
    <mergeCell ref="B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FF0000"/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23.5" customWidth="1" min="1" max="1"/>
    <col width="11.5" customWidth="1" min="2" max="2"/>
    <col width="11.83203125" customWidth="1" min="10" max="10"/>
    <col width="11.5" customWidth="1" min="11" max="11"/>
    <col width="12" customWidth="1" min="12" max="12"/>
  </cols>
  <sheetData>
    <row r="1">
      <c r="A1" t="inlineStr">
        <is>
          <t>Province</t>
        </is>
      </c>
      <c r="B1" t="inlineStr">
        <is>
          <t>School Fees Per Student in a Year (Currency US Dollar)</t>
        </is>
      </c>
    </row>
    <row r="2">
      <c r="B2" t="inlineStr">
        <is>
          <t>Grade 7</t>
        </is>
      </c>
      <c r="D2" t="inlineStr">
        <is>
          <t>Grade 8</t>
        </is>
      </c>
      <c r="F2" t="inlineStr">
        <is>
          <t>Grade 9</t>
        </is>
      </c>
      <c r="H2" t="inlineStr">
        <is>
          <t>Grade 10</t>
        </is>
      </c>
      <c r="J2" t="inlineStr">
        <is>
          <t>Grade 11</t>
        </is>
      </c>
      <c r="L2" t="inlineStr">
        <is>
          <t>Grade 12</t>
        </is>
      </c>
    </row>
    <row r="3">
      <c r="B3" t="inlineStr">
        <is>
          <t>Minimum</t>
        </is>
      </c>
      <c r="C3" t="inlineStr">
        <is>
          <t>Maximum</t>
        </is>
      </c>
      <c r="D3" t="inlineStr">
        <is>
          <t>Minimum</t>
        </is>
      </c>
      <c r="E3" t="inlineStr">
        <is>
          <t>Maximum</t>
        </is>
      </c>
      <c r="F3" t="inlineStr">
        <is>
          <t>Minimum</t>
        </is>
      </c>
      <c r="G3" t="inlineStr">
        <is>
          <t>Maximum</t>
        </is>
      </c>
      <c r="H3" t="inlineStr">
        <is>
          <t>Minimum</t>
        </is>
      </c>
      <c r="I3" t="inlineStr">
        <is>
          <t>Maximum</t>
        </is>
      </c>
      <c r="J3" t="inlineStr">
        <is>
          <t>Minimum</t>
        </is>
      </c>
      <c r="K3" t="inlineStr">
        <is>
          <t>Maximum</t>
        </is>
      </c>
      <c r="L3" t="inlineStr">
        <is>
          <t>Minimum</t>
        </is>
      </c>
      <c r="M3" t="inlineStr">
        <is>
          <t>Maximum</t>
        </is>
      </c>
    </row>
    <row r="4">
      <c r="A4" t="inlineStr">
        <is>
          <t>Banteay Meanchey</t>
        </is>
      </c>
      <c r="B4" t="n">
        <v>18</v>
      </c>
      <c r="C4" t="n">
        <v>955</v>
      </c>
      <c r="D4" t="n">
        <v>20</v>
      </c>
      <c r="E4" t="n">
        <v>955</v>
      </c>
      <c r="F4" t="n">
        <v>150</v>
      </c>
      <c r="G4" t="n">
        <v>955</v>
      </c>
      <c r="H4" t="n">
        <v>150</v>
      </c>
      <c r="I4" t="n">
        <v>1014</v>
      </c>
      <c r="J4" t="n">
        <v>3</v>
      </c>
      <c r="K4" t="n">
        <v>1014</v>
      </c>
      <c r="L4" t="n">
        <v>365</v>
      </c>
      <c r="M4" t="n">
        <v>1014</v>
      </c>
    </row>
    <row r="5">
      <c r="A5" t="inlineStr">
        <is>
          <t>Battambang</t>
        </is>
      </c>
      <c r="B5" t="n">
        <v>20</v>
      </c>
      <c r="C5" t="n">
        <v>938</v>
      </c>
      <c r="D5" t="n">
        <v>20</v>
      </c>
      <c r="E5" t="n">
        <v>938</v>
      </c>
      <c r="F5" t="n">
        <v>20</v>
      </c>
      <c r="G5" t="n">
        <v>938</v>
      </c>
      <c r="H5" t="n">
        <v>20</v>
      </c>
      <c r="I5" t="n">
        <v>1015</v>
      </c>
      <c r="J5" t="n">
        <v>20</v>
      </c>
      <c r="K5" t="n">
        <v>1015</v>
      </c>
      <c r="L5" t="n">
        <v>20</v>
      </c>
      <c r="M5" t="n">
        <v>1015</v>
      </c>
    </row>
    <row r="6">
      <c r="A6" t="inlineStr">
        <is>
          <t>Kampong Cham</t>
        </is>
      </c>
      <c r="B6" t="n">
        <v>180</v>
      </c>
      <c r="C6" t="n">
        <v>600</v>
      </c>
      <c r="D6" t="n">
        <v>180</v>
      </c>
      <c r="E6" t="n">
        <v>600</v>
      </c>
      <c r="F6" t="n">
        <v>220</v>
      </c>
      <c r="G6" t="n">
        <v>600</v>
      </c>
      <c r="H6" t="n">
        <v>220</v>
      </c>
      <c r="I6" t="n">
        <v>650</v>
      </c>
      <c r="J6" t="n">
        <v>220</v>
      </c>
      <c r="K6" t="n">
        <v>650</v>
      </c>
      <c r="L6" t="n">
        <v>220</v>
      </c>
      <c r="M6" t="n">
        <v>650</v>
      </c>
    </row>
    <row r="7">
      <c r="A7" t="inlineStr">
        <is>
          <t>Kampong Chhnang</t>
        </is>
      </c>
      <c r="B7" t="n">
        <v>30</v>
      </c>
      <c r="C7" t="n">
        <v>450</v>
      </c>
      <c r="D7" t="n">
        <v>30</v>
      </c>
      <c r="E7" t="n">
        <v>450</v>
      </c>
      <c r="F7" t="n">
        <v>30</v>
      </c>
      <c r="G7" t="n">
        <v>450</v>
      </c>
      <c r="H7" t="n">
        <v>35</v>
      </c>
      <c r="I7" t="n">
        <v>520</v>
      </c>
      <c r="J7" t="n">
        <v>35</v>
      </c>
      <c r="K7" t="n">
        <v>520</v>
      </c>
      <c r="L7" t="n">
        <v>35</v>
      </c>
      <c r="M7" t="n">
        <v>520</v>
      </c>
    </row>
    <row r="8">
      <c r="A8" t="inlineStr">
        <is>
          <t>Kampong Speu</t>
        </is>
      </c>
      <c r="B8" t="n">
        <v>90</v>
      </c>
      <c r="C8" t="n">
        <v>820</v>
      </c>
      <c r="D8" t="n">
        <v>90</v>
      </c>
      <c r="E8" t="n">
        <v>860</v>
      </c>
      <c r="F8" t="n">
        <v>90</v>
      </c>
      <c r="G8" t="n">
        <v>380</v>
      </c>
      <c r="H8" t="n">
        <v>150</v>
      </c>
      <c r="I8" t="n">
        <v>1045</v>
      </c>
      <c r="J8" t="n">
        <v>150</v>
      </c>
      <c r="K8" t="n">
        <v>1065</v>
      </c>
      <c r="L8" t="n">
        <v>150</v>
      </c>
      <c r="M8" t="n">
        <v>1285</v>
      </c>
    </row>
    <row r="9">
      <c r="A9" t="inlineStr">
        <is>
          <t>Kampong Thom</t>
        </is>
      </c>
      <c r="B9" t="n">
        <v>171</v>
      </c>
      <c r="C9" t="n">
        <v>420</v>
      </c>
      <c r="D9" t="n">
        <v>181</v>
      </c>
      <c r="E9" t="n">
        <v>200</v>
      </c>
      <c r="F9" t="n">
        <v>191</v>
      </c>
      <c r="G9" t="n">
        <v>200</v>
      </c>
      <c r="H9" t="n">
        <v>225</v>
      </c>
      <c r="I9" t="n">
        <v>241</v>
      </c>
      <c r="J9" t="n">
        <v>225</v>
      </c>
      <c r="K9" t="n">
        <v>241</v>
      </c>
      <c r="L9" t="n">
        <v>225</v>
      </c>
      <c r="M9" t="n">
        <v>251</v>
      </c>
    </row>
    <row r="10">
      <c r="A10" t="inlineStr">
        <is>
          <t>Kampot</t>
        </is>
      </c>
      <c r="B10" t="n">
        <v>150</v>
      </c>
      <c r="C10" t="n">
        <v>410</v>
      </c>
      <c r="D10" t="n">
        <v>150</v>
      </c>
      <c r="E10" t="n">
        <v>410</v>
      </c>
      <c r="F10" t="n">
        <v>150</v>
      </c>
      <c r="G10" t="n">
        <v>470</v>
      </c>
      <c r="H10" t="n">
        <v>240</v>
      </c>
      <c r="I10" t="n">
        <v>470</v>
      </c>
      <c r="J10" t="n">
        <v>240</v>
      </c>
      <c r="K10" t="n">
        <v>510</v>
      </c>
      <c r="L10" t="n">
        <v>240</v>
      </c>
      <c r="M10" t="n">
        <v>510</v>
      </c>
    </row>
    <row r="11">
      <c r="A11" t="inlineStr">
        <is>
          <t>Kandal</t>
        </is>
      </c>
      <c r="B11" t="n">
        <v>40</v>
      </c>
      <c r="C11" t="n">
        <v>800</v>
      </c>
      <c r="D11" t="n">
        <v>40</v>
      </c>
      <c r="E11" t="n">
        <v>900</v>
      </c>
      <c r="F11" t="n">
        <v>40</v>
      </c>
      <c r="G11" t="n">
        <v>750</v>
      </c>
      <c r="H11" t="n">
        <v>45</v>
      </c>
      <c r="I11" t="n">
        <v>750</v>
      </c>
      <c r="J11" t="n">
        <v>45</v>
      </c>
      <c r="K11" t="n">
        <v>750</v>
      </c>
      <c r="L11" t="n">
        <v>45</v>
      </c>
      <c r="M11" t="n">
        <v>750</v>
      </c>
    </row>
    <row r="12">
      <c r="A12" t="inlineStr">
        <is>
          <t>Koh Kong</t>
        </is>
      </c>
      <c r="B12" t="n">
        <v>25</v>
      </c>
      <c r="C12" t="n">
        <v>192</v>
      </c>
      <c r="D12" t="n">
        <v>180</v>
      </c>
      <c r="E12" t="n">
        <v>192</v>
      </c>
      <c r="F12" t="n">
        <v>180</v>
      </c>
      <c r="G12" t="n">
        <v>192</v>
      </c>
      <c r="H12" t="n">
        <v>216</v>
      </c>
      <c r="I12" t="n">
        <v>216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Kratie</t>
        </is>
      </c>
      <c r="B13" t="n">
        <v>550</v>
      </c>
      <c r="C13" t="n">
        <v>550</v>
      </c>
      <c r="D13" t="n">
        <v>550</v>
      </c>
      <c r="E13" t="n">
        <v>550</v>
      </c>
      <c r="F13" t="n">
        <v>650</v>
      </c>
      <c r="G13" t="n">
        <v>650</v>
      </c>
      <c r="H13" t="n">
        <v>700</v>
      </c>
      <c r="I13" t="n">
        <v>700</v>
      </c>
      <c r="J13" t="n">
        <v>700</v>
      </c>
      <c r="K13" t="n">
        <v>700</v>
      </c>
      <c r="L13" t="n">
        <v>800</v>
      </c>
      <c r="M13" t="n">
        <v>800</v>
      </c>
    </row>
    <row r="14">
      <c r="A14" t="inlineStr">
        <is>
          <t>Mondul Kiri</t>
        </is>
      </c>
      <c r="B14" t="n">
        <v>440</v>
      </c>
      <c r="C14" t="n">
        <v>440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Phnom Penh</t>
        </is>
      </c>
      <c r="B15" t="n">
        <v>3</v>
      </c>
      <c r="C15" t="n">
        <v>11320</v>
      </c>
      <c r="D15" t="n">
        <v>4</v>
      </c>
      <c r="E15" t="n">
        <v>11320</v>
      </c>
      <c r="F15" t="n">
        <v>6</v>
      </c>
      <c r="G15" t="n">
        <v>13720</v>
      </c>
      <c r="H15" t="n">
        <v>5</v>
      </c>
      <c r="I15" t="n">
        <v>13720</v>
      </c>
      <c r="J15" t="n">
        <v>6</v>
      </c>
      <c r="K15" t="n">
        <v>14370</v>
      </c>
      <c r="L15" t="n">
        <v>6</v>
      </c>
      <c r="M15" t="n">
        <v>14370</v>
      </c>
    </row>
    <row r="16">
      <c r="A16" t="inlineStr">
        <is>
          <t>Preah Vihear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Prey Veng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Pursat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Ratanak Kiri</t>
        </is>
      </c>
      <c r="B19" t="n">
        <v>325</v>
      </c>
      <c r="C19" t="n">
        <v>696</v>
      </c>
      <c r="D19" t="n">
        <v>325</v>
      </c>
      <c r="E19" t="n">
        <v>696</v>
      </c>
      <c r="F19" t="n">
        <v>325</v>
      </c>
      <c r="G19" t="n">
        <v>716</v>
      </c>
      <c r="H19" t="n">
        <v>640</v>
      </c>
      <c r="I19" t="n">
        <v>3252</v>
      </c>
      <c r="J19" t="n">
        <v>640</v>
      </c>
      <c r="K19" t="n">
        <v>796</v>
      </c>
      <c r="L19" t="n">
        <v>720</v>
      </c>
      <c r="M19" t="n">
        <v>836</v>
      </c>
    </row>
    <row r="20">
      <c r="A20" t="inlineStr">
        <is>
          <t>Siemreap</t>
        </is>
      </c>
      <c r="B20" t="n">
        <v>60</v>
      </c>
      <c r="C20" t="n">
        <v>2000</v>
      </c>
      <c r="D20" t="n">
        <v>530</v>
      </c>
      <c r="E20" t="n">
        <v>974</v>
      </c>
      <c r="F20" t="n">
        <v>530</v>
      </c>
      <c r="G20" t="n">
        <v>974</v>
      </c>
      <c r="H20" t="n">
        <v>624</v>
      </c>
      <c r="I20" t="n">
        <v>6110</v>
      </c>
      <c r="J20" t="n">
        <v>610</v>
      </c>
      <c r="K20" t="n">
        <v>1044</v>
      </c>
      <c r="L20" t="n">
        <v>684</v>
      </c>
      <c r="M20" t="n">
        <v>1044</v>
      </c>
    </row>
    <row r="21">
      <c r="A21" t="inlineStr">
        <is>
          <t>Preah Sihanouk</t>
        </is>
      </c>
      <c r="B21" t="n">
        <v>7</v>
      </c>
      <c r="C21" t="n">
        <v>2840</v>
      </c>
      <c r="D21" t="n">
        <v>34</v>
      </c>
      <c r="E21" t="n">
        <v>2840</v>
      </c>
      <c r="F21" t="n">
        <v>34</v>
      </c>
      <c r="G21" t="n">
        <v>4040</v>
      </c>
      <c r="H21" t="n">
        <v>34</v>
      </c>
      <c r="I21" t="n">
        <v>4040</v>
      </c>
      <c r="J21" t="n">
        <v>34</v>
      </c>
      <c r="K21" t="n">
        <v>4040</v>
      </c>
      <c r="L21" t="n">
        <v>34</v>
      </c>
      <c r="M21" t="n">
        <v>4040</v>
      </c>
    </row>
    <row r="22">
      <c r="A22" t="inlineStr">
        <is>
          <t>Stung Treng</t>
        </is>
      </c>
      <c r="B22" t="n">
        <v>55</v>
      </c>
      <c r="C22" t="n">
        <v>660</v>
      </c>
      <c r="D22" t="n">
        <v>55</v>
      </c>
      <c r="E22" t="n">
        <v>660</v>
      </c>
      <c r="F22" t="n">
        <v>55</v>
      </c>
      <c r="G22" t="n">
        <v>660</v>
      </c>
      <c r="H22" t="n">
        <v>0</v>
      </c>
      <c r="I22" t="n">
        <v>0</v>
      </c>
      <c r="J22" t="n">
        <v>0</v>
      </c>
      <c r="K22" t="n">
        <v>0</v>
      </c>
      <c r="L22" t="n">
        <v>55</v>
      </c>
      <c r="M22" t="n">
        <v>55</v>
      </c>
    </row>
    <row r="23">
      <c r="A23" t="inlineStr">
        <is>
          <t>Svay Rieng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Takeo</t>
        </is>
      </c>
      <c r="B24" t="n">
        <v>25</v>
      </c>
      <c r="C24" t="n">
        <v>440</v>
      </c>
      <c r="D24" t="n">
        <v>25</v>
      </c>
      <c r="E24" t="n">
        <v>446</v>
      </c>
      <c r="F24" t="n">
        <v>25</v>
      </c>
      <c r="G24" t="n">
        <v>474</v>
      </c>
      <c r="H24" t="n">
        <v>30</v>
      </c>
      <c r="I24" t="n">
        <v>492</v>
      </c>
      <c r="J24" t="n">
        <v>30</v>
      </c>
      <c r="K24" t="n">
        <v>510</v>
      </c>
      <c r="L24" t="n">
        <v>30</v>
      </c>
      <c r="M24" t="n">
        <v>528</v>
      </c>
    </row>
    <row r="25">
      <c r="A25" t="inlineStr">
        <is>
          <t>Kep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Pailin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Otdar Meanchey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Tbaung Khmum</t>
        </is>
      </c>
      <c r="B28" t="n">
        <v>75</v>
      </c>
      <c r="C28" t="n">
        <v>632</v>
      </c>
      <c r="D28" t="n">
        <v>75</v>
      </c>
      <c r="E28" t="n">
        <v>632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</row>
    <row r="29">
      <c r="A29" t="inlineStr">
        <is>
          <t>Whole Kingdom</t>
        </is>
      </c>
      <c r="B29" t="n">
        <v>3</v>
      </c>
      <c r="C29" t="n">
        <v>11320</v>
      </c>
      <c r="D29" t="n">
        <v>4</v>
      </c>
      <c r="E29" t="n">
        <v>11320</v>
      </c>
      <c r="F29" t="n">
        <v>6</v>
      </c>
      <c r="G29" t="n">
        <v>13720</v>
      </c>
      <c r="H29" t="n">
        <v>5</v>
      </c>
      <c r="I29" t="n">
        <v>13720</v>
      </c>
      <c r="J29" t="n">
        <v>3</v>
      </c>
      <c r="K29" t="n">
        <v>14370</v>
      </c>
      <c r="L29" t="n">
        <v>6</v>
      </c>
      <c r="M29" t="n">
        <v>14370</v>
      </c>
    </row>
  </sheetData>
  <mergeCells count="8">
    <mergeCell ref="L2:M2"/>
    <mergeCell ref="A1:A3"/>
    <mergeCell ref="F2:G2"/>
    <mergeCell ref="B2:C2"/>
    <mergeCell ref="H2:I2"/>
    <mergeCell ref="D2:E2"/>
    <mergeCell ref="J2:K2"/>
    <mergeCell ref="B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7030A0"/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9.1640625" customWidth="1" min="1" max="1"/>
    <col width="6.1640625" customWidth="1" min="2" max="2"/>
    <col width="6.5" customWidth="1" min="3" max="3"/>
    <col width="6.1640625" customWidth="1" min="5" max="5"/>
    <col width="6.5" customWidth="1" min="6" max="6"/>
    <col width="6.1640625" customWidth="1" min="7" max="7"/>
    <col width="6" customWidth="1" min="8" max="8"/>
    <col width="5.83203125" customWidth="1" min="9" max="9"/>
    <col width="6" customWidth="1" min="10" max="10"/>
    <col width="5.83203125" customWidth="1" min="12" max="12"/>
    <col width="6" customWidth="1" min="13" max="13"/>
    <col width="5.83203125" customWidth="1" min="14" max="14"/>
    <col width="6" customWidth="1" min="15" max="15"/>
    <col width="5.83203125" customWidth="1" min="16" max="16"/>
    <col width="6" customWidth="1" min="22" max="22"/>
    <col width="5.83203125" customWidth="1" min="23" max="23"/>
    <col width="6" customWidth="1" min="24" max="24"/>
    <col width="5.83203125" customWidth="1" min="25" max="25"/>
  </cols>
  <sheetData>
    <row r="1">
      <c r="A1" t="inlineStr">
        <is>
          <t>Province</t>
        </is>
      </c>
      <c r="B1" t="inlineStr">
        <is>
          <t>Grooss Admission Rate(GAR)</t>
        </is>
      </c>
      <c r="E1" t="inlineStr">
        <is>
          <t>Net Admission Rate(NAR)</t>
        </is>
      </c>
      <c r="H1" t="inlineStr">
        <is>
          <t>Gross Enrollment Rate (GER)</t>
        </is>
      </c>
      <c r="Q1" t="inlineStr">
        <is>
          <t>Net Enrollment Rate (NER)</t>
        </is>
      </c>
    </row>
    <row r="2">
      <c r="H2" t="inlineStr">
        <is>
          <t>Total</t>
        </is>
      </c>
      <c r="K2" t="inlineStr">
        <is>
          <t>Girl</t>
        </is>
      </c>
      <c r="N2" t="inlineStr">
        <is>
          <t>Boy</t>
        </is>
      </c>
      <c r="Q2" t="inlineStr">
        <is>
          <t>Total</t>
        </is>
      </c>
      <c r="T2" t="inlineStr">
        <is>
          <t>Girl</t>
        </is>
      </c>
      <c r="W2" t="inlineStr">
        <is>
          <t>Boy</t>
        </is>
      </c>
    </row>
    <row r="3">
      <c r="B3" t="inlineStr">
        <is>
          <t>Total</t>
        </is>
      </c>
      <c r="C3" t="inlineStr">
        <is>
          <t>Girl</t>
        </is>
      </c>
      <c r="D3" t="inlineStr">
        <is>
          <t>Boy</t>
        </is>
      </c>
      <c r="E3" t="inlineStr">
        <is>
          <t>Total</t>
        </is>
      </c>
      <c r="F3" t="inlineStr">
        <is>
          <t>Girl</t>
        </is>
      </c>
      <c r="G3" t="inlineStr">
        <is>
          <t>Boy</t>
        </is>
      </c>
      <c r="H3" t="inlineStr">
        <is>
          <t>Pri</t>
        </is>
      </c>
      <c r="I3" t="inlineStr">
        <is>
          <t>L.Sec</t>
        </is>
      </c>
      <c r="J3" t="inlineStr">
        <is>
          <t>U.Sec</t>
        </is>
      </c>
      <c r="K3" t="inlineStr">
        <is>
          <t>Pri</t>
        </is>
      </c>
      <c r="L3" t="inlineStr">
        <is>
          <t>L.Sec</t>
        </is>
      </c>
      <c r="M3" t="inlineStr">
        <is>
          <t>U.Sec</t>
        </is>
      </c>
      <c r="N3" t="inlineStr">
        <is>
          <t>Pri</t>
        </is>
      </c>
      <c r="O3" t="inlineStr">
        <is>
          <t>L.Sec</t>
        </is>
      </c>
      <c r="P3" t="inlineStr">
        <is>
          <t>U.Sec</t>
        </is>
      </c>
      <c r="Q3" t="inlineStr">
        <is>
          <t>Pri</t>
        </is>
      </c>
      <c r="R3" t="inlineStr">
        <is>
          <t>L.Sec</t>
        </is>
      </c>
      <c r="S3" t="inlineStr">
        <is>
          <t>U.Sec</t>
        </is>
      </c>
      <c r="T3" t="inlineStr">
        <is>
          <t>Pri</t>
        </is>
      </c>
      <c r="U3" t="inlineStr">
        <is>
          <t>L.Sec</t>
        </is>
      </c>
      <c r="V3" t="inlineStr">
        <is>
          <t>U.Sec</t>
        </is>
      </c>
      <c r="W3" t="inlineStr">
        <is>
          <t>Pri</t>
        </is>
      </c>
      <c r="X3" t="inlineStr">
        <is>
          <t>L.Sec</t>
        </is>
      </c>
      <c r="Y3" t="inlineStr">
        <is>
          <t>U.Sec</t>
        </is>
      </c>
    </row>
    <row r="4">
      <c r="A4" t="inlineStr">
        <is>
          <t>Banteay Meanchey</t>
        </is>
      </c>
      <c r="B4" t="n">
        <v>18</v>
      </c>
      <c r="C4" t="n">
        <v>17.6</v>
      </c>
      <c r="D4" t="n">
        <v>18.3</v>
      </c>
      <c r="E4" t="n">
        <v>10.5</v>
      </c>
      <c r="F4" t="n">
        <v>10.6</v>
      </c>
      <c r="G4" t="n">
        <v>10.3</v>
      </c>
      <c r="H4" t="n">
        <v>13.8</v>
      </c>
      <c r="I4" t="n">
        <v>5.8</v>
      </c>
      <c r="J4" t="n">
        <v>2.6</v>
      </c>
      <c r="K4" t="n">
        <v>13.7</v>
      </c>
      <c r="L4" t="n">
        <v>6.1</v>
      </c>
      <c r="M4" t="n">
        <v>2.7</v>
      </c>
      <c r="N4" t="n">
        <v>13.6</v>
      </c>
      <c r="O4" t="n">
        <v>5.5</v>
      </c>
      <c r="P4" t="n">
        <v>2.5</v>
      </c>
      <c r="Q4" t="n">
        <v>12</v>
      </c>
      <c r="R4" t="n">
        <v>4.8</v>
      </c>
      <c r="S4" t="n">
        <v>2.6</v>
      </c>
      <c r="T4" t="n">
        <v>12.1</v>
      </c>
      <c r="U4" t="n">
        <v>5.2</v>
      </c>
      <c r="V4" t="n">
        <v>2.7</v>
      </c>
      <c r="W4" t="n">
        <v>11.9</v>
      </c>
      <c r="X4" t="n">
        <v>4.3</v>
      </c>
      <c r="Y4" t="n">
        <v>2.5</v>
      </c>
    </row>
    <row r="5">
      <c r="A5" t="inlineStr">
        <is>
          <t>Battambang</t>
        </is>
      </c>
      <c r="B5" t="n">
        <v>3.6</v>
      </c>
      <c r="C5" t="n">
        <v>3.6</v>
      </c>
      <c r="D5" t="n">
        <v>3.6</v>
      </c>
      <c r="E5" t="n">
        <v>1.8</v>
      </c>
      <c r="F5" t="n">
        <v>1.9</v>
      </c>
      <c r="G5" t="n">
        <v>1.7</v>
      </c>
      <c r="H5" t="n">
        <v>2.5</v>
      </c>
      <c r="I5" t="n">
        <v>1.6</v>
      </c>
      <c r="J5" t="n">
        <v>1.5</v>
      </c>
      <c r="K5" t="n">
        <v>2.5</v>
      </c>
      <c r="L5" t="n">
        <v>1.7</v>
      </c>
      <c r="M5" t="n">
        <v>1.6</v>
      </c>
      <c r="N5" t="n">
        <v>2.6</v>
      </c>
      <c r="O5" t="n">
        <v>1.6</v>
      </c>
      <c r="P5" t="n">
        <v>1.4</v>
      </c>
      <c r="Q5" t="n">
        <v>2.2</v>
      </c>
      <c r="R5" t="n">
        <v>1.5</v>
      </c>
      <c r="S5" t="n">
        <v>1.6</v>
      </c>
      <c r="T5" t="n">
        <v>2.2</v>
      </c>
      <c r="U5" t="n">
        <v>1.6</v>
      </c>
      <c r="V5" t="n">
        <v>1.8</v>
      </c>
      <c r="W5" t="n">
        <v>2.2</v>
      </c>
      <c r="X5" t="n">
        <v>1.4</v>
      </c>
      <c r="Y5" t="n">
        <v>1.4</v>
      </c>
    </row>
    <row r="6">
      <c r="A6" t="inlineStr">
        <is>
          <t>Kampong Cham</t>
        </is>
      </c>
      <c r="B6" t="n">
        <v>2.5</v>
      </c>
      <c r="C6" t="n">
        <v>2.6</v>
      </c>
      <c r="D6" t="n">
        <v>2.5</v>
      </c>
      <c r="E6" t="n">
        <v>0.9</v>
      </c>
      <c r="F6" t="n">
        <v>0.8</v>
      </c>
      <c r="G6" t="n">
        <v>0.9</v>
      </c>
      <c r="H6" t="n">
        <v>2.2</v>
      </c>
      <c r="I6" t="n">
        <v>0.7</v>
      </c>
      <c r="J6" t="n">
        <v>0.3</v>
      </c>
      <c r="K6" t="n">
        <v>2.1</v>
      </c>
      <c r="L6" t="n">
        <v>0.8</v>
      </c>
      <c r="M6" t="n">
        <v>0.3</v>
      </c>
      <c r="N6" t="n">
        <v>2.2</v>
      </c>
      <c r="O6" t="n">
        <v>0.7</v>
      </c>
      <c r="P6" t="n">
        <v>0.3</v>
      </c>
      <c r="Q6" t="n">
        <v>1.6</v>
      </c>
      <c r="R6" t="n">
        <v>0.6</v>
      </c>
      <c r="S6" t="n">
        <v>0.3</v>
      </c>
      <c r="T6" t="n">
        <v>1.5</v>
      </c>
      <c r="U6" t="n">
        <v>0.7</v>
      </c>
      <c r="V6" t="n">
        <v>0.3</v>
      </c>
      <c r="W6" t="n">
        <v>1.7</v>
      </c>
      <c r="X6" t="n">
        <v>0.6</v>
      </c>
      <c r="Y6" t="n">
        <v>0.3</v>
      </c>
    </row>
    <row r="7">
      <c r="A7" t="inlineStr">
        <is>
          <t>Kampong Chhnang</t>
        </is>
      </c>
      <c r="B7" t="n">
        <v>4.3</v>
      </c>
      <c r="C7" t="n">
        <v>4.1</v>
      </c>
      <c r="D7" t="n">
        <v>4.5</v>
      </c>
      <c r="E7" t="n">
        <v>3.6</v>
      </c>
      <c r="F7" t="n">
        <v>3.5</v>
      </c>
      <c r="G7" t="n">
        <v>3.7</v>
      </c>
      <c r="H7" t="n">
        <v>2.8</v>
      </c>
      <c r="I7" t="n">
        <v>1.3</v>
      </c>
      <c r="J7" t="n">
        <v>0.8</v>
      </c>
      <c r="K7" t="n">
        <v>2.7</v>
      </c>
      <c r="L7" t="n">
        <v>1.1</v>
      </c>
      <c r="M7" t="n">
        <v>0.6</v>
      </c>
      <c r="N7" t="n">
        <v>2.8</v>
      </c>
      <c r="O7" t="n">
        <v>1.5</v>
      </c>
      <c r="P7" t="n">
        <v>1</v>
      </c>
      <c r="Q7" t="n">
        <v>2.6</v>
      </c>
      <c r="R7" t="n">
        <v>1</v>
      </c>
      <c r="S7" t="n">
        <v>0.8</v>
      </c>
      <c r="T7" t="n">
        <v>2.6</v>
      </c>
      <c r="U7" t="n">
        <v>0.9</v>
      </c>
      <c r="V7" t="n">
        <v>0.6</v>
      </c>
      <c r="W7" t="n">
        <v>2.7</v>
      </c>
      <c r="X7" t="n">
        <v>1.2</v>
      </c>
      <c r="Y7" t="n">
        <v>1</v>
      </c>
    </row>
    <row r="8">
      <c r="A8" t="inlineStr">
        <is>
          <t>Kampong Speu</t>
        </is>
      </c>
      <c r="B8" t="n">
        <v>8.1</v>
      </c>
      <c r="C8" t="n">
        <v>8.6</v>
      </c>
      <c r="D8" t="n">
        <v>7.7</v>
      </c>
      <c r="E8" t="n">
        <v>3.1</v>
      </c>
      <c r="F8" t="n">
        <v>3.4</v>
      </c>
      <c r="G8" t="n">
        <v>2.7</v>
      </c>
      <c r="H8" t="n">
        <v>4.1</v>
      </c>
      <c r="I8" t="n">
        <v>1.1</v>
      </c>
      <c r="J8" t="n">
        <v>0.3</v>
      </c>
      <c r="K8" t="n">
        <v>4.2</v>
      </c>
      <c r="L8" t="n">
        <v>1.2</v>
      </c>
      <c r="M8" t="n">
        <v>0.4</v>
      </c>
      <c r="N8" t="n">
        <v>3.5</v>
      </c>
      <c r="O8" t="n">
        <v>1</v>
      </c>
      <c r="P8" t="n">
        <v>0.2</v>
      </c>
      <c r="Q8" t="n">
        <v>3.6</v>
      </c>
      <c r="R8" t="n">
        <v>0.9</v>
      </c>
      <c r="S8" t="n">
        <v>0.4</v>
      </c>
      <c r="T8" t="n">
        <v>3.7</v>
      </c>
      <c r="U8" t="n">
        <v>1.1</v>
      </c>
      <c r="V8" t="n">
        <v>0.5</v>
      </c>
      <c r="W8" t="n">
        <v>3.4</v>
      </c>
      <c r="X8" t="n">
        <v>0.8</v>
      </c>
      <c r="Y8" t="n">
        <v>0.3</v>
      </c>
    </row>
    <row r="9">
      <c r="A9" t="inlineStr">
        <is>
          <t>Kampong Thom</t>
        </is>
      </c>
      <c r="B9" t="n">
        <v>4.6</v>
      </c>
      <c r="C9" t="n">
        <v>4.5</v>
      </c>
      <c r="D9" t="n">
        <v>4.6</v>
      </c>
      <c r="E9" t="n">
        <v>1.8</v>
      </c>
      <c r="F9" t="n">
        <v>1.7</v>
      </c>
      <c r="G9" t="n">
        <v>1.8</v>
      </c>
      <c r="H9" t="n">
        <v>1.8</v>
      </c>
      <c r="I9" t="n">
        <v>0.4</v>
      </c>
      <c r="J9" t="n">
        <v>0.2</v>
      </c>
      <c r="K9" t="n">
        <v>1.8</v>
      </c>
      <c r="L9" t="n">
        <v>0.4</v>
      </c>
      <c r="M9" t="n">
        <v>0.2</v>
      </c>
      <c r="N9" t="n">
        <v>0.4</v>
      </c>
      <c r="O9" t="n">
        <v>0.5</v>
      </c>
      <c r="P9" t="n">
        <v>0.2</v>
      </c>
      <c r="Q9" t="n">
        <v>1.9</v>
      </c>
      <c r="R9" t="n">
        <v>0.4</v>
      </c>
      <c r="S9" t="n">
        <v>0.2</v>
      </c>
      <c r="T9" t="n">
        <v>1.9</v>
      </c>
      <c r="U9" t="n">
        <v>0.4</v>
      </c>
      <c r="V9" t="n">
        <v>0.3</v>
      </c>
      <c r="W9" t="n">
        <v>1.9</v>
      </c>
      <c r="X9" t="n">
        <v>0.5</v>
      </c>
      <c r="Y9" t="n">
        <v>0.2</v>
      </c>
    </row>
    <row r="10">
      <c r="A10" t="inlineStr">
        <is>
          <t>Kampot</t>
        </is>
      </c>
      <c r="B10" t="n">
        <v>14.7</v>
      </c>
      <c r="C10" t="n">
        <v>15.3</v>
      </c>
      <c r="D10" t="n">
        <v>14.2</v>
      </c>
      <c r="E10" t="n">
        <v>3.6</v>
      </c>
      <c r="F10" t="n">
        <v>3.6</v>
      </c>
      <c r="G10" t="n">
        <v>3.5</v>
      </c>
      <c r="H10" t="n">
        <v>8.1</v>
      </c>
      <c r="I10" t="n">
        <v>3.3</v>
      </c>
      <c r="J10" t="n">
        <v>2.5</v>
      </c>
      <c r="K10" t="n">
        <v>8.699999999999999</v>
      </c>
      <c r="L10" t="n">
        <v>3.6</v>
      </c>
      <c r="M10" t="n">
        <v>2.6</v>
      </c>
      <c r="N10" t="n">
        <v>7.4</v>
      </c>
      <c r="O10" t="n">
        <v>3</v>
      </c>
      <c r="P10" t="n">
        <v>2.3</v>
      </c>
      <c r="Q10" t="n">
        <v>4.8</v>
      </c>
      <c r="R10" t="n">
        <v>2.6</v>
      </c>
      <c r="S10" t="n">
        <v>2.5</v>
      </c>
      <c r="T10" t="n">
        <v>4.9</v>
      </c>
      <c r="U10" t="n">
        <v>2.8</v>
      </c>
      <c r="V10" t="n">
        <v>2.6</v>
      </c>
      <c r="W10" t="n">
        <v>4.7</v>
      </c>
      <c r="X10" t="n">
        <v>2.3</v>
      </c>
      <c r="Y10" t="n">
        <v>2.3</v>
      </c>
    </row>
    <row r="11">
      <c r="A11" t="inlineStr">
        <is>
          <t>Kandal</t>
        </is>
      </c>
      <c r="B11" t="n">
        <v>6.1</v>
      </c>
      <c r="C11" t="n">
        <v>6.9</v>
      </c>
      <c r="D11" t="n">
        <v>5.3</v>
      </c>
      <c r="E11" t="n">
        <v>2.1</v>
      </c>
      <c r="F11" t="n">
        <v>2.2</v>
      </c>
      <c r="G11" t="n">
        <v>2.1</v>
      </c>
      <c r="H11" t="n">
        <v>3.9</v>
      </c>
      <c r="I11" t="n">
        <v>2.1</v>
      </c>
      <c r="J11" t="n">
        <v>1.3</v>
      </c>
      <c r="K11" t="n">
        <v>4.3</v>
      </c>
      <c r="L11" t="n">
        <v>2.5</v>
      </c>
      <c r="M11" t="n">
        <v>1.4</v>
      </c>
      <c r="N11" t="n">
        <v>3</v>
      </c>
      <c r="O11" t="n">
        <v>1.8</v>
      </c>
      <c r="P11" t="n">
        <v>1.2</v>
      </c>
      <c r="Q11" t="n">
        <v>3</v>
      </c>
      <c r="R11" t="n">
        <v>2.3</v>
      </c>
      <c r="S11" t="n">
        <v>1.4</v>
      </c>
      <c r="T11" t="n">
        <v>3.1</v>
      </c>
      <c r="U11" t="n">
        <v>2.1</v>
      </c>
      <c r="V11" t="n">
        <v>1.4</v>
      </c>
      <c r="W11" t="n">
        <v>2.9</v>
      </c>
      <c r="X11" t="n">
        <v>2.4</v>
      </c>
      <c r="Y11" t="n">
        <v>1.4</v>
      </c>
    </row>
    <row r="12">
      <c r="A12" t="inlineStr">
        <is>
          <t>Kep</t>
        </is>
      </c>
      <c r="B12" t="n">
        <v>25.2</v>
      </c>
      <c r="C12" t="n">
        <v>28.5</v>
      </c>
      <c r="D12" t="n">
        <v>22.2</v>
      </c>
      <c r="E12" t="n">
        <v>0</v>
      </c>
      <c r="F12" t="n">
        <v>0</v>
      </c>
      <c r="G12" t="n">
        <v>0</v>
      </c>
      <c r="H12" t="n">
        <v>10.7</v>
      </c>
      <c r="I12" t="n">
        <v>0</v>
      </c>
      <c r="J12" t="n">
        <v>0</v>
      </c>
      <c r="K12" t="n">
        <v>12.9</v>
      </c>
      <c r="L12" t="n">
        <v>0</v>
      </c>
      <c r="M12" t="n">
        <v>0</v>
      </c>
      <c r="N12" t="n">
        <v>8.800000000000001</v>
      </c>
      <c r="O12" t="n">
        <v>0</v>
      </c>
      <c r="P12" t="n">
        <v>0</v>
      </c>
      <c r="Q12" t="n">
        <v>1.6</v>
      </c>
      <c r="R12" t="n">
        <v>0</v>
      </c>
      <c r="S12" t="n">
        <v>0</v>
      </c>
      <c r="T12" t="n">
        <v>2.5</v>
      </c>
      <c r="U12" t="n">
        <v>0</v>
      </c>
      <c r="V12" t="n">
        <v>0</v>
      </c>
      <c r="W12" t="n">
        <v>0.9</v>
      </c>
      <c r="X12" t="n">
        <v>0</v>
      </c>
      <c r="Y12" t="n">
        <v>0</v>
      </c>
    </row>
    <row r="13">
      <c r="A13" t="inlineStr">
        <is>
          <t>Koh Kong</t>
        </is>
      </c>
      <c r="B13" t="n">
        <v>23</v>
      </c>
      <c r="C13" t="n">
        <v>23.5</v>
      </c>
      <c r="D13" t="n">
        <v>22.5</v>
      </c>
      <c r="E13" t="n">
        <v>8.9</v>
      </c>
      <c r="F13" t="n">
        <v>9.1</v>
      </c>
      <c r="G13" t="n">
        <v>8.800000000000001</v>
      </c>
      <c r="H13" t="n">
        <v>12.1</v>
      </c>
      <c r="I13" t="n">
        <v>3.1</v>
      </c>
      <c r="J13" t="n">
        <v>0.2</v>
      </c>
      <c r="K13" t="n">
        <v>12.5</v>
      </c>
      <c r="L13" t="n">
        <v>3.4</v>
      </c>
      <c r="M13" t="n">
        <v>0.1</v>
      </c>
      <c r="N13" t="n">
        <v>8.199999999999999</v>
      </c>
      <c r="O13" t="n">
        <v>2.9</v>
      </c>
      <c r="P13" t="n">
        <v>0.2</v>
      </c>
      <c r="Q13" t="n">
        <v>11.7</v>
      </c>
      <c r="R13" t="n">
        <v>2.6</v>
      </c>
      <c r="S13" t="n">
        <v>0.2</v>
      </c>
      <c r="T13" t="n">
        <v>12</v>
      </c>
      <c r="U13" t="n">
        <v>3.1</v>
      </c>
      <c r="V13" t="n">
        <v>0.1</v>
      </c>
      <c r="W13" t="n">
        <v>11.5</v>
      </c>
      <c r="X13" t="n">
        <v>2.2</v>
      </c>
      <c r="Y13" t="n">
        <v>0.2</v>
      </c>
    </row>
    <row r="14">
      <c r="A14" t="inlineStr">
        <is>
          <t>Kratie</t>
        </is>
      </c>
      <c r="B14" t="n">
        <v>1.8</v>
      </c>
      <c r="C14" t="n">
        <v>2.2</v>
      </c>
      <c r="D14" t="n">
        <v>1.4</v>
      </c>
      <c r="E14" t="n">
        <v>0.3</v>
      </c>
      <c r="F14" t="n">
        <v>0.3</v>
      </c>
      <c r="G14" t="n">
        <v>0.3</v>
      </c>
      <c r="H14" t="n">
        <v>0.7</v>
      </c>
      <c r="I14" t="n">
        <v>0.2</v>
      </c>
      <c r="J14" t="n">
        <v>0.2</v>
      </c>
      <c r="K14" t="n">
        <v>0.9</v>
      </c>
      <c r="L14" t="n">
        <v>0.2</v>
      </c>
      <c r="M14" t="n">
        <v>0.2</v>
      </c>
      <c r="N14" t="n">
        <v>0.5</v>
      </c>
      <c r="O14" t="n">
        <v>0.2</v>
      </c>
      <c r="P14" t="n">
        <v>0.1</v>
      </c>
      <c r="Q14" t="n">
        <v>0.6</v>
      </c>
      <c r="R14" t="n">
        <v>0.2</v>
      </c>
      <c r="S14" t="n">
        <v>0.2</v>
      </c>
      <c r="T14" t="n">
        <v>0.8</v>
      </c>
      <c r="U14" t="n">
        <v>0.2</v>
      </c>
      <c r="V14" t="n">
        <v>0.2</v>
      </c>
      <c r="W14" t="n">
        <v>0.5</v>
      </c>
      <c r="X14" t="n">
        <v>0.2</v>
      </c>
      <c r="Y14" t="n">
        <v>0.1</v>
      </c>
    </row>
    <row r="15">
      <c r="A15" t="inlineStr">
        <is>
          <t>Mondul Kiri</t>
        </is>
      </c>
      <c r="B15" t="n">
        <v>2.9</v>
      </c>
      <c r="C15" t="n">
        <v>2.5</v>
      </c>
      <c r="D15" t="n">
        <v>3.3</v>
      </c>
      <c r="E15" t="n">
        <v>1.8</v>
      </c>
      <c r="F15" t="n">
        <v>1.6</v>
      </c>
      <c r="G15" t="n">
        <v>2</v>
      </c>
      <c r="H15" t="n">
        <v>1.6</v>
      </c>
      <c r="I15" t="n">
        <v>0.1</v>
      </c>
      <c r="J15" t="n">
        <v>0</v>
      </c>
      <c r="K15" t="n">
        <v>1.4</v>
      </c>
      <c r="L15" t="n">
        <v>0.1</v>
      </c>
      <c r="M15" t="n">
        <v>0</v>
      </c>
      <c r="N15" t="n">
        <v>1.8</v>
      </c>
      <c r="O15" t="n">
        <v>0.1</v>
      </c>
      <c r="P15" t="n">
        <v>0</v>
      </c>
      <c r="Q15" t="n">
        <v>1.5</v>
      </c>
      <c r="R15" t="n">
        <v>0.1</v>
      </c>
      <c r="S15" t="n">
        <v>0</v>
      </c>
      <c r="T15" t="n">
        <v>1.4</v>
      </c>
      <c r="U15" t="n">
        <v>0.1</v>
      </c>
      <c r="V15" t="n">
        <v>0</v>
      </c>
      <c r="W15" t="n">
        <v>1.7</v>
      </c>
      <c r="X15" t="n">
        <v>0.1</v>
      </c>
      <c r="Y15" t="n">
        <v>0</v>
      </c>
    </row>
    <row r="16">
      <c r="A16" t="inlineStr">
        <is>
          <t>Otdar Meanchey</t>
        </is>
      </c>
      <c r="B16" t="n">
        <v>4</v>
      </c>
      <c r="C16" t="n">
        <v>3.9</v>
      </c>
      <c r="D16" t="n">
        <v>4.2</v>
      </c>
      <c r="E16" t="n">
        <v>2.2</v>
      </c>
      <c r="F16" t="n">
        <v>2.3</v>
      </c>
      <c r="G16" t="n">
        <v>2.2</v>
      </c>
      <c r="H16" t="n">
        <v>2.6</v>
      </c>
      <c r="I16" t="n">
        <v>0</v>
      </c>
      <c r="J16" t="n">
        <v>0</v>
      </c>
      <c r="K16" t="n">
        <v>2.5</v>
      </c>
      <c r="L16" t="n">
        <v>0</v>
      </c>
      <c r="M16" t="n">
        <v>0</v>
      </c>
      <c r="N16" t="n">
        <v>2.7</v>
      </c>
      <c r="O16" t="n">
        <v>0</v>
      </c>
      <c r="P16" t="n">
        <v>0</v>
      </c>
      <c r="Q16" t="n">
        <v>2.4</v>
      </c>
      <c r="R16" t="n">
        <v>0</v>
      </c>
      <c r="S16" t="n">
        <v>0</v>
      </c>
      <c r="T16" t="n">
        <v>2.3</v>
      </c>
      <c r="U16" t="n">
        <v>0</v>
      </c>
      <c r="V16" t="n">
        <v>0</v>
      </c>
      <c r="W16" t="n">
        <v>2.5</v>
      </c>
      <c r="X16" t="n">
        <v>0</v>
      </c>
      <c r="Y16" t="n">
        <v>0</v>
      </c>
    </row>
    <row r="17">
      <c r="A17" t="inlineStr">
        <is>
          <t>Pailin</t>
        </is>
      </c>
      <c r="B17" t="n">
        <v>21.4</v>
      </c>
      <c r="C17" t="n">
        <v>20.9</v>
      </c>
      <c r="D17" t="n">
        <v>22</v>
      </c>
      <c r="E17" t="n">
        <v>13.9</v>
      </c>
      <c r="F17" t="n">
        <v>13.7</v>
      </c>
      <c r="G17" t="n">
        <v>14.1</v>
      </c>
      <c r="H17" t="n">
        <v>12.2</v>
      </c>
      <c r="I17" t="n">
        <v>0</v>
      </c>
      <c r="J17" t="n">
        <v>0</v>
      </c>
      <c r="K17" t="n">
        <v>12.4</v>
      </c>
      <c r="L17" t="n">
        <v>0</v>
      </c>
      <c r="M17" t="n">
        <v>0</v>
      </c>
      <c r="N17" t="n">
        <v>11.6</v>
      </c>
      <c r="O17" t="n">
        <v>0</v>
      </c>
      <c r="P17" t="n">
        <v>0</v>
      </c>
      <c r="Q17" t="n">
        <v>11.3</v>
      </c>
      <c r="R17" t="n">
        <v>0</v>
      </c>
      <c r="S17" t="n">
        <v>0</v>
      </c>
      <c r="T17" t="n">
        <v>11.7</v>
      </c>
      <c r="U17" t="n">
        <v>0</v>
      </c>
      <c r="V17" t="n">
        <v>0</v>
      </c>
      <c r="W17" t="n">
        <v>11</v>
      </c>
      <c r="X17" t="n">
        <v>0</v>
      </c>
      <c r="Y17" t="n">
        <v>0</v>
      </c>
    </row>
    <row r="18">
      <c r="A18" t="inlineStr">
        <is>
          <t>Phnom Penh</t>
        </is>
      </c>
      <c r="B18" t="n">
        <v>58.1</v>
      </c>
      <c r="C18" t="n">
        <v>58.8</v>
      </c>
      <c r="D18" t="n">
        <v>57.4</v>
      </c>
      <c r="E18" t="n">
        <v>38.7</v>
      </c>
      <c r="F18" t="n">
        <v>39.5</v>
      </c>
      <c r="G18" t="n">
        <v>37.9</v>
      </c>
      <c r="H18" t="n">
        <v>47</v>
      </c>
      <c r="I18" t="n">
        <v>21</v>
      </c>
      <c r="J18" t="n">
        <v>11.5</v>
      </c>
      <c r="K18" t="n">
        <v>48.7</v>
      </c>
      <c r="L18" t="n">
        <v>21</v>
      </c>
      <c r="M18" t="n">
        <v>11</v>
      </c>
      <c r="N18" t="n">
        <v>44.3</v>
      </c>
      <c r="O18" t="n">
        <v>21.1</v>
      </c>
      <c r="P18" t="n">
        <v>12.1</v>
      </c>
      <c r="Q18" t="n">
        <v>43.2</v>
      </c>
      <c r="R18" t="n">
        <v>19.3</v>
      </c>
      <c r="S18" t="n">
        <v>11.7</v>
      </c>
      <c r="T18" t="n">
        <v>45.1</v>
      </c>
      <c r="U18" t="n">
        <v>19.2</v>
      </c>
      <c r="V18" t="n">
        <v>11.2</v>
      </c>
      <c r="W18" t="n">
        <v>41.6</v>
      </c>
      <c r="X18" t="n">
        <v>19.4</v>
      </c>
      <c r="Y18" t="n">
        <v>12.3</v>
      </c>
    </row>
    <row r="19">
      <c r="A19" t="inlineStr">
        <is>
          <t>Preah Sihanouk</t>
        </is>
      </c>
      <c r="B19" t="n">
        <v>20.5</v>
      </c>
      <c r="C19" t="n">
        <v>19.8</v>
      </c>
      <c r="D19" t="n">
        <v>21.2</v>
      </c>
      <c r="E19" t="n">
        <v>8.699999999999999</v>
      </c>
      <c r="F19" t="n">
        <v>8.300000000000001</v>
      </c>
      <c r="G19" t="n">
        <v>9.1</v>
      </c>
      <c r="H19" t="n">
        <v>12.3</v>
      </c>
      <c r="I19" t="n">
        <v>6.3</v>
      </c>
      <c r="J19" t="n">
        <v>3.7</v>
      </c>
      <c r="K19" t="n">
        <v>12</v>
      </c>
      <c r="L19" t="n">
        <v>6.2</v>
      </c>
      <c r="M19" t="n">
        <v>3.6</v>
      </c>
      <c r="N19" t="n">
        <v>8.199999999999999</v>
      </c>
      <c r="O19" t="n">
        <v>6.4</v>
      </c>
      <c r="P19" t="n">
        <v>3.9</v>
      </c>
      <c r="Q19" t="n">
        <v>12</v>
      </c>
      <c r="R19" t="n">
        <v>5.5</v>
      </c>
      <c r="S19" t="n">
        <v>3.7</v>
      </c>
      <c r="T19" t="n">
        <v>12.1</v>
      </c>
      <c r="U19" t="n">
        <v>5.6</v>
      </c>
      <c r="V19" t="n">
        <v>3.6</v>
      </c>
      <c r="W19" t="n">
        <v>11.8</v>
      </c>
      <c r="X19" t="n">
        <v>5.4</v>
      </c>
      <c r="Y19" t="n">
        <v>3.9</v>
      </c>
    </row>
    <row r="20">
      <c r="A20" t="inlineStr">
        <is>
          <t>Preah Vihear</t>
        </is>
      </c>
      <c r="B20" t="n">
        <v>0.7</v>
      </c>
      <c r="C20" t="n">
        <v>0.7</v>
      </c>
      <c r="D20" t="n">
        <v>0.8</v>
      </c>
      <c r="E20" t="n">
        <v>0.2</v>
      </c>
      <c r="F20" t="n">
        <v>0.4</v>
      </c>
      <c r="G20" t="n">
        <v>0.1</v>
      </c>
      <c r="H20" t="n">
        <v>0.5</v>
      </c>
      <c r="I20" t="n">
        <v>0</v>
      </c>
      <c r="J20" t="n">
        <v>0</v>
      </c>
      <c r="K20" t="n">
        <v>0.5</v>
      </c>
      <c r="L20" t="n">
        <v>0</v>
      </c>
      <c r="M20" t="n">
        <v>0</v>
      </c>
      <c r="N20" t="n">
        <v>0.5</v>
      </c>
      <c r="O20" t="n">
        <v>0</v>
      </c>
      <c r="P20" t="n">
        <v>0</v>
      </c>
      <c r="Q20" t="n">
        <v>0.4</v>
      </c>
      <c r="R20" t="n">
        <v>0</v>
      </c>
      <c r="S20" t="n">
        <v>0</v>
      </c>
      <c r="T20" t="n">
        <v>0.4</v>
      </c>
      <c r="U20" t="n">
        <v>0</v>
      </c>
      <c r="V20" t="n">
        <v>0</v>
      </c>
      <c r="W20" t="n">
        <v>0.5</v>
      </c>
      <c r="X20" t="n">
        <v>0</v>
      </c>
      <c r="Y20" t="n">
        <v>0</v>
      </c>
    </row>
    <row r="21">
      <c r="A21" t="inlineStr">
        <is>
          <t>Prey Veng</t>
        </is>
      </c>
      <c r="B21" t="n">
        <v>0.4</v>
      </c>
      <c r="C21" t="n">
        <v>0.3</v>
      </c>
      <c r="D21" t="n">
        <v>0.6</v>
      </c>
      <c r="E21" t="n">
        <v>0.1</v>
      </c>
      <c r="F21" t="n">
        <v>0.1</v>
      </c>
      <c r="G21" t="n">
        <v>0.2</v>
      </c>
      <c r="H21" t="n">
        <v>0.2</v>
      </c>
      <c r="I21" t="n">
        <v>0</v>
      </c>
      <c r="J21" t="n">
        <v>0.2</v>
      </c>
      <c r="K21" t="n">
        <v>0.1</v>
      </c>
      <c r="L21" t="n">
        <v>0</v>
      </c>
      <c r="M21" t="n">
        <v>0.2</v>
      </c>
      <c r="N21" t="n">
        <v>0.2</v>
      </c>
      <c r="O21" t="n">
        <v>0</v>
      </c>
      <c r="P21" t="n">
        <v>0.1</v>
      </c>
      <c r="Q21" t="n">
        <v>0.2</v>
      </c>
      <c r="R21" t="n">
        <v>0</v>
      </c>
      <c r="S21" t="n">
        <v>0.2</v>
      </c>
      <c r="T21" t="n">
        <v>0.1</v>
      </c>
      <c r="U21" t="n">
        <v>0</v>
      </c>
      <c r="V21" t="n">
        <v>0.2</v>
      </c>
      <c r="W21" t="n">
        <v>0.2</v>
      </c>
      <c r="X21" t="n">
        <v>0</v>
      </c>
      <c r="Y21" t="n">
        <v>0.1</v>
      </c>
    </row>
    <row r="22">
      <c r="A22" t="inlineStr">
        <is>
          <t>Pursat</t>
        </is>
      </c>
      <c r="B22" t="n">
        <v>3.5</v>
      </c>
      <c r="C22" t="n">
        <v>3.5</v>
      </c>
      <c r="D22" t="n">
        <v>3.4</v>
      </c>
      <c r="E22" t="n">
        <v>0.6</v>
      </c>
      <c r="F22" t="n">
        <v>0.6</v>
      </c>
      <c r="G22" t="n">
        <v>0.7</v>
      </c>
      <c r="H22" t="n">
        <v>1.2</v>
      </c>
      <c r="I22" t="n">
        <v>0</v>
      </c>
      <c r="J22" t="n">
        <v>0</v>
      </c>
      <c r="K22" t="n">
        <v>1.3</v>
      </c>
      <c r="L22" t="n">
        <v>0</v>
      </c>
      <c r="M22" t="n">
        <v>0</v>
      </c>
      <c r="N22" t="n">
        <v>1.1</v>
      </c>
      <c r="O22" t="n">
        <v>0</v>
      </c>
      <c r="P22" t="n">
        <v>0</v>
      </c>
      <c r="Q22" t="n">
        <v>0.7</v>
      </c>
      <c r="R22" t="n">
        <v>0</v>
      </c>
      <c r="S22" t="n">
        <v>0</v>
      </c>
      <c r="T22" t="n">
        <v>0.8</v>
      </c>
      <c r="U22" t="n">
        <v>0</v>
      </c>
      <c r="V22" t="n">
        <v>0</v>
      </c>
      <c r="W22" t="n">
        <v>0.7</v>
      </c>
      <c r="X22" t="n">
        <v>0</v>
      </c>
      <c r="Y22" t="n">
        <v>0</v>
      </c>
    </row>
    <row r="23">
      <c r="A23" t="inlineStr">
        <is>
          <t>Ratanak Kiri</t>
        </is>
      </c>
      <c r="B23" t="n">
        <v>6</v>
      </c>
      <c r="C23" t="n">
        <v>7</v>
      </c>
      <c r="D23" t="n">
        <v>5.1</v>
      </c>
      <c r="E23" t="n">
        <v>4.6</v>
      </c>
      <c r="F23" t="n">
        <v>5.4</v>
      </c>
      <c r="G23" t="n">
        <v>3.8</v>
      </c>
      <c r="H23" t="n">
        <v>5</v>
      </c>
      <c r="I23" t="n">
        <v>2.1</v>
      </c>
      <c r="J23" t="n">
        <v>1.1</v>
      </c>
      <c r="K23" t="n">
        <v>5</v>
      </c>
      <c r="L23" t="n">
        <v>1.9</v>
      </c>
      <c r="M23" t="n">
        <v>1</v>
      </c>
      <c r="N23" t="n">
        <v>4.5</v>
      </c>
      <c r="O23" t="n">
        <v>2.4</v>
      </c>
      <c r="P23" t="n">
        <v>1.2</v>
      </c>
      <c r="Q23" t="n">
        <v>4.9</v>
      </c>
      <c r="R23" t="n">
        <v>1.9</v>
      </c>
      <c r="S23" t="n">
        <v>1.2</v>
      </c>
      <c r="T23" t="n">
        <v>5.1</v>
      </c>
      <c r="U23" t="n">
        <v>1.8</v>
      </c>
      <c r="V23" t="n">
        <v>1.1</v>
      </c>
      <c r="W23" t="n">
        <v>4.8</v>
      </c>
      <c r="X23" t="n">
        <v>2</v>
      </c>
      <c r="Y23" t="n">
        <v>1.3</v>
      </c>
    </row>
    <row r="24">
      <c r="A24" t="inlineStr">
        <is>
          <t>Siemreap</t>
        </is>
      </c>
      <c r="B24" t="n">
        <v>5.1</v>
      </c>
      <c r="C24" t="n">
        <v>5.2</v>
      </c>
      <c r="D24" t="n">
        <v>4.9</v>
      </c>
      <c r="E24" t="n">
        <v>2.3</v>
      </c>
      <c r="F24" t="n">
        <v>2.4</v>
      </c>
      <c r="G24" t="n">
        <v>2.2</v>
      </c>
      <c r="H24" t="n">
        <v>3.2</v>
      </c>
      <c r="I24" t="n">
        <v>1.5</v>
      </c>
      <c r="J24" t="n">
        <v>0.8</v>
      </c>
      <c r="K24" t="n">
        <v>3.3</v>
      </c>
      <c r="L24" t="n">
        <v>1.6</v>
      </c>
      <c r="M24" t="n">
        <v>0.7</v>
      </c>
      <c r="N24" t="n">
        <v>2.6</v>
      </c>
      <c r="O24" t="n">
        <v>1.4</v>
      </c>
      <c r="P24" t="n">
        <v>0.9</v>
      </c>
      <c r="Q24" t="n">
        <v>3.1</v>
      </c>
      <c r="R24" t="n">
        <v>1.4</v>
      </c>
      <c r="S24" t="n">
        <v>0.8</v>
      </c>
      <c r="T24" t="n">
        <v>3.3</v>
      </c>
      <c r="U24" t="n">
        <v>1.5</v>
      </c>
      <c r="V24" t="n">
        <v>0.7</v>
      </c>
      <c r="W24" t="n">
        <v>3</v>
      </c>
      <c r="X24" t="n">
        <v>1.3</v>
      </c>
      <c r="Y24" t="n">
        <v>0.9</v>
      </c>
    </row>
    <row r="25">
      <c r="A25" t="inlineStr">
        <is>
          <t>Stung Treng</t>
        </is>
      </c>
      <c r="B25" t="n">
        <v>1.6</v>
      </c>
      <c r="C25" t="n">
        <v>1.3</v>
      </c>
      <c r="D25" t="n">
        <v>1.9</v>
      </c>
      <c r="E25" t="n">
        <v>1.3</v>
      </c>
      <c r="F25" t="n">
        <v>1</v>
      </c>
      <c r="G25" t="n">
        <v>1.6</v>
      </c>
      <c r="H25" t="n">
        <v>1.6</v>
      </c>
      <c r="I25" t="n">
        <v>0.7</v>
      </c>
      <c r="J25" t="n">
        <v>0</v>
      </c>
      <c r="K25" t="n">
        <v>1.4</v>
      </c>
      <c r="L25" t="n">
        <v>0.8</v>
      </c>
      <c r="M25" t="n">
        <v>0</v>
      </c>
      <c r="N25" t="n">
        <v>1.5</v>
      </c>
      <c r="O25" t="n">
        <v>0.6</v>
      </c>
      <c r="P25" t="n">
        <v>0</v>
      </c>
      <c r="Q25" t="n">
        <v>1.6</v>
      </c>
      <c r="R25" t="n">
        <v>0.7</v>
      </c>
      <c r="S25" t="n">
        <v>0</v>
      </c>
      <c r="T25" t="n">
        <v>1.5</v>
      </c>
      <c r="U25" t="n">
        <v>0.7</v>
      </c>
      <c r="V25" t="n">
        <v>0</v>
      </c>
      <c r="W25" t="n">
        <v>1.7</v>
      </c>
      <c r="X25" t="n">
        <v>0.6</v>
      </c>
      <c r="Y25" t="n">
        <v>0</v>
      </c>
    </row>
    <row r="26">
      <c r="A26" t="inlineStr">
        <is>
          <t>Svay Rieng</t>
        </is>
      </c>
      <c r="B26" t="n">
        <v>1.8</v>
      </c>
      <c r="C26" t="n">
        <v>2</v>
      </c>
      <c r="D26" t="n">
        <v>1.5</v>
      </c>
      <c r="E26" t="n">
        <v>1.6</v>
      </c>
      <c r="F26" t="n">
        <v>1.9</v>
      </c>
      <c r="G26" t="n">
        <v>1.3</v>
      </c>
      <c r="H26" t="n">
        <v>0.8</v>
      </c>
      <c r="I26" t="n">
        <v>0</v>
      </c>
      <c r="J26" t="n">
        <v>0</v>
      </c>
      <c r="K26" t="n">
        <v>0.8</v>
      </c>
      <c r="L26" t="n">
        <v>0</v>
      </c>
      <c r="M26" t="n">
        <v>0</v>
      </c>
      <c r="N26" t="n">
        <v>0.7</v>
      </c>
      <c r="O26" t="n">
        <v>0</v>
      </c>
      <c r="P26" t="n">
        <v>0</v>
      </c>
      <c r="Q26" t="n">
        <v>0.7</v>
      </c>
      <c r="R26" t="n">
        <v>0</v>
      </c>
      <c r="S26" t="n">
        <v>0</v>
      </c>
      <c r="T26" t="n">
        <v>0.8</v>
      </c>
      <c r="U26" t="n">
        <v>0</v>
      </c>
      <c r="V26" t="n">
        <v>0</v>
      </c>
      <c r="W26" t="n">
        <v>0.6</v>
      </c>
      <c r="X26" t="n">
        <v>0</v>
      </c>
      <c r="Y26" t="n">
        <v>0</v>
      </c>
    </row>
    <row r="27">
      <c r="A27" t="inlineStr">
        <is>
          <t>Takeo</t>
        </is>
      </c>
      <c r="B27" t="n">
        <v>1.8</v>
      </c>
      <c r="C27" t="n">
        <v>1.7</v>
      </c>
      <c r="D27" t="n">
        <v>1.9</v>
      </c>
      <c r="E27" t="n">
        <v>1.1</v>
      </c>
      <c r="F27" t="n">
        <v>1.1</v>
      </c>
      <c r="G27" t="n">
        <v>1.2</v>
      </c>
      <c r="H27" t="n">
        <v>0.9</v>
      </c>
      <c r="I27" t="n">
        <v>1</v>
      </c>
      <c r="J27" t="n">
        <v>0.8</v>
      </c>
      <c r="K27" t="n">
        <v>0.9</v>
      </c>
      <c r="L27" t="n">
        <v>1</v>
      </c>
      <c r="M27" t="n">
        <v>0.8</v>
      </c>
      <c r="N27" t="n">
        <v>0.6</v>
      </c>
      <c r="O27" t="n">
        <v>1</v>
      </c>
      <c r="P27" t="n">
        <v>0.8</v>
      </c>
      <c r="Q27" t="n">
        <v>1</v>
      </c>
      <c r="R27" t="n">
        <v>0.9</v>
      </c>
      <c r="S27" t="n">
        <v>0.8</v>
      </c>
      <c r="T27" t="n">
        <v>1.1</v>
      </c>
      <c r="U27" t="n">
        <v>0.9</v>
      </c>
      <c r="V27" t="n">
        <v>0.8</v>
      </c>
      <c r="W27" t="n">
        <v>1</v>
      </c>
      <c r="X27" t="n">
        <v>0.9</v>
      </c>
      <c r="Y27" t="n">
        <v>0.8</v>
      </c>
    </row>
    <row r="28">
      <c r="A28" t="inlineStr">
        <is>
          <t>Tbaung Khmum</t>
        </is>
      </c>
      <c r="B28" t="n">
        <v>2.9</v>
      </c>
      <c r="C28" t="n">
        <v>3</v>
      </c>
      <c r="D28" t="n">
        <v>2.8</v>
      </c>
      <c r="E28" t="n">
        <v>1.5</v>
      </c>
      <c r="F28" t="n">
        <v>1.4</v>
      </c>
      <c r="G28" t="n">
        <v>1.6</v>
      </c>
      <c r="H28" t="n">
        <v>2.1</v>
      </c>
      <c r="I28" t="n">
        <v>2</v>
      </c>
      <c r="J28" t="n">
        <v>0.7</v>
      </c>
      <c r="K28" t="n">
        <v>2.2</v>
      </c>
      <c r="L28" t="n">
        <v>3.2</v>
      </c>
      <c r="M28" t="n">
        <v>1.1</v>
      </c>
      <c r="N28" t="n">
        <v>2</v>
      </c>
      <c r="O28" t="n">
        <v>0.9</v>
      </c>
      <c r="P28" t="n">
        <v>0.3</v>
      </c>
      <c r="Q28" t="n">
        <v>1.7</v>
      </c>
      <c r="R28" t="n">
        <v>1.3</v>
      </c>
      <c r="S28" t="n">
        <v>0.7</v>
      </c>
      <c r="T28" t="n">
        <v>1.7</v>
      </c>
      <c r="U28" t="n">
        <v>2.2</v>
      </c>
      <c r="V28" t="n">
        <v>1.1</v>
      </c>
      <c r="W28" t="n">
        <v>1.7</v>
      </c>
      <c r="X28" t="n">
        <v>0.5</v>
      </c>
      <c r="Y28" t="n">
        <v>0.3</v>
      </c>
    </row>
    <row r="29">
      <c r="A29" t="inlineStr">
        <is>
          <t>Whole Kingdom</t>
        </is>
      </c>
      <c r="B29" t="n">
        <v>10.3</v>
      </c>
      <c r="C29" t="n">
        <v>10.4</v>
      </c>
      <c r="D29" t="n">
        <v>10.2</v>
      </c>
      <c r="E29" t="n">
        <v>5.7</v>
      </c>
      <c r="F29" t="n">
        <v>5.8</v>
      </c>
      <c r="G29" t="n">
        <v>5.6</v>
      </c>
      <c r="H29" t="n">
        <v>7.1</v>
      </c>
      <c r="I29" t="n">
        <v>3.3</v>
      </c>
      <c r="J29" t="n">
        <v>2</v>
      </c>
      <c r="K29" t="n">
        <v>7.3</v>
      </c>
      <c r="L29" t="n">
        <v>3.5</v>
      </c>
      <c r="M29" t="n">
        <v>2.2</v>
      </c>
      <c r="N29" t="n">
        <v>6.6</v>
      </c>
      <c r="O29" t="n">
        <v>3.1</v>
      </c>
      <c r="P29" t="n">
        <v>1.9</v>
      </c>
      <c r="Q29" t="n">
        <v>6.3</v>
      </c>
      <c r="R29" t="n">
        <v>2.9</v>
      </c>
      <c r="S29" t="n">
        <v>2.1</v>
      </c>
      <c r="T29" t="n">
        <v>6.5</v>
      </c>
      <c r="U29" t="n">
        <v>3.1</v>
      </c>
      <c r="V29" t="n">
        <v>2.2</v>
      </c>
      <c r="W29" t="n">
        <v>6.2</v>
      </c>
      <c r="X29" t="n">
        <v>2.8</v>
      </c>
      <c r="Y29" t="n">
        <v>2</v>
      </c>
    </row>
    <row r="30">
      <c r="A30" t="inlineStr">
        <is>
          <t>- Urban Area</t>
        </is>
      </c>
      <c r="B30" t="n">
        <v>41.7</v>
      </c>
      <c r="C30" t="n">
        <v>42.2</v>
      </c>
      <c r="D30" t="n">
        <v>41.3</v>
      </c>
      <c r="E30" t="n">
        <v>25.4</v>
      </c>
      <c r="F30" t="n">
        <v>25.8</v>
      </c>
      <c r="G30" t="n">
        <v>24.9</v>
      </c>
      <c r="H30" t="n">
        <v>30.9</v>
      </c>
      <c r="I30" t="n">
        <v>14.4</v>
      </c>
      <c r="J30" t="n">
        <v>8.699999999999999</v>
      </c>
      <c r="K30" t="n">
        <v>31.7</v>
      </c>
      <c r="L30" t="n">
        <v>14.7</v>
      </c>
      <c r="M30" t="n">
        <v>8.5</v>
      </c>
      <c r="N30" t="n">
        <v>28.9</v>
      </c>
      <c r="O30" t="n">
        <v>14.1</v>
      </c>
      <c r="P30" t="n">
        <v>8.800000000000001</v>
      </c>
      <c r="Q30" t="n">
        <v>28.1</v>
      </c>
      <c r="R30" t="n">
        <v>13</v>
      </c>
      <c r="S30" t="n">
        <v>8.800000000000001</v>
      </c>
      <c r="T30" t="n">
        <v>28.9</v>
      </c>
      <c r="U30" t="n">
        <v>13.4</v>
      </c>
      <c r="V30" t="n">
        <v>8.699999999999999</v>
      </c>
      <c r="W30" t="n">
        <v>27.2</v>
      </c>
      <c r="X30" t="n">
        <v>12.6</v>
      </c>
      <c r="Y30" t="n">
        <v>8.9</v>
      </c>
    </row>
    <row r="31">
      <c r="A31" t="inlineStr">
        <is>
          <t>- Rural Area</t>
        </is>
      </c>
      <c r="B31" t="n">
        <v>2.5</v>
      </c>
      <c r="C31" t="n">
        <v>2.6</v>
      </c>
      <c r="D31" t="n">
        <v>2.4</v>
      </c>
      <c r="E31" t="n">
        <v>0.8</v>
      </c>
      <c r="F31" t="n">
        <v>0.9</v>
      </c>
      <c r="G31" t="n">
        <v>0.8</v>
      </c>
      <c r="H31" t="n">
        <v>1.4</v>
      </c>
      <c r="I31" t="n">
        <v>0.5</v>
      </c>
      <c r="J31" t="n">
        <v>0.2</v>
      </c>
      <c r="K31" t="n">
        <v>1.5</v>
      </c>
      <c r="L31" t="n">
        <v>0.6</v>
      </c>
      <c r="M31" t="n">
        <v>0.2</v>
      </c>
      <c r="N31" t="n">
        <v>1.1</v>
      </c>
      <c r="O31" t="n">
        <v>0.4</v>
      </c>
      <c r="P31" t="n">
        <v>0.2</v>
      </c>
      <c r="Q31" t="n">
        <v>1.1</v>
      </c>
      <c r="R31" t="n">
        <v>0.4</v>
      </c>
      <c r="S31" t="n">
        <v>0.2</v>
      </c>
      <c r="T31" t="n">
        <v>1.1</v>
      </c>
      <c r="U31" t="n">
        <v>0.5</v>
      </c>
      <c r="V31" t="n">
        <v>0.3</v>
      </c>
      <c r="W31" t="n">
        <v>1.1</v>
      </c>
      <c r="X31" t="n">
        <v>0.4</v>
      </c>
      <c r="Y31" t="n">
        <v>0.2</v>
      </c>
    </row>
  </sheetData>
  <mergeCells count="11">
    <mergeCell ref="T2:V2"/>
    <mergeCell ref="E1:G2"/>
    <mergeCell ref="A1:A3"/>
    <mergeCell ref="Q1:Y1"/>
    <mergeCell ref="K2:M2"/>
    <mergeCell ref="B1:D2"/>
    <mergeCell ref="N2:P2"/>
    <mergeCell ref="H1:P1"/>
    <mergeCell ref="H2:J2"/>
    <mergeCell ref="Q2:S2"/>
    <mergeCell ref="W2:Y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00B0F0"/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4.5" customWidth="1" min="1" max="1"/>
    <col width="15.33203125" customWidth="1" min="2" max="2"/>
    <col width="15.5" customWidth="1" min="3" max="3"/>
    <col width="15.33203125" customWidth="1" min="4" max="4"/>
    <col width="15.5" customWidth="1" min="5" max="5"/>
    <col width="15.33203125" customWidth="1" min="6" max="6"/>
    <col width="15.5" customWidth="1" min="8" max="8"/>
    <col width="15.33203125" customWidth="1" min="9" max="9"/>
    <col width="16" customWidth="1" min="10" max="10"/>
  </cols>
  <sheetData>
    <row r="1">
      <c r="A1" t="inlineStr">
        <is>
          <t>Province</t>
        </is>
      </c>
      <c r="B1" t="inlineStr">
        <is>
          <t>Primary</t>
        </is>
      </c>
      <c r="E1" t="inlineStr">
        <is>
          <t>Lower Secondary</t>
        </is>
      </c>
      <c r="H1" t="inlineStr">
        <is>
          <t>Upper Secondary</t>
        </is>
      </c>
    </row>
    <row r="2">
      <c r="B2" t="inlineStr">
        <is>
          <t>Total</t>
        </is>
      </c>
      <c r="C2" t="inlineStr">
        <is>
          <t>Girl</t>
        </is>
      </c>
      <c r="D2" t="inlineStr">
        <is>
          <t>Boy</t>
        </is>
      </c>
      <c r="E2" t="inlineStr">
        <is>
          <t>Total</t>
        </is>
      </c>
      <c r="F2" t="inlineStr">
        <is>
          <t>Girl</t>
        </is>
      </c>
      <c r="G2" t="inlineStr">
        <is>
          <t>Boy</t>
        </is>
      </c>
      <c r="H2" t="inlineStr">
        <is>
          <t>Total</t>
        </is>
      </c>
      <c r="I2" t="inlineStr">
        <is>
          <t>Girl</t>
        </is>
      </c>
      <c r="J2" t="inlineStr">
        <is>
          <t>Boy</t>
        </is>
      </c>
    </row>
    <row r="3">
      <c r="A3" t="inlineStr">
        <is>
          <t>Banteay Meanchey</t>
        </is>
      </c>
      <c r="B3" t="n">
        <v>9</v>
      </c>
      <c r="C3" t="n">
        <v>9.300000000000001</v>
      </c>
      <c r="D3" t="n">
        <v>8.699999999999999</v>
      </c>
      <c r="E3" t="n">
        <v>4.3</v>
      </c>
      <c r="F3" t="n">
        <v>4.1</v>
      </c>
      <c r="G3" t="n">
        <v>4.5</v>
      </c>
      <c r="H3" t="n">
        <v>2</v>
      </c>
      <c r="I3" t="n">
        <v>2</v>
      </c>
      <c r="J3" t="n">
        <v>1.9</v>
      </c>
    </row>
    <row r="4">
      <c r="A4" t="inlineStr">
        <is>
          <t>Battambang</t>
        </is>
      </c>
      <c r="B4" t="n">
        <v>1.8</v>
      </c>
      <c r="C4" t="n">
        <v>1.8</v>
      </c>
      <c r="D4" t="n">
        <v>1.9</v>
      </c>
      <c r="E4" t="n">
        <v>1.8</v>
      </c>
      <c r="F4" t="n">
        <v>1.9</v>
      </c>
      <c r="G4" t="n">
        <v>1.8</v>
      </c>
      <c r="H4" t="n">
        <v>1.6</v>
      </c>
      <c r="I4" t="n">
        <v>1.8</v>
      </c>
      <c r="J4" t="n">
        <v>1.4</v>
      </c>
    </row>
    <row r="5">
      <c r="A5" t="inlineStr">
        <is>
          <t>Kampong Cham</t>
        </is>
      </c>
      <c r="B5" t="n">
        <v>1.9</v>
      </c>
      <c r="C5" t="n">
        <v>1.9</v>
      </c>
      <c r="D5" t="n">
        <v>1.8</v>
      </c>
      <c r="E5" t="n">
        <v>0.6</v>
      </c>
      <c r="F5" t="n">
        <v>0.7</v>
      </c>
      <c r="G5" t="n">
        <v>0.5</v>
      </c>
      <c r="H5" t="n">
        <v>0.2</v>
      </c>
      <c r="I5" t="n">
        <v>0.2</v>
      </c>
      <c r="J5" t="n">
        <v>0.2</v>
      </c>
    </row>
    <row r="6">
      <c r="A6" t="inlineStr">
        <is>
          <t>Kampong Chhnang</t>
        </is>
      </c>
      <c r="B6" t="n">
        <v>1.8</v>
      </c>
      <c r="C6" t="n">
        <v>1.5</v>
      </c>
      <c r="D6" t="n">
        <v>2.1</v>
      </c>
      <c r="E6" t="n">
        <v>1.1</v>
      </c>
      <c r="F6" t="n">
        <v>0.8</v>
      </c>
      <c r="G6" t="n">
        <v>1.3</v>
      </c>
      <c r="H6" t="n">
        <v>0.8</v>
      </c>
      <c r="I6" t="n">
        <v>0.7</v>
      </c>
      <c r="J6" t="n">
        <v>0.9</v>
      </c>
    </row>
    <row r="7">
      <c r="A7" t="inlineStr">
        <is>
          <t>Kampong Speu</t>
        </is>
      </c>
      <c r="B7" t="n">
        <v>2.1</v>
      </c>
      <c r="C7" t="n">
        <v>2.2</v>
      </c>
      <c r="D7" t="n">
        <v>2</v>
      </c>
      <c r="E7" t="n">
        <v>1</v>
      </c>
      <c r="F7" t="n">
        <v>1</v>
      </c>
      <c r="G7" t="n">
        <v>1</v>
      </c>
      <c r="H7" t="n">
        <v>0.2</v>
      </c>
      <c r="I7" t="n">
        <v>0.3</v>
      </c>
      <c r="J7" t="n">
        <v>0.2</v>
      </c>
    </row>
    <row r="8">
      <c r="A8" t="inlineStr">
        <is>
          <t>Kampong Thom</t>
        </is>
      </c>
      <c r="B8" t="n">
        <v>1.2</v>
      </c>
      <c r="C8" t="n">
        <v>1.4</v>
      </c>
      <c r="D8" t="n">
        <v>1</v>
      </c>
      <c r="E8" t="n">
        <v>0.6</v>
      </c>
      <c r="F8" t="n">
        <v>0.5</v>
      </c>
      <c r="G8" t="n">
        <v>0.6</v>
      </c>
      <c r="H8" t="n">
        <v>0.2</v>
      </c>
      <c r="I8" t="n">
        <v>0.2</v>
      </c>
      <c r="J8" t="n">
        <v>0.2</v>
      </c>
    </row>
    <row r="9">
      <c r="A9" t="inlineStr">
        <is>
          <t>Kampot</t>
        </is>
      </c>
      <c r="B9" t="n">
        <v>3.9</v>
      </c>
      <c r="C9" t="n">
        <v>4.5</v>
      </c>
      <c r="D9" t="n">
        <v>3.3</v>
      </c>
      <c r="E9" t="n">
        <v>2.7</v>
      </c>
      <c r="F9" t="n">
        <v>3.2</v>
      </c>
      <c r="G9" t="n">
        <v>2.3</v>
      </c>
      <c r="H9" t="n">
        <v>2.4</v>
      </c>
      <c r="I9" t="n">
        <v>2.4</v>
      </c>
      <c r="J9" t="n">
        <v>2.4</v>
      </c>
    </row>
    <row r="10">
      <c r="A10" t="inlineStr">
        <is>
          <t>Kandal</t>
        </is>
      </c>
      <c r="B10" t="n">
        <v>2.8</v>
      </c>
      <c r="C10" t="n">
        <v>3.1</v>
      </c>
      <c r="D10" t="n">
        <v>2.4</v>
      </c>
      <c r="E10" t="n">
        <v>2</v>
      </c>
      <c r="F10" t="n">
        <v>1.6</v>
      </c>
      <c r="G10" t="n">
        <v>2.4</v>
      </c>
      <c r="H10" t="n">
        <v>1.3</v>
      </c>
      <c r="I10" t="n">
        <v>1.2</v>
      </c>
      <c r="J10" t="n">
        <v>1.4</v>
      </c>
    </row>
    <row r="11">
      <c r="A11" t="inlineStr">
        <is>
          <t>Kep</t>
        </is>
      </c>
      <c r="B11" t="n">
        <v>3.1</v>
      </c>
      <c r="C11" t="n">
        <v>3.6</v>
      </c>
      <c r="D11" t="n">
        <v>2.7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Koh Kong</t>
        </is>
      </c>
      <c r="B12" t="n">
        <v>6.5</v>
      </c>
      <c r="C12" t="n">
        <v>6.1</v>
      </c>
      <c r="D12" t="n">
        <v>6.9</v>
      </c>
      <c r="E12" t="n">
        <v>2.1</v>
      </c>
      <c r="F12" t="n">
        <v>2.2</v>
      </c>
      <c r="G12" t="n">
        <v>2</v>
      </c>
      <c r="H12" t="n">
        <v>0</v>
      </c>
      <c r="I12" t="n">
        <v>0</v>
      </c>
      <c r="J12" t="n">
        <v>0</v>
      </c>
    </row>
    <row r="13">
      <c r="A13" t="inlineStr">
        <is>
          <t>Kratie</t>
        </is>
      </c>
      <c r="B13" t="n">
        <v>0</v>
      </c>
      <c r="C13" t="n">
        <v>0.1</v>
      </c>
      <c r="D13" t="n">
        <v>0</v>
      </c>
      <c r="E13" t="n">
        <v>0.2</v>
      </c>
      <c r="F13" t="n">
        <v>0.2</v>
      </c>
      <c r="G13" t="n">
        <v>0.2</v>
      </c>
      <c r="H13" t="n">
        <v>0.1</v>
      </c>
      <c r="I13" t="n">
        <v>0.1</v>
      </c>
      <c r="J13" t="n">
        <v>0.1</v>
      </c>
    </row>
    <row r="14">
      <c r="A14" t="inlineStr">
        <is>
          <t>Mondul Kiri</t>
        </is>
      </c>
      <c r="B14" t="n">
        <v>0.8</v>
      </c>
      <c r="C14" t="n">
        <v>1</v>
      </c>
      <c r="D14" t="n">
        <v>0.7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Otdar Meanchey</t>
        </is>
      </c>
      <c r="B15" t="n">
        <v>1.7</v>
      </c>
      <c r="C15" t="n">
        <v>1.7</v>
      </c>
      <c r="D15" t="n">
        <v>1.6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Pailin</t>
        </is>
      </c>
      <c r="B16" t="n">
        <v>6</v>
      </c>
      <c r="C16" t="n">
        <v>6.2</v>
      </c>
      <c r="D16" t="n">
        <v>5.8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Phnom Penh</t>
        </is>
      </c>
      <c r="B17" t="n">
        <v>34.6</v>
      </c>
      <c r="C17" t="n">
        <v>35.6</v>
      </c>
      <c r="D17" t="n">
        <v>33.6</v>
      </c>
      <c r="E17" t="n">
        <v>17.5</v>
      </c>
      <c r="F17" t="n">
        <v>17.4</v>
      </c>
      <c r="G17" t="n">
        <v>17.6</v>
      </c>
      <c r="H17" t="n">
        <v>8.699999999999999</v>
      </c>
      <c r="I17" t="n">
        <v>8.199999999999999</v>
      </c>
      <c r="J17" t="n">
        <v>9.300000000000001</v>
      </c>
    </row>
    <row r="18">
      <c r="A18" t="inlineStr">
        <is>
          <t>Preah Sihanouk</t>
        </is>
      </c>
      <c r="B18" t="n">
        <v>9.1</v>
      </c>
      <c r="C18" t="n">
        <v>9.5</v>
      </c>
      <c r="D18" t="n">
        <v>8.699999999999999</v>
      </c>
      <c r="E18" t="n">
        <v>5.4</v>
      </c>
      <c r="F18" t="n">
        <v>5.7</v>
      </c>
      <c r="G18" t="n">
        <v>5</v>
      </c>
      <c r="H18" t="n">
        <v>3</v>
      </c>
      <c r="I18" t="n">
        <v>2.9</v>
      </c>
      <c r="J18" t="n">
        <v>3.1</v>
      </c>
    </row>
    <row r="19">
      <c r="A19" t="inlineStr">
        <is>
          <t>Preah Vihear</t>
        </is>
      </c>
      <c r="B19" t="n">
        <v>0.4</v>
      </c>
      <c r="C19" t="n">
        <v>0.3</v>
      </c>
      <c r="D19" t="n">
        <v>0.4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Prey Veng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0.2</v>
      </c>
      <c r="I20" t="n">
        <v>0.2</v>
      </c>
      <c r="J20" t="n">
        <v>0.2</v>
      </c>
    </row>
    <row r="21">
      <c r="A21" t="inlineStr">
        <is>
          <t>Pursat</t>
        </is>
      </c>
      <c r="B21" t="n">
        <v>0.2</v>
      </c>
      <c r="C21" t="n">
        <v>0.3</v>
      </c>
      <c r="D21" t="n">
        <v>0.1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Ratanak Kiri</t>
        </is>
      </c>
      <c r="B22" t="n">
        <v>4</v>
      </c>
      <c r="C22" t="n">
        <v>3.6</v>
      </c>
      <c r="D22" t="n">
        <v>4.3</v>
      </c>
      <c r="E22" t="n">
        <v>2.1</v>
      </c>
      <c r="F22" t="n">
        <v>1.6</v>
      </c>
      <c r="G22" t="n">
        <v>2.6</v>
      </c>
      <c r="H22" t="n">
        <v>1.1</v>
      </c>
      <c r="I22" t="n">
        <v>0.9</v>
      </c>
      <c r="J22" t="n">
        <v>1.3</v>
      </c>
    </row>
    <row r="23">
      <c r="A23" t="inlineStr">
        <is>
          <t>Siemreap</t>
        </is>
      </c>
      <c r="B23" t="n">
        <v>2.2</v>
      </c>
      <c r="C23" t="n">
        <v>2.4</v>
      </c>
      <c r="D23" t="n">
        <v>2</v>
      </c>
      <c r="E23" t="n">
        <v>1.2</v>
      </c>
      <c r="F23" t="n">
        <v>1.3</v>
      </c>
      <c r="G23" t="n">
        <v>1</v>
      </c>
      <c r="H23" t="n">
        <v>0.6</v>
      </c>
      <c r="I23" t="n">
        <v>0.6</v>
      </c>
      <c r="J23" t="n">
        <v>0.5</v>
      </c>
    </row>
    <row r="24">
      <c r="A24" t="inlineStr">
        <is>
          <t>Stung Treng</t>
        </is>
      </c>
      <c r="B24" t="n">
        <v>1</v>
      </c>
      <c r="C24" t="n">
        <v>1.3</v>
      </c>
      <c r="D24" t="n">
        <v>0.6</v>
      </c>
      <c r="E24" t="n">
        <v>0.5</v>
      </c>
      <c r="F24" t="n">
        <v>0.8</v>
      </c>
      <c r="G24" t="n">
        <v>0.3</v>
      </c>
      <c r="H24" t="n">
        <v>0.1</v>
      </c>
      <c r="I24" t="n">
        <v>0.1</v>
      </c>
      <c r="J24" t="n">
        <v>0.1</v>
      </c>
    </row>
    <row r="25">
      <c r="A25" t="inlineStr">
        <is>
          <t>Svay Rieng</t>
        </is>
      </c>
      <c r="B25" t="n">
        <v>0.2</v>
      </c>
      <c r="C25" t="n">
        <v>0.1</v>
      </c>
      <c r="D25" t="n">
        <v>0.2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Takeo</t>
        </is>
      </c>
      <c r="B26" t="n">
        <v>0.5</v>
      </c>
      <c r="C26" t="n">
        <v>0.3</v>
      </c>
      <c r="D26" t="n">
        <v>0.6</v>
      </c>
      <c r="E26" t="n">
        <v>0.8</v>
      </c>
      <c r="F26" t="n">
        <v>0.7</v>
      </c>
      <c r="G26" t="n">
        <v>0.9</v>
      </c>
      <c r="H26" t="n">
        <v>0.6</v>
      </c>
      <c r="I26" t="n">
        <v>0.8</v>
      </c>
      <c r="J26" t="n">
        <v>0.5</v>
      </c>
    </row>
    <row r="27">
      <c r="A27" t="inlineStr">
        <is>
          <t>Tbaung Khmum</t>
        </is>
      </c>
      <c r="B27" t="n">
        <v>1.5</v>
      </c>
      <c r="C27" t="n">
        <v>1.8</v>
      </c>
      <c r="D27" t="n">
        <v>1.1</v>
      </c>
      <c r="E27" t="n">
        <v>1.4</v>
      </c>
      <c r="F27" t="n">
        <v>2.5</v>
      </c>
      <c r="G27" t="n">
        <v>0.4</v>
      </c>
      <c r="H27" t="n">
        <v>0.4</v>
      </c>
      <c r="I27" t="n">
        <v>0.7</v>
      </c>
      <c r="J27" t="n">
        <v>0.1</v>
      </c>
    </row>
    <row r="28">
      <c r="A28" t="inlineStr">
        <is>
          <t>Whole Kingdom</t>
        </is>
      </c>
      <c r="B28" t="n">
        <v>4.9</v>
      </c>
      <c r="C28" t="n">
        <v>5.1</v>
      </c>
      <c r="D28" t="n">
        <v>4.7</v>
      </c>
      <c r="E28" t="n">
        <v>2.8</v>
      </c>
      <c r="F28" t="n">
        <v>3</v>
      </c>
      <c r="G28" t="n">
        <v>2.7</v>
      </c>
      <c r="H28" t="n">
        <v>1.7</v>
      </c>
      <c r="I28" t="n">
        <v>1.8</v>
      </c>
      <c r="J28" t="n">
        <v>1.6</v>
      </c>
    </row>
    <row r="29">
      <c r="A29" t="inlineStr">
        <is>
          <t>- Urban Area</t>
        </is>
      </c>
      <c r="B29" t="n">
        <v>20.9</v>
      </c>
      <c r="C29" t="n">
        <v>21.5</v>
      </c>
      <c r="D29" t="n">
        <v>20.3</v>
      </c>
      <c r="E29" t="n">
        <v>11.8</v>
      </c>
      <c r="F29" t="n">
        <v>11.9</v>
      </c>
      <c r="G29" t="n">
        <v>11.7</v>
      </c>
      <c r="H29" t="n">
        <v>6.8</v>
      </c>
      <c r="I29" t="n">
        <v>6.7</v>
      </c>
      <c r="J29" t="n">
        <v>6.9</v>
      </c>
    </row>
    <row r="30">
      <c r="A30" t="inlineStr">
        <is>
          <t>- Rural Area</t>
        </is>
      </c>
      <c r="B30" t="n">
        <v>0.9</v>
      </c>
      <c r="C30" t="n">
        <v>0.9</v>
      </c>
      <c r="D30" t="n">
        <v>0.8</v>
      </c>
      <c r="E30" t="n">
        <v>0.4</v>
      </c>
      <c r="F30" t="n">
        <v>0.5</v>
      </c>
      <c r="G30" t="n">
        <v>0.4</v>
      </c>
      <c r="H30" t="n">
        <v>0.2</v>
      </c>
      <c r="I30" t="n">
        <v>0.2</v>
      </c>
      <c r="J30" t="n">
        <v>0.2</v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FF66CC"/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7.33203125" customWidth="1" min="1" max="1"/>
    <col width="17.1640625" customWidth="1" min="2" max="2"/>
    <col width="16.83203125" customWidth="1" min="3" max="3"/>
    <col width="17.1640625" customWidth="1" min="4" max="4"/>
    <col width="16.83203125" customWidth="1" min="5" max="5"/>
    <col width="17.1640625" customWidth="1" min="6" max="6"/>
    <col width="16.83203125" customWidth="1" min="7" max="7"/>
    <col width="17.1640625" customWidth="1" min="8" max="8"/>
    <col width="16.83203125" customWidth="1" min="9" max="9"/>
  </cols>
  <sheetData>
    <row r="1">
      <c r="A1" t="inlineStr">
        <is>
          <t>Province</t>
        </is>
      </c>
      <c r="B1" t="inlineStr">
        <is>
          <t>GPI for GAR</t>
        </is>
      </c>
      <c r="C1" t="inlineStr">
        <is>
          <t>GPI for NAR</t>
        </is>
      </c>
      <c r="D1" t="inlineStr">
        <is>
          <t>GPI for GER</t>
        </is>
      </c>
      <c r="G1" t="inlineStr">
        <is>
          <t>GPI for NER</t>
        </is>
      </c>
    </row>
    <row r="2">
      <c r="D2" t="inlineStr">
        <is>
          <t>Primary</t>
        </is>
      </c>
      <c r="E2" t="inlineStr">
        <is>
          <t>Lower Sec.</t>
        </is>
      </c>
      <c r="F2" t="inlineStr">
        <is>
          <t>Upper Sec.</t>
        </is>
      </c>
      <c r="G2" t="inlineStr">
        <is>
          <t>Primary</t>
        </is>
      </c>
      <c r="H2" t="inlineStr">
        <is>
          <t>Lower Sec.</t>
        </is>
      </c>
      <c r="I2" t="inlineStr">
        <is>
          <t>Upper Sec.</t>
        </is>
      </c>
    </row>
    <row r="3">
      <c r="A3" t="inlineStr">
        <is>
          <t>Banteay Meanchey</t>
        </is>
      </c>
      <c r="B3" t="n">
        <v>1</v>
      </c>
      <c r="C3" t="n">
        <v>1</v>
      </c>
      <c r="D3" t="n">
        <v>1</v>
      </c>
      <c r="E3" t="n">
        <v>1.1</v>
      </c>
      <c r="F3" t="n">
        <v>1.1</v>
      </c>
      <c r="G3" t="n">
        <v>1</v>
      </c>
      <c r="H3" t="n">
        <v>1.2</v>
      </c>
      <c r="I3" t="n">
        <v>1.1</v>
      </c>
    </row>
    <row r="4">
      <c r="A4" t="inlineStr">
        <is>
          <t>Battambang</t>
        </is>
      </c>
      <c r="B4" t="n">
        <v>1</v>
      </c>
      <c r="C4" t="n">
        <v>1.1</v>
      </c>
      <c r="D4" t="n">
        <v>1</v>
      </c>
      <c r="E4" t="n">
        <v>1.1</v>
      </c>
      <c r="F4" t="n">
        <v>1.2</v>
      </c>
      <c r="G4" t="n">
        <v>1</v>
      </c>
      <c r="H4" t="n">
        <v>1.2</v>
      </c>
      <c r="I4" t="n">
        <v>1.2</v>
      </c>
    </row>
    <row r="5">
      <c r="A5" t="inlineStr">
        <is>
          <t>Kampong Cham</t>
        </is>
      </c>
      <c r="B5" t="n">
        <v>1</v>
      </c>
      <c r="C5" t="n">
        <v>0.9</v>
      </c>
      <c r="D5" t="n">
        <v>0.9</v>
      </c>
      <c r="E5" t="n">
        <v>1.1</v>
      </c>
      <c r="F5" t="n">
        <v>1</v>
      </c>
      <c r="G5" t="n">
        <v>0.9</v>
      </c>
      <c r="H5" t="n">
        <v>1.2</v>
      </c>
      <c r="I5" t="n">
        <v>1</v>
      </c>
    </row>
    <row r="6">
      <c r="A6" t="inlineStr">
        <is>
          <t>Kampong Chhnang</t>
        </is>
      </c>
      <c r="B6" t="n">
        <v>0.9</v>
      </c>
      <c r="C6" t="n">
        <v>0.9</v>
      </c>
      <c r="D6" t="n">
        <v>1</v>
      </c>
      <c r="E6" t="n">
        <v>0.7</v>
      </c>
      <c r="F6" t="n">
        <v>0.6</v>
      </c>
      <c r="G6" t="n">
        <v>1</v>
      </c>
      <c r="H6" t="n">
        <v>0.8</v>
      </c>
      <c r="I6" t="n">
        <v>0.6</v>
      </c>
    </row>
    <row r="7">
      <c r="A7" t="inlineStr">
        <is>
          <t>Kampong Speu</t>
        </is>
      </c>
      <c r="B7" t="n">
        <v>1.1</v>
      </c>
      <c r="C7" t="n">
        <v>1.3</v>
      </c>
      <c r="D7" t="n">
        <v>1.2</v>
      </c>
      <c r="E7" t="n">
        <v>1.3</v>
      </c>
      <c r="F7" t="n">
        <v>1.7</v>
      </c>
      <c r="G7" t="n">
        <v>1.1</v>
      </c>
      <c r="H7" t="n">
        <v>1.3</v>
      </c>
      <c r="I7" t="n">
        <v>1.7</v>
      </c>
    </row>
    <row r="8">
      <c r="A8" t="inlineStr">
        <is>
          <t>Kampong Thom</t>
        </is>
      </c>
      <c r="B8" t="n">
        <v>1</v>
      </c>
      <c r="C8" t="n">
        <v>0.9</v>
      </c>
      <c r="D8" t="n">
        <v>4.1</v>
      </c>
      <c r="E8" t="n">
        <v>0.8</v>
      </c>
      <c r="F8" t="n">
        <v>1</v>
      </c>
      <c r="G8" t="n">
        <v>1</v>
      </c>
      <c r="H8" t="n">
        <v>0.8</v>
      </c>
      <c r="I8" t="n">
        <v>1.3</v>
      </c>
    </row>
    <row r="9">
      <c r="A9" t="inlineStr">
        <is>
          <t>Kampot</t>
        </is>
      </c>
      <c r="B9" t="n">
        <v>1.1</v>
      </c>
      <c r="C9" t="n">
        <v>1</v>
      </c>
      <c r="D9" t="n">
        <v>1.2</v>
      </c>
      <c r="E9" t="n">
        <v>1.2</v>
      </c>
      <c r="F9" t="n">
        <v>1.1</v>
      </c>
      <c r="G9" t="n">
        <v>1.1</v>
      </c>
      <c r="H9" t="n">
        <v>1.2</v>
      </c>
      <c r="I9" t="n">
        <v>1.1</v>
      </c>
    </row>
    <row r="10">
      <c r="A10" t="inlineStr">
        <is>
          <t>Kandal</t>
        </is>
      </c>
      <c r="B10" t="n">
        <v>1.3</v>
      </c>
      <c r="C10" t="n">
        <v>1</v>
      </c>
      <c r="D10" t="n">
        <v>1.5</v>
      </c>
      <c r="E10" t="n">
        <v>1.3</v>
      </c>
      <c r="F10" t="n">
        <v>1.2</v>
      </c>
      <c r="G10" t="n">
        <v>1.1</v>
      </c>
      <c r="H10" t="n">
        <v>0.9</v>
      </c>
      <c r="I10" t="n">
        <v>1</v>
      </c>
    </row>
    <row r="11">
      <c r="A11" t="inlineStr">
        <is>
          <t>Kep</t>
        </is>
      </c>
      <c r="B11" t="n">
        <v>1.3</v>
      </c>
      <c r="C11" t="n">
        <v>0</v>
      </c>
      <c r="D11" t="n">
        <v>1.5</v>
      </c>
      <c r="E11" t="n">
        <v>0</v>
      </c>
      <c r="F11" t="n">
        <v>0</v>
      </c>
      <c r="G11" t="n">
        <v>2.8</v>
      </c>
      <c r="H11" t="n">
        <v>0</v>
      </c>
      <c r="I11" t="n">
        <v>0</v>
      </c>
    </row>
    <row r="12">
      <c r="A12" t="inlineStr">
        <is>
          <t>Koh Kong</t>
        </is>
      </c>
      <c r="B12" t="n">
        <v>1</v>
      </c>
      <c r="C12" t="n">
        <v>1</v>
      </c>
      <c r="D12" t="n">
        <v>1.5</v>
      </c>
      <c r="E12" t="n">
        <v>1.2</v>
      </c>
      <c r="F12" t="n">
        <v>0.7</v>
      </c>
      <c r="G12" t="n">
        <v>1</v>
      </c>
      <c r="H12" t="n">
        <v>1.4</v>
      </c>
      <c r="I12" t="n">
        <v>0.7</v>
      </c>
    </row>
    <row r="13">
      <c r="A13" t="inlineStr">
        <is>
          <t>Kratie</t>
        </is>
      </c>
      <c r="B13" t="n">
        <v>1.6</v>
      </c>
      <c r="C13" t="n">
        <v>1</v>
      </c>
      <c r="D13" t="n">
        <v>1.8</v>
      </c>
      <c r="E13" t="n">
        <v>0.9</v>
      </c>
      <c r="F13" t="n">
        <v>1.2</v>
      </c>
      <c r="G13" t="n">
        <v>1.8</v>
      </c>
      <c r="H13" t="n">
        <v>0.9</v>
      </c>
      <c r="I13" t="n">
        <v>1.2</v>
      </c>
    </row>
    <row r="14">
      <c r="A14" t="inlineStr">
        <is>
          <t>Mondul Kiri</t>
        </is>
      </c>
      <c r="B14" t="n">
        <v>0.7</v>
      </c>
      <c r="C14" t="n">
        <v>0.8</v>
      </c>
      <c r="D14" t="n">
        <v>0.8</v>
      </c>
      <c r="E14" t="n">
        <v>1</v>
      </c>
      <c r="F14" t="n">
        <v>0</v>
      </c>
      <c r="G14" t="n">
        <v>0.8</v>
      </c>
      <c r="H14" t="n">
        <v>1</v>
      </c>
      <c r="I14" t="n">
        <v>0</v>
      </c>
    </row>
    <row r="15">
      <c r="A15" t="inlineStr">
        <is>
          <t>Otdar Meanchey</t>
        </is>
      </c>
      <c r="B15" t="n">
        <v>0.9</v>
      </c>
      <c r="C15" t="n">
        <v>1</v>
      </c>
      <c r="D15" t="n">
        <v>0.9</v>
      </c>
      <c r="E15" t="n">
        <v>0</v>
      </c>
      <c r="F15" t="n">
        <v>0</v>
      </c>
      <c r="G15" t="n">
        <v>0.9</v>
      </c>
      <c r="H15" t="n">
        <v>0</v>
      </c>
      <c r="I15" t="n">
        <v>0</v>
      </c>
    </row>
    <row r="16">
      <c r="A16" t="inlineStr">
        <is>
          <t>Pailin</t>
        </is>
      </c>
      <c r="B16" t="n">
        <v>1</v>
      </c>
      <c r="C16" t="n">
        <v>1</v>
      </c>
      <c r="D16" t="n">
        <v>1.1</v>
      </c>
      <c r="E16" t="n">
        <v>0</v>
      </c>
      <c r="F16" t="n">
        <v>0</v>
      </c>
      <c r="G16" t="n">
        <v>1.1</v>
      </c>
      <c r="H16" t="n">
        <v>0</v>
      </c>
      <c r="I16" t="n">
        <v>0</v>
      </c>
    </row>
    <row r="17">
      <c r="A17" t="inlineStr">
        <is>
          <t>Phnom Penh</t>
        </is>
      </c>
      <c r="B17" t="n">
        <v>1</v>
      </c>
      <c r="C17" t="n">
        <v>1</v>
      </c>
      <c r="D17" t="n">
        <v>1.1</v>
      </c>
      <c r="E17" t="n">
        <v>1</v>
      </c>
      <c r="F17" t="n">
        <v>0.9</v>
      </c>
      <c r="G17" t="n">
        <v>1.1</v>
      </c>
      <c r="H17" t="n">
        <v>1</v>
      </c>
      <c r="I17" t="n">
        <v>0.9</v>
      </c>
    </row>
    <row r="18">
      <c r="A18" t="inlineStr">
        <is>
          <t>Preah Sihanouk</t>
        </is>
      </c>
      <c r="B18" t="n">
        <v>0.9</v>
      </c>
      <c r="C18" t="n">
        <v>0.9</v>
      </c>
      <c r="D18" t="n">
        <v>1.5</v>
      </c>
      <c r="E18" t="n">
        <v>1</v>
      </c>
      <c r="F18" t="n">
        <v>0.9</v>
      </c>
      <c r="G18" t="n">
        <v>1</v>
      </c>
      <c r="H18" t="n">
        <v>1</v>
      </c>
      <c r="I18" t="n">
        <v>0.9</v>
      </c>
    </row>
    <row r="19">
      <c r="A19" t="inlineStr">
        <is>
          <t>Preah Vihear</t>
        </is>
      </c>
      <c r="B19" t="n">
        <v>1</v>
      </c>
      <c r="C19" t="n">
        <v>3.1</v>
      </c>
      <c r="D19" t="n">
        <v>0.9</v>
      </c>
      <c r="E19" t="n">
        <v>0</v>
      </c>
      <c r="F19" t="n">
        <v>0</v>
      </c>
      <c r="G19" t="n">
        <v>0.9</v>
      </c>
      <c r="H19" t="n">
        <v>0</v>
      </c>
      <c r="I19" t="n">
        <v>0</v>
      </c>
    </row>
    <row r="20">
      <c r="A20" t="inlineStr">
        <is>
          <t>Prey Veng</t>
        </is>
      </c>
      <c r="B20" t="n">
        <v>0.5</v>
      </c>
      <c r="C20" t="n">
        <v>0.7</v>
      </c>
      <c r="D20" t="n">
        <v>0.6</v>
      </c>
      <c r="E20" t="n">
        <v>0</v>
      </c>
      <c r="F20" t="n">
        <v>1.6</v>
      </c>
      <c r="G20" t="n">
        <v>0.7</v>
      </c>
      <c r="H20" t="n">
        <v>0</v>
      </c>
      <c r="I20" t="n">
        <v>1.6</v>
      </c>
    </row>
    <row r="21">
      <c r="A21" t="inlineStr">
        <is>
          <t>Pursat</t>
        </is>
      </c>
      <c r="B21" t="n">
        <v>1</v>
      </c>
      <c r="C21" t="n">
        <v>1</v>
      </c>
      <c r="D21" t="n">
        <v>1.1</v>
      </c>
      <c r="E21" t="n">
        <v>0</v>
      </c>
      <c r="F21" t="n">
        <v>0</v>
      </c>
      <c r="G21" t="n">
        <v>1.2</v>
      </c>
      <c r="H21" t="n">
        <v>0</v>
      </c>
      <c r="I21" t="n">
        <v>0</v>
      </c>
    </row>
    <row r="22">
      <c r="A22" t="inlineStr">
        <is>
          <t>Ratanak Kiri</t>
        </is>
      </c>
      <c r="B22" t="n">
        <v>1.4</v>
      </c>
      <c r="C22" t="n">
        <v>1.4</v>
      </c>
      <c r="D22" t="n">
        <v>1.1</v>
      </c>
      <c r="E22" t="n">
        <v>0.8</v>
      </c>
      <c r="F22" t="n">
        <v>0.8</v>
      </c>
      <c r="G22" t="n">
        <v>1.1</v>
      </c>
      <c r="H22" t="n">
        <v>0.9</v>
      </c>
      <c r="I22" t="n">
        <v>0.8</v>
      </c>
    </row>
    <row r="23">
      <c r="A23" t="inlineStr">
        <is>
          <t>Siemreap</t>
        </is>
      </c>
      <c r="B23" t="n">
        <v>1.1</v>
      </c>
      <c r="C23" t="n">
        <v>1.1</v>
      </c>
      <c r="D23" t="n">
        <v>1.3</v>
      </c>
      <c r="E23" t="n">
        <v>1.1</v>
      </c>
      <c r="F23" t="n">
        <v>0.8</v>
      </c>
      <c r="G23" t="n">
        <v>1.1</v>
      </c>
      <c r="H23" t="n">
        <v>1.2</v>
      </c>
      <c r="I23" t="n">
        <v>0.8</v>
      </c>
    </row>
    <row r="24">
      <c r="A24" t="inlineStr">
        <is>
          <t>Stung Treng</t>
        </is>
      </c>
      <c r="B24" t="n">
        <v>0.7</v>
      </c>
      <c r="C24" t="n">
        <v>0.6</v>
      </c>
      <c r="D24" t="n">
        <v>1</v>
      </c>
      <c r="E24" t="n">
        <v>1.2</v>
      </c>
      <c r="F24" t="n">
        <v>1</v>
      </c>
      <c r="G24" t="n">
        <v>0.9</v>
      </c>
      <c r="H24" t="n">
        <v>1.3</v>
      </c>
      <c r="I24" t="n">
        <v>1</v>
      </c>
    </row>
    <row r="25">
      <c r="A25" t="inlineStr">
        <is>
          <t>Svay Rieng</t>
        </is>
      </c>
      <c r="B25" t="n">
        <v>1.4</v>
      </c>
      <c r="C25" t="n">
        <v>1.5</v>
      </c>
      <c r="D25" t="n">
        <v>1.2</v>
      </c>
      <c r="E25" t="n">
        <v>0</v>
      </c>
      <c r="F25" t="n">
        <v>0</v>
      </c>
      <c r="G25" t="n">
        <v>1.3</v>
      </c>
      <c r="H25" t="n">
        <v>0</v>
      </c>
      <c r="I25" t="n">
        <v>0</v>
      </c>
    </row>
    <row r="26">
      <c r="A26" t="inlineStr">
        <is>
          <t>Takeo</t>
        </is>
      </c>
      <c r="B26" t="n">
        <v>0.9</v>
      </c>
      <c r="C26" t="n">
        <v>0.9</v>
      </c>
      <c r="D26" t="n">
        <v>1.5</v>
      </c>
      <c r="E26" t="n">
        <v>1</v>
      </c>
      <c r="F26" t="n">
        <v>1</v>
      </c>
      <c r="G26" t="n">
        <v>1.1</v>
      </c>
      <c r="H26" t="n">
        <v>1</v>
      </c>
      <c r="I26" t="n">
        <v>1</v>
      </c>
    </row>
    <row r="27">
      <c r="A27" t="inlineStr">
        <is>
          <t>Tbaung Khmum</t>
        </is>
      </c>
      <c r="B27" t="n">
        <v>1.1</v>
      </c>
      <c r="C27" t="n">
        <v>0.9</v>
      </c>
      <c r="D27" t="n">
        <v>1.1</v>
      </c>
      <c r="E27" t="n">
        <v>3.7</v>
      </c>
      <c r="F27" t="n">
        <v>4.1</v>
      </c>
      <c r="G27" t="n">
        <v>1</v>
      </c>
      <c r="H27" t="n">
        <v>4.3</v>
      </c>
      <c r="I27" t="n">
        <v>4.1</v>
      </c>
    </row>
    <row r="28">
      <c r="A28" t="inlineStr">
        <is>
          <t>Whole Kingdom</t>
        </is>
      </c>
      <c r="B28" t="n">
        <v>1</v>
      </c>
      <c r="C28" t="n">
        <v>1</v>
      </c>
      <c r="D28" t="n">
        <v>1.1</v>
      </c>
      <c r="E28" t="n">
        <v>1.1</v>
      </c>
      <c r="F28" t="n">
        <v>1.1</v>
      </c>
      <c r="G28" t="n">
        <v>1</v>
      </c>
      <c r="H28" t="n">
        <v>1.1</v>
      </c>
      <c r="I28" t="n">
        <v>1.1</v>
      </c>
    </row>
    <row r="29">
      <c r="A29" t="inlineStr">
        <is>
          <t>- Urban Area</t>
        </is>
      </c>
      <c r="B29" t="n">
        <v>1</v>
      </c>
      <c r="C29" t="n">
        <v>1</v>
      </c>
      <c r="D29" t="n">
        <v>1.1</v>
      </c>
      <c r="E29" t="n">
        <v>1</v>
      </c>
      <c r="F29" t="n">
        <v>1</v>
      </c>
      <c r="G29" t="n">
        <v>1.1</v>
      </c>
      <c r="H29" t="n">
        <v>1.1</v>
      </c>
      <c r="I29" t="n">
        <v>1</v>
      </c>
    </row>
    <row r="30">
      <c r="A30" t="inlineStr">
        <is>
          <t>- Rural Area</t>
        </is>
      </c>
      <c r="B30" t="n">
        <v>1.1</v>
      </c>
      <c r="C30" t="n">
        <v>1.1</v>
      </c>
      <c r="D30" t="n">
        <v>1.3</v>
      </c>
      <c r="E30" t="n">
        <v>1.5</v>
      </c>
      <c r="F30" t="n">
        <v>1.3</v>
      </c>
      <c r="G30" t="n">
        <v>1</v>
      </c>
      <c r="H30" t="n">
        <v>1.2</v>
      </c>
      <c r="I30" t="n">
        <v>1.2</v>
      </c>
    </row>
  </sheetData>
  <mergeCells count="5">
    <mergeCell ref="C1:C2"/>
    <mergeCell ref="B1:B2"/>
    <mergeCell ref="D1:F1"/>
    <mergeCell ref="G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2026-03-11T06:53:37Z</dcterms:created>
  <dcterms:modified xmlns:dcterms="http://purl.org/dc/terms/" xmlns:xsi="http://www.w3.org/2001/XMLSchema-instance" xsi:type="dcterms:W3CDTF">2026-03-11T06:53:38Z</dcterms:modified>
</cp:coreProperties>
</file>